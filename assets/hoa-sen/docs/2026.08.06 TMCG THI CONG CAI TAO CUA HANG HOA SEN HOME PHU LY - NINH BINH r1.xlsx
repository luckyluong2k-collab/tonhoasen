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codeName="ThisWorkbook"/>
  <mc:AlternateContent xmlns:mc="http://schemas.openxmlformats.org/markup-compatibility/2006">
    <mc:Choice Requires="x15">
      <x15ac:absPath xmlns:x15ac="http://schemas.microsoft.com/office/spreadsheetml/2010/11/ac" url="https://d.docs.live.net/93e84df25ad730e6/4. PHD Work/6. Hoang Giang/Hoa sen Home/Gói Home Phủ Lý/1. Hợp đồng/1. Hđ CĐT/"/>
    </mc:Choice>
  </mc:AlternateContent>
  <xr:revisionPtr revIDLastSave="16" documentId="13_ncr:1_{2236B594-A226-4359-922A-8385DCD9D6E1}" xr6:coauthVersionLast="47" xr6:coauthVersionMax="47" xr10:uidLastSave="{7E611B2D-4D39-45A4-A7B4-2FBE0EEFBD56}"/>
  <bookViews>
    <workbookView xWindow="28680" yWindow="-120" windowWidth="29040" windowHeight="15720" xr2:uid="{00000000-000D-0000-FFFF-FFFF00000000}"/>
  </bookViews>
  <sheets>
    <sheet name="Dự Thầu" sheetId="7" r:id="rId1"/>
  </sheets>
  <definedNames>
    <definedName name="_xlnm._FilterDatabase" localSheetId="0" hidden="1">'Dự Thầu'!$A$6:$N$312</definedName>
    <definedName name="_xlnm.Print_Area" localSheetId="0">'Dự Thầu'!$A$1:$M$334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8" i="7" l="1"/>
  <c r="R8" i="7"/>
  <c r="Q9" i="7"/>
  <c r="R9" i="7"/>
  <c r="Q10" i="7"/>
  <c r="R10" i="7"/>
  <c r="Q11" i="7"/>
  <c r="R11" i="7"/>
  <c r="Q12" i="7"/>
  <c r="R12" i="7"/>
  <c r="Q13" i="7"/>
  <c r="R13" i="7"/>
  <c r="Q14" i="7"/>
  <c r="R14" i="7"/>
  <c r="Q15" i="7"/>
  <c r="R15" i="7"/>
  <c r="Q16" i="7"/>
  <c r="R16" i="7"/>
  <c r="Q17" i="7"/>
  <c r="R17" i="7"/>
  <c r="Q18" i="7"/>
  <c r="R18" i="7"/>
  <c r="Q19" i="7"/>
  <c r="R19" i="7"/>
  <c r="Q20" i="7"/>
  <c r="R20" i="7"/>
  <c r="Q21" i="7"/>
  <c r="R21" i="7"/>
  <c r="Q22" i="7"/>
  <c r="R22" i="7"/>
  <c r="Q23" i="7"/>
  <c r="R23" i="7"/>
  <c r="Q24" i="7"/>
  <c r="R24" i="7"/>
  <c r="Q25" i="7"/>
  <c r="R25" i="7"/>
  <c r="Q26" i="7"/>
  <c r="R26" i="7"/>
  <c r="Q27" i="7"/>
  <c r="R27" i="7"/>
  <c r="Q28" i="7"/>
  <c r="R28" i="7"/>
  <c r="Q29" i="7"/>
  <c r="R29" i="7"/>
  <c r="Q30" i="7"/>
  <c r="R30" i="7"/>
  <c r="Q31" i="7"/>
  <c r="R31" i="7"/>
  <c r="Q32" i="7"/>
  <c r="R32" i="7"/>
  <c r="Q33" i="7"/>
  <c r="R33" i="7"/>
  <c r="Q34" i="7"/>
  <c r="R34" i="7"/>
  <c r="Q35" i="7"/>
  <c r="R35" i="7"/>
  <c r="Q36" i="7"/>
  <c r="R36" i="7"/>
  <c r="Q37" i="7"/>
  <c r="R37" i="7"/>
  <c r="Q38" i="7"/>
  <c r="R38" i="7"/>
  <c r="Q39" i="7"/>
  <c r="R39" i="7"/>
  <c r="Q40" i="7"/>
  <c r="R40" i="7"/>
  <c r="Q41" i="7"/>
  <c r="R41" i="7"/>
  <c r="Q42" i="7"/>
  <c r="R42" i="7"/>
  <c r="Q43" i="7"/>
  <c r="R43" i="7"/>
  <c r="Q44" i="7"/>
  <c r="R44" i="7"/>
  <c r="Q45" i="7"/>
  <c r="R45" i="7"/>
  <c r="Q46" i="7"/>
  <c r="R46" i="7"/>
  <c r="Q47" i="7"/>
  <c r="R47" i="7"/>
  <c r="Q48" i="7"/>
  <c r="R48" i="7"/>
  <c r="Q49" i="7"/>
  <c r="R49" i="7"/>
  <c r="Q50" i="7"/>
  <c r="R50" i="7"/>
  <c r="Q51" i="7"/>
  <c r="R51" i="7"/>
  <c r="Q52" i="7"/>
  <c r="R52" i="7"/>
  <c r="Q53" i="7"/>
  <c r="R53" i="7"/>
  <c r="Q54" i="7"/>
  <c r="R54" i="7"/>
  <c r="Q55" i="7"/>
  <c r="R55" i="7"/>
  <c r="Q56" i="7"/>
  <c r="R56" i="7"/>
  <c r="Q57" i="7"/>
  <c r="R57" i="7"/>
  <c r="Q58" i="7"/>
  <c r="R58" i="7"/>
  <c r="Q59" i="7"/>
  <c r="R59" i="7"/>
  <c r="Q60" i="7"/>
  <c r="R60" i="7"/>
  <c r="Q61" i="7"/>
  <c r="R61" i="7"/>
  <c r="Q62" i="7"/>
  <c r="R62" i="7"/>
  <c r="Q63" i="7"/>
  <c r="R63" i="7"/>
  <c r="Q64" i="7"/>
  <c r="R64" i="7"/>
  <c r="Q65" i="7"/>
  <c r="R65" i="7"/>
  <c r="Q66" i="7"/>
  <c r="R66" i="7"/>
  <c r="Q67" i="7"/>
  <c r="R67" i="7"/>
  <c r="Q68" i="7"/>
  <c r="R68" i="7"/>
  <c r="Q69" i="7"/>
  <c r="R69" i="7"/>
  <c r="Q70" i="7"/>
  <c r="R70" i="7"/>
  <c r="Q71" i="7"/>
  <c r="R71" i="7"/>
  <c r="Q72" i="7"/>
  <c r="R72" i="7"/>
  <c r="Q73" i="7"/>
  <c r="R73" i="7"/>
  <c r="Q74" i="7"/>
  <c r="R74" i="7"/>
  <c r="Q75" i="7"/>
  <c r="R75" i="7"/>
  <c r="Q76" i="7"/>
  <c r="R76" i="7"/>
  <c r="Q77" i="7"/>
  <c r="R77" i="7"/>
  <c r="Q78" i="7"/>
  <c r="R78" i="7"/>
  <c r="Q79" i="7"/>
  <c r="R79" i="7"/>
  <c r="Q80" i="7"/>
  <c r="R80" i="7"/>
  <c r="Q81" i="7"/>
  <c r="R81" i="7"/>
  <c r="Q82" i="7"/>
  <c r="R82" i="7"/>
  <c r="Q83" i="7"/>
  <c r="R83" i="7"/>
  <c r="Q84" i="7"/>
  <c r="R84" i="7"/>
  <c r="Q85" i="7"/>
  <c r="R85" i="7"/>
  <c r="Q86" i="7"/>
  <c r="R86" i="7"/>
  <c r="Q87" i="7"/>
  <c r="R87" i="7"/>
  <c r="Q88" i="7"/>
  <c r="R88" i="7"/>
  <c r="Q89" i="7"/>
  <c r="R89" i="7"/>
  <c r="Q90" i="7"/>
  <c r="R90" i="7"/>
  <c r="Q91" i="7"/>
  <c r="R91" i="7"/>
  <c r="Q92" i="7"/>
  <c r="R92" i="7"/>
  <c r="Q93" i="7"/>
  <c r="R93" i="7"/>
  <c r="Q94" i="7"/>
  <c r="R94" i="7"/>
  <c r="Q95" i="7"/>
  <c r="R95" i="7"/>
  <c r="Q96" i="7"/>
  <c r="R96" i="7"/>
  <c r="Q97" i="7"/>
  <c r="R97" i="7"/>
  <c r="Q98" i="7"/>
  <c r="R98" i="7"/>
  <c r="Q99" i="7"/>
  <c r="R99" i="7"/>
  <c r="Q100" i="7"/>
  <c r="R100" i="7"/>
  <c r="Q101" i="7"/>
  <c r="R101" i="7"/>
  <c r="Q102" i="7"/>
  <c r="R102" i="7"/>
  <c r="Q103" i="7"/>
  <c r="R103" i="7"/>
  <c r="Q104" i="7"/>
  <c r="R104" i="7"/>
  <c r="Q105" i="7"/>
  <c r="R105" i="7"/>
  <c r="Q106" i="7"/>
  <c r="R106" i="7"/>
  <c r="Q107" i="7"/>
  <c r="R107" i="7"/>
  <c r="Q108" i="7"/>
  <c r="R108" i="7"/>
  <c r="Q109" i="7"/>
  <c r="R109" i="7"/>
  <c r="Q110" i="7"/>
  <c r="R110" i="7"/>
  <c r="Q111" i="7"/>
  <c r="R111" i="7"/>
  <c r="Q112" i="7"/>
  <c r="R112" i="7"/>
  <c r="Q113" i="7"/>
  <c r="R113" i="7"/>
  <c r="Q114" i="7"/>
  <c r="R114" i="7"/>
  <c r="Q115" i="7"/>
  <c r="R115" i="7"/>
  <c r="Q116" i="7"/>
  <c r="R116" i="7"/>
  <c r="Q117" i="7"/>
  <c r="R117" i="7"/>
  <c r="Q118" i="7"/>
  <c r="R118" i="7"/>
  <c r="Q119" i="7"/>
  <c r="R119" i="7"/>
  <c r="Q120" i="7"/>
  <c r="R120" i="7"/>
  <c r="Q121" i="7"/>
  <c r="R121" i="7"/>
  <c r="Q122" i="7"/>
  <c r="R122" i="7"/>
  <c r="Q123" i="7"/>
  <c r="R123" i="7"/>
  <c r="Q124" i="7"/>
  <c r="R124" i="7"/>
  <c r="Q125" i="7"/>
  <c r="R125" i="7"/>
  <c r="Q126" i="7"/>
  <c r="R126" i="7"/>
  <c r="Q127" i="7"/>
  <c r="R127" i="7"/>
  <c r="Q128" i="7"/>
  <c r="R128" i="7"/>
  <c r="Q129" i="7"/>
  <c r="R129" i="7"/>
  <c r="Q130" i="7"/>
  <c r="R130" i="7"/>
  <c r="Q131" i="7"/>
  <c r="R131" i="7"/>
  <c r="Q132" i="7"/>
  <c r="R132" i="7"/>
  <c r="Q133" i="7"/>
  <c r="R133" i="7"/>
  <c r="Q134" i="7"/>
  <c r="R134" i="7"/>
  <c r="Q135" i="7"/>
  <c r="R135" i="7"/>
  <c r="Q136" i="7"/>
  <c r="R136" i="7"/>
  <c r="Q137" i="7"/>
  <c r="R137" i="7"/>
  <c r="Q138" i="7"/>
  <c r="R138" i="7"/>
  <c r="Q139" i="7"/>
  <c r="R139" i="7"/>
  <c r="Q140" i="7"/>
  <c r="R140" i="7"/>
  <c r="Q141" i="7"/>
  <c r="R141" i="7"/>
  <c r="Q142" i="7"/>
  <c r="R142" i="7"/>
  <c r="Q143" i="7"/>
  <c r="R143" i="7"/>
  <c r="Q144" i="7"/>
  <c r="R144" i="7"/>
  <c r="Q145" i="7"/>
  <c r="R145" i="7"/>
  <c r="Q146" i="7"/>
  <c r="R146" i="7"/>
  <c r="Q147" i="7"/>
  <c r="R147" i="7"/>
  <c r="Q148" i="7"/>
  <c r="R148" i="7"/>
  <c r="Q149" i="7"/>
  <c r="R149" i="7"/>
  <c r="Q150" i="7"/>
  <c r="R150" i="7"/>
  <c r="Q151" i="7"/>
  <c r="R151" i="7"/>
  <c r="Q152" i="7"/>
  <c r="R152" i="7"/>
  <c r="Q153" i="7"/>
  <c r="R153" i="7"/>
  <c r="Q154" i="7"/>
  <c r="R154" i="7"/>
  <c r="Q155" i="7"/>
  <c r="R155" i="7"/>
  <c r="Q156" i="7"/>
  <c r="R156" i="7"/>
  <c r="Q157" i="7"/>
  <c r="R157" i="7"/>
  <c r="Q158" i="7"/>
  <c r="R158" i="7"/>
  <c r="Q159" i="7"/>
  <c r="R159" i="7"/>
  <c r="Q160" i="7"/>
  <c r="R160" i="7"/>
  <c r="Q161" i="7"/>
  <c r="R161" i="7"/>
  <c r="Q162" i="7"/>
  <c r="R162" i="7"/>
  <c r="Q163" i="7"/>
  <c r="R163" i="7"/>
  <c r="Q164" i="7"/>
  <c r="R164" i="7"/>
  <c r="Q165" i="7"/>
  <c r="R165" i="7"/>
  <c r="Q166" i="7"/>
  <c r="R166" i="7"/>
  <c r="Q167" i="7"/>
  <c r="R167" i="7"/>
  <c r="Q168" i="7"/>
  <c r="R168" i="7"/>
  <c r="Q169" i="7"/>
  <c r="R169" i="7"/>
  <c r="Q170" i="7"/>
  <c r="R170" i="7"/>
  <c r="Q171" i="7"/>
  <c r="R171" i="7"/>
  <c r="Q172" i="7"/>
  <c r="R172" i="7"/>
  <c r="Q173" i="7"/>
  <c r="R173" i="7"/>
  <c r="Q174" i="7"/>
  <c r="R174" i="7"/>
  <c r="Q175" i="7"/>
  <c r="R175" i="7"/>
  <c r="Q176" i="7"/>
  <c r="R176" i="7"/>
  <c r="Q177" i="7"/>
  <c r="R177" i="7"/>
  <c r="Q178" i="7"/>
  <c r="R178" i="7"/>
  <c r="Q179" i="7"/>
  <c r="R179" i="7"/>
  <c r="Q180" i="7"/>
  <c r="R180" i="7"/>
  <c r="Q181" i="7"/>
  <c r="R181" i="7"/>
  <c r="Q182" i="7"/>
  <c r="R182" i="7"/>
  <c r="Q183" i="7"/>
  <c r="R183" i="7"/>
  <c r="Q184" i="7"/>
  <c r="R184" i="7"/>
  <c r="Q185" i="7"/>
  <c r="R185" i="7"/>
  <c r="Q186" i="7"/>
  <c r="R186" i="7"/>
  <c r="Q187" i="7"/>
  <c r="R187" i="7"/>
  <c r="Q188" i="7"/>
  <c r="R188" i="7"/>
  <c r="Q189" i="7"/>
  <c r="R189" i="7"/>
  <c r="Q190" i="7"/>
  <c r="R190" i="7"/>
  <c r="Q191" i="7"/>
  <c r="R191" i="7"/>
  <c r="Q192" i="7"/>
  <c r="R192" i="7"/>
  <c r="Q193" i="7"/>
  <c r="R193" i="7"/>
  <c r="Q194" i="7"/>
  <c r="R194" i="7"/>
  <c r="Q195" i="7"/>
  <c r="R195" i="7"/>
  <c r="Q196" i="7"/>
  <c r="R196" i="7"/>
  <c r="Q197" i="7"/>
  <c r="R197" i="7"/>
  <c r="Q198" i="7"/>
  <c r="R198" i="7"/>
  <c r="Q199" i="7"/>
  <c r="R199" i="7"/>
  <c r="Q200" i="7"/>
  <c r="R200" i="7"/>
  <c r="Q201" i="7"/>
  <c r="R201" i="7"/>
  <c r="Q202" i="7"/>
  <c r="R202" i="7"/>
  <c r="Q203" i="7"/>
  <c r="R203" i="7"/>
  <c r="Q204" i="7"/>
  <c r="R204" i="7"/>
  <c r="Q205" i="7"/>
  <c r="R205" i="7"/>
  <c r="Q206" i="7"/>
  <c r="R206" i="7"/>
  <c r="Q207" i="7"/>
  <c r="R207" i="7"/>
  <c r="Q208" i="7"/>
  <c r="R208" i="7"/>
  <c r="Q209" i="7"/>
  <c r="R209" i="7"/>
  <c r="Q210" i="7"/>
  <c r="R210" i="7"/>
  <c r="Q211" i="7"/>
  <c r="R211" i="7"/>
  <c r="Q212" i="7"/>
  <c r="R212" i="7"/>
  <c r="Q213" i="7"/>
  <c r="R213" i="7"/>
  <c r="Q214" i="7"/>
  <c r="R214" i="7"/>
  <c r="Q215" i="7"/>
  <c r="R215" i="7"/>
  <c r="Q216" i="7"/>
  <c r="R216" i="7"/>
  <c r="Q217" i="7"/>
  <c r="R217" i="7"/>
  <c r="Q218" i="7"/>
  <c r="R218" i="7"/>
  <c r="Q219" i="7"/>
  <c r="R219" i="7"/>
  <c r="Q220" i="7"/>
  <c r="R220" i="7"/>
  <c r="Q221" i="7"/>
  <c r="R221" i="7"/>
  <c r="Q222" i="7"/>
  <c r="R222" i="7"/>
  <c r="Q223" i="7"/>
  <c r="R223" i="7"/>
  <c r="Q224" i="7"/>
  <c r="R224" i="7"/>
  <c r="Q225" i="7"/>
  <c r="R225" i="7"/>
  <c r="Q226" i="7"/>
  <c r="R226" i="7"/>
  <c r="Q227" i="7"/>
  <c r="R227" i="7"/>
  <c r="Q228" i="7"/>
  <c r="R228" i="7"/>
  <c r="Q229" i="7"/>
  <c r="R229" i="7"/>
  <c r="Q230" i="7"/>
  <c r="R230" i="7"/>
  <c r="Q231" i="7"/>
  <c r="R231" i="7"/>
  <c r="Q232" i="7"/>
  <c r="R232" i="7"/>
  <c r="Q233" i="7"/>
  <c r="R233" i="7"/>
  <c r="Q234" i="7"/>
  <c r="R234" i="7"/>
  <c r="Q235" i="7"/>
  <c r="R235" i="7"/>
  <c r="Q236" i="7"/>
  <c r="R236" i="7"/>
  <c r="Q237" i="7"/>
  <c r="R237" i="7"/>
  <c r="Q238" i="7"/>
  <c r="R238" i="7"/>
  <c r="Q239" i="7"/>
  <c r="R239" i="7"/>
  <c r="Q240" i="7"/>
  <c r="R240" i="7"/>
  <c r="Q241" i="7"/>
  <c r="R241" i="7"/>
  <c r="Q242" i="7"/>
  <c r="R242" i="7"/>
  <c r="Q243" i="7"/>
  <c r="R243" i="7"/>
  <c r="Q244" i="7"/>
  <c r="R244" i="7"/>
  <c r="Q245" i="7"/>
  <c r="R245" i="7"/>
  <c r="Q246" i="7"/>
  <c r="R246" i="7"/>
  <c r="Q247" i="7"/>
  <c r="R247" i="7"/>
  <c r="Q248" i="7"/>
  <c r="R248" i="7"/>
  <c r="Q249" i="7"/>
  <c r="R249" i="7"/>
  <c r="Q250" i="7"/>
  <c r="R250" i="7"/>
  <c r="Q251" i="7"/>
  <c r="R251" i="7"/>
  <c r="Q252" i="7"/>
  <c r="R252" i="7"/>
  <c r="Q253" i="7"/>
  <c r="R253" i="7"/>
  <c r="Q254" i="7"/>
  <c r="R254" i="7"/>
  <c r="Q255" i="7"/>
  <c r="R255" i="7"/>
  <c r="Q256" i="7"/>
  <c r="R256" i="7"/>
  <c r="Q257" i="7"/>
  <c r="R257" i="7"/>
  <c r="Q258" i="7"/>
  <c r="R258" i="7"/>
  <c r="Q259" i="7"/>
  <c r="R259" i="7"/>
  <c r="Q260" i="7"/>
  <c r="R260" i="7"/>
  <c r="Q261" i="7"/>
  <c r="R261" i="7"/>
  <c r="Q262" i="7"/>
  <c r="R262" i="7"/>
  <c r="Q263" i="7"/>
  <c r="R263" i="7"/>
  <c r="Q264" i="7"/>
  <c r="R264" i="7"/>
  <c r="Q265" i="7"/>
  <c r="R265" i="7"/>
  <c r="Q266" i="7"/>
  <c r="R266" i="7"/>
  <c r="Q267" i="7"/>
  <c r="R267" i="7"/>
  <c r="Q268" i="7"/>
  <c r="R268" i="7"/>
  <c r="Q269" i="7"/>
  <c r="R269" i="7"/>
  <c r="Q270" i="7"/>
  <c r="R270" i="7"/>
  <c r="Q271" i="7"/>
  <c r="R271" i="7"/>
  <c r="Q272" i="7"/>
  <c r="R272" i="7"/>
  <c r="Q273" i="7"/>
  <c r="R273" i="7"/>
  <c r="Q274" i="7"/>
  <c r="R274" i="7"/>
  <c r="Q275" i="7"/>
  <c r="R275" i="7"/>
  <c r="Q276" i="7"/>
  <c r="R276" i="7"/>
  <c r="Q277" i="7"/>
  <c r="R277" i="7"/>
  <c r="Q278" i="7"/>
  <c r="R278" i="7"/>
  <c r="Q279" i="7"/>
  <c r="R279" i="7"/>
  <c r="Q280" i="7"/>
  <c r="R280" i="7"/>
  <c r="Q281" i="7"/>
  <c r="R281" i="7"/>
  <c r="Q282" i="7"/>
  <c r="R282" i="7"/>
  <c r="Q283" i="7"/>
  <c r="R283" i="7"/>
  <c r="Q284" i="7"/>
  <c r="R284" i="7"/>
  <c r="Q285" i="7"/>
  <c r="R285" i="7"/>
  <c r="Q286" i="7"/>
  <c r="R286" i="7"/>
  <c r="Q287" i="7"/>
  <c r="R287" i="7"/>
  <c r="Q288" i="7"/>
  <c r="R288" i="7"/>
  <c r="Q289" i="7"/>
  <c r="R289" i="7"/>
  <c r="Q290" i="7"/>
  <c r="R290" i="7"/>
  <c r="Q291" i="7"/>
  <c r="R291" i="7"/>
  <c r="Q292" i="7"/>
  <c r="R292" i="7"/>
  <c r="Q293" i="7"/>
  <c r="R293" i="7"/>
  <c r="Q294" i="7"/>
  <c r="R294" i="7"/>
  <c r="Q295" i="7"/>
  <c r="R295" i="7"/>
  <c r="Q296" i="7"/>
  <c r="R296" i="7"/>
  <c r="Q297" i="7"/>
  <c r="R297" i="7"/>
  <c r="Q298" i="7"/>
  <c r="R298" i="7"/>
  <c r="Q299" i="7"/>
  <c r="R299" i="7"/>
  <c r="Q300" i="7"/>
  <c r="R300" i="7"/>
  <c r="Q301" i="7"/>
  <c r="R301" i="7"/>
  <c r="Q302" i="7"/>
  <c r="R302" i="7"/>
  <c r="Q303" i="7"/>
  <c r="R303" i="7"/>
  <c r="Q304" i="7"/>
  <c r="R304" i="7"/>
  <c r="Q305" i="7"/>
  <c r="R305" i="7"/>
  <c r="Q306" i="7"/>
  <c r="R306" i="7"/>
  <c r="Q307" i="7"/>
  <c r="R307" i="7"/>
  <c r="Q308" i="7"/>
  <c r="R308" i="7"/>
  <c r="Q309" i="7"/>
  <c r="R309" i="7"/>
  <c r="Q310" i="7"/>
  <c r="R310" i="7"/>
  <c r="Q311" i="7"/>
  <c r="R311" i="7"/>
  <c r="R7" i="7"/>
  <c r="Q7" i="7"/>
  <c r="L312" i="7"/>
  <c r="R312" i="7"/>
  <c r="Q312" i="7"/>
  <c r="J310" i="7"/>
  <c r="K8" i="7"/>
  <c r="L8" i="7" s="1"/>
  <c r="K9" i="7"/>
  <c r="L9" i="7" s="1"/>
  <c r="K10" i="7"/>
  <c r="L10" i="7" s="1"/>
  <c r="K13" i="7"/>
  <c r="L13" i="7" s="1"/>
  <c r="K14" i="7"/>
  <c r="L14" i="7" s="1"/>
  <c r="K15" i="7"/>
  <c r="L15" i="7" s="1"/>
  <c r="K16" i="7"/>
  <c r="L16" i="7" s="1"/>
  <c r="K17" i="7"/>
  <c r="L17" i="7" s="1"/>
  <c r="K18" i="7"/>
  <c r="L18" i="7" s="1"/>
  <c r="K19" i="7"/>
  <c r="L19" i="7" s="1"/>
  <c r="K20" i="7"/>
  <c r="L20" i="7" s="1"/>
  <c r="K21" i="7"/>
  <c r="L21" i="7" s="1"/>
  <c r="K22" i="7"/>
  <c r="L22" i="7" s="1"/>
  <c r="K23" i="7"/>
  <c r="L23" i="7" s="1"/>
  <c r="K24" i="7"/>
  <c r="L24" i="7" s="1"/>
  <c r="K25" i="7"/>
  <c r="L25" i="7" s="1"/>
  <c r="K26" i="7"/>
  <c r="L26" i="7" s="1"/>
  <c r="K27" i="7"/>
  <c r="L27" i="7" s="1"/>
  <c r="K28" i="7"/>
  <c r="L28" i="7" s="1"/>
  <c r="K29" i="7"/>
  <c r="L29" i="7" s="1"/>
  <c r="K30" i="7"/>
  <c r="L30" i="7" s="1"/>
  <c r="K31" i="7"/>
  <c r="L31" i="7" s="1"/>
  <c r="K32" i="7"/>
  <c r="L32" i="7" s="1"/>
  <c r="K33" i="7"/>
  <c r="L33" i="7" s="1"/>
  <c r="K34" i="7"/>
  <c r="L34" i="7" s="1"/>
  <c r="K35" i="7"/>
  <c r="L35" i="7" s="1"/>
  <c r="K36" i="7"/>
  <c r="L36" i="7" s="1"/>
  <c r="K37" i="7"/>
  <c r="L37" i="7" s="1"/>
  <c r="K38" i="7"/>
  <c r="L38" i="7" s="1"/>
  <c r="K39" i="7"/>
  <c r="L39" i="7" s="1"/>
  <c r="K40" i="7"/>
  <c r="L40" i="7" s="1"/>
  <c r="K41" i="7"/>
  <c r="L41" i="7" s="1"/>
  <c r="K42" i="7"/>
  <c r="L42" i="7" s="1"/>
  <c r="K43" i="7"/>
  <c r="L43" i="7" s="1"/>
  <c r="K44" i="7"/>
  <c r="L44" i="7" s="1"/>
  <c r="K45" i="7"/>
  <c r="L45" i="7" s="1"/>
  <c r="K46" i="7"/>
  <c r="L46" i="7" s="1"/>
  <c r="K47" i="7"/>
  <c r="L47" i="7" s="1"/>
  <c r="K48" i="7"/>
  <c r="L48" i="7" s="1"/>
  <c r="K49" i="7"/>
  <c r="L49" i="7" s="1"/>
  <c r="K50" i="7"/>
  <c r="L50" i="7" s="1"/>
  <c r="K51" i="7"/>
  <c r="L51" i="7" s="1"/>
  <c r="K52" i="7"/>
  <c r="L52" i="7" s="1"/>
  <c r="K53" i="7"/>
  <c r="L53" i="7" s="1"/>
  <c r="K54" i="7"/>
  <c r="L54" i="7" s="1"/>
  <c r="K55" i="7"/>
  <c r="L55" i="7" s="1"/>
  <c r="K56" i="7"/>
  <c r="L56" i="7" s="1"/>
  <c r="K57" i="7"/>
  <c r="L57" i="7" s="1"/>
  <c r="K58" i="7"/>
  <c r="L58" i="7" s="1"/>
  <c r="K59" i="7"/>
  <c r="L59" i="7" s="1"/>
  <c r="K61" i="7"/>
  <c r="L61" i="7" s="1"/>
  <c r="K62" i="7"/>
  <c r="L62" i="7" s="1"/>
  <c r="K63" i="7"/>
  <c r="L63" i="7" s="1"/>
  <c r="K64" i="7"/>
  <c r="L64" i="7" s="1"/>
  <c r="K65" i="7"/>
  <c r="L65" i="7" s="1"/>
  <c r="K66" i="7"/>
  <c r="L66" i="7" s="1"/>
  <c r="K67" i="7"/>
  <c r="L67" i="7" s="1"/>
  <c r="K68" i="7"/>
  <c r="L68" i="7" s="1"/>
  <c r="K69" i="7"/>
  <c r="L69" i="7" s="1"/>
  <c r="K70" i="7"/>
  <c r="L70" i="7" s="1"/>
  <c r="K71" i="7"/>
  <c r="L71" i="7" s="1"/>
  <c r="K72" i="7"/>
  <c r="L72" i="7" s="1"/>
  <c r="K73" i="7"/>
  <c r="L73" i="7" s="1"/>
  <c r="K74" i="7"/>
  <c r="L74" i="7" s="1"/>
  <c r="K75" i="7"/>
  <c r="L75" i="7" s="1"/>
  <c r="K76" i="7"/>
  <c r="L76" i="7" s="1"/>
  <c r="K77" i="7"/>
  <c r="L77" i="7" s="1"/>
  <c r="K78" i="7"/>
  <c r="L78" i="7" s="1"/>
  <c r="K79" i="7"/>
  <c r="L79" i="7" s="1"/>
  <c r="K80" i="7"/>
  <c r="L80" i="7" s="1"/>
  <c r="K81" i="7"/>
  <c r="L81" i="7" s="1"/>
  <c r="K82" i="7"/>
  <c r="L82" i="7" s="1"/>
  <c r="K83" i="7"/>
  <c r="L83" i="7" s="1"/>
  <c r="K84" i="7"/>
  <c r="L84" i="7" s="1"/>
  <c r="K85" i="7"/>
  <c r="L85" i="7" s="1"/>
  <c r="K86" i="7"/>
  <c r="L86" i="7" s="1"/>
  <c r="K87" i="7"/>
  <c r="L87" i="7" s="1"/>
  <c r="K88" i="7"/>
  <c r="L88" i="7" s="1"/>
  <c r="K89" i="7"/>
  <c r="L89" i="7" s="1"/>
  <c r="K90" i="7"/>
  <c r="L90" i="7" s="1"/>
  <c r="K91" i="7"/>
  <c r="L91" i="7" s="1"/>
  <c r="K93" i="7"/>
  <c r="L93" i="7" s="1"/>
  <c r="K94" i="7"/>
  <c r="L94" i="7" s="1"/>
  <c r="K95" i="7"/>
  <c r="L95" i="7" s="1"/>
  <c r="K96" i="7"/>
  <c r="L96" i="7" s="1"/>
  <c r="K97" i="7"/>
  <c r="L97" i="7" s="1"/>
  <c r="K98" i="7"/>
  <c r="L98" i="7" s="1"/>
  <c r="K99" i="7"/>
  <c r="L99" i="7" s="1"/>
  <c r="K100" i="7"/>
  <c r="L100" i="7" s="1"/>
  <c r="K101" i="7"/>
  <c r="L101" i="7" s="1"/>
  <c r="K102" i="7"/>
  <c r="L102" i="7" s="1"/>
  <c r="K103" i="7"/>
  <c r="L103" i="7" s="1"/>
  <c r="K104" i="7"/>
  <c r="L104" i="7" s="1"/>
  <c r="K107" i="7"/>
  <c r="L107" i="7" s="1"/>
  <c r="K108" i="7"/>
  <c r="L108" i="7" s="1"/>
  <c r="K110" i="7"/>
  <c r="L110" i="7" s="1"/>
  <c r="K111" i="7"/>
  <c r="L111" i="7" s="1"/>
  <c r="K112" i="7"/>
  <c r="L112" i="7" s="1"/>
  <c r="K113" i="7"/>
  <c r="L113" i="7" s="1"/>
  <c r="K114" i="7"/>
  <c r="L114" i="7" s="1"/>
  <c r="K115" i="7"/>
  <c r="L115" i="7" s="1"/>
  <c r="K116" i="7"/>
  <c r="L116" i="7" s="1"/>
  <c r="K117" i="7"/>
  <c r="L117" i="7" s="1"/>
  <c r="K118" i="7"/>
  <c r="L118" i="7" s="1"/>
  <c r="K119" i="7"/>
  <c r="L119" i="7" s="1"/>
  <c r="K120" i="7"/>
  <c r="L120" i="7" s="1"/>
  <c r="K121" i="7"/>
  <c r="L121" i="7" s="1"/>
  <c r="K122" i="7"/>
  <c r="L122" i="7" s="1"/>
  <c r="K123" i="7"/>
  <c r="L123" i="7" s="1"/>
  <c r="K124" i="7"/>
  <c r="L124" i="7" s="1"/>
  <c r="K128" i="7"/>
  <c r="L128" i="7" s="1"/>
  <c r="K129" i="7"/>
  <c r="L129" i="7" s="1"/>
  <c r="K130" i="7"/>
  <c r="L130" i="7" s="1"/>
  <c r="K131" i="7"/>
  <c r="L131" i="7" s="1"/>
  <c r="K132" i="7"/>
  <c r="L132" i="7" s="1"/>
  <c r="K133" i="7"/>
  <c r="L133" i="7" s="1"/>
  <c r="K134" i="7"/>
  <c r="L134" i="7" s="1"/>
  <c r="K135" i="7"/>
  <c r="L135" i="7" s="1"/>
  <c r="K136" i="7"/>
  <c r="L136" i="7" s="1"/>
  <c r="K137" i="7"/>
  <c r="L137" i="7" s="1"/>
  <c r="K138" i="7"/>
  <c r="L138" i="7" s="1"/>
  <c r="K139" i="7"/>
  <c r="L139" i="7" s="1"/>
  <c r="K140" i="7"/>
  <c r="L140" i="7" s="1"/>
  <c r="K141" i="7"/>
  <c r="L141" i="7" s="1"/>
  <c r="K142" i="7"/>
  <c r="L142" i="7" s="1"/>
  <c r="K143" i="7"/>
  <c r="L143" i="7" s="1"/>
  <c r="K144" i="7"/>
  <c r="L144" i="7" s="1"/>
  <c r="K145" i="7"/>
  <c r="L145" i="7" s="1"/>
  <c r="K147" i="7"/>
  <c r="L147" i="7" s="1"/>
  <c r="K148" i="7"/>
  <c r="L148" i="7" s="1"/>
  <c r="K149" i="7"/>
  <c r="L149" i="7" s="1"/>
  <c r="K150" i="7"/>
  <c r="L150" i="7" s="1"/>
  <c r="K152" i="7"/>
  <c r="L152" i="7" s="1"/>
  <c r="K153" i="7"/>
  <c r="L153" i="7" s="1"/>
  <c r="K154" i="7"/>
  <c r="L154" i="7" s="1"/>
  <c r="K155" i="7"/>
  <c r="L155" i="7" s="1"/>
  <c r="K156" i="7"/>
  <c r="L156" i="7" s="1"/>
  <c r="K157" i="7"/>
  <c r="L157" i="7" s="1"/>
  <c r="K158" i="7"/>
  <c r="L158" i="7" s="1"/>
  <c r="K159" i="7"/>
  <c r="L159" i="7" s="1"/>
  <c r="K160" i="7"/>
  <c r="L160" i="7" s="1"/>
  <c r="K161" i="7"/>
  <c r="L161" i="7" s="1"/>
  <c r="K162" i="7"/>
  <c r="L162" i="7" s="1"/>
  <c r="K163" i="7"/>
  <c r="L163" i="7" s="1"/>
  <c r="K164" i="7"/>
  <c r="L164" i="7" s="1"/>
  <c r="K166" i="7"/>
  <c r="L166" i="7" s="1"/>
  <c r="K167" i="7"/>
  <c r="L167" i="7" s="1"/>
  <c r="K168" i="7"/>
  <c r="L168" i="7" s="1"/>
  <c r="K172" i="7"/>
  <c r="L172" i="7" s="1"/>
  <c r="K173" i="7"/>
  <c r="L173" i="7" s="1"/>
  <c r="K174" i="7"/>
  <c r="L174" i="7" s="1"/>
  <c r="K175" i="7"/>
  <c r="L175" i="7" s="1"/>
  <c r="K176" i="7"/>
  <c r="L176" i="7" s="1"/>
  <c r="K177" i="7"/>
  <c r="L177" i="7" s="1"/>
  <c r="K178" i="7"/>
  <c r="L178" i="7" s="1"/>
  <c r="K179" i="7"/>
  <c r="L179" i="7" s="1"/>
  <c r="K180" i="7"/>
  <c r="L180" i="7" s="1"/>
  <c r="K181" i="7"/>
  <c r="L181" i="7" s="1"/>
  <c r="K182" i="7"/>
  <c r="L182" i="7" s="1"/>
  <c r="K183" i="7"/>
  <c r="L183" i="7" s="1"/>
  <c r="K185" i="7"/>
  <c r="L185" i="7" s="1"/>
  <c r="K186" i="7"/>
  <c r="L186" i="7" s="1"/>
  <c r="K187" i="7"/>
  <c r="L187" i="7" s="1"/>
  <c r="K188" i="7"/>
  <c r="L188" i="7" s="1"/>
  <c r="K189" i="7"/>
  <c r="L189" i="7" s="1"/>
  <c r="K190" i="7"/>
  <c r="L190" i="7" s="1"/>
  <c r="K192" i="7"/>
  <c r="L192" i="7" s="1"/>
  <c r="K193" i="7"/>
  <c r="L193" i="7" s="1"/>
  <c r="K194" i="7"/>
  <c r="L194" i="7" s="1"/>
  <c r="K195" i="7"/>
  <c r="L195" i="7" s="1"/>
  <c r="K197" i="7"/>
  <c r="L197" i="7" s="1"/>
  <c r="K198" i="7"/>
  <c r="L198" i="7" s="1"/>
  <c r="K199" i="7"/>
  <c r="L199" i="7" s="1"/>
  <c r="K200" i="7"/>
  <c r="L200" i="7" s="1"/>
  <c r="K201" i="7"/>
  <c r="L201" i="7" s="1"/>
  <c r="K202" i="7"/>
  <c r="L202" i="7" s="1"/>
  <c r="K203" i="7"/>
  <c r="L203" i="7" s="1"/>
  <c r="K204" i="7"/>
  <c r="L204" i="7" s="1"/>
  <c r="K205" i="7"/>
  <c r="L205" i="7" s="1"/>
  <c r="K208" i="7"/>
  <c r="L208" i="7" s="1"/>
  <c r="K209" i="7"/>
  <c r="L209" i="7" s="1"/>
  <c r="K210" i="7"/>
  <c r="L210" i="7" s="1"/>
  <c r="K211" i="7"/>
  <c r="L211" i="7" s="1"/>
  <c r="K213" i="7"/>
  <c r="L213" i="7" s="1"/>
  <c r="K214" i="7"/>
  <c r="L214" i="7" s="1"/>
  <c r="K215" i="7"/>
  <c r="L215" i="7" s="1"/>
  <c r="K216" i="7"/>
  <c r="L216" i="7" s="1"/>
  <c r="K217" i="7"/>
  <c r="L217" i="7" s="1"/>
  <c r="K218" i="7"/>
  <c r="L218" i="7" s="1"/>
  <c r="K219" i="7"/>
  <c r="L219" i="7" s="1"/>
  <c r="K220" i="7"/>
  <c r="L220" i="7" s="1"/>
  <c r="K222" i="7"/>
  <c r="L222" i="7" s="1"/>
  <c r="K223" i="7"/>
  <c r="L223" i="7" s="1"/>
  <c r="K224" i="7"/>
  <c r="L224" i="7" s="1"/>
  <c r="K226" i="7"/>
  <c r="L226" i="7" s="1"/>
  <c r="K227" i="7"/>
  <c r="L227" i="7" s="1"/>
  <c r="K229" i="7"/>
  <c r="L229" i="7" s="1"/>
  <c r="K230" i="7"/>
  <c r="L230" i="7" s="1"/>
  <c r="K231" i="7"/>
  <c r="L231" i="7" s="1"/>
  <c r="K232" i="7"/>
  <c r="L232" i="7" s="1"/>
  <c r="K233" i="7"/>
  <c r="L233" i="7" s="1"/>
  <c r="K234" i="7"/>
  <c r="L234" i="7" s="1"/>
  <c r="K236" i="7"/>
  <c r="L236" i="7" s="1"/>
  <c r="K237" i="7"/>
  <c r="L237" i="7" s="1"/>
  <c r="K238" i="7"/>
  <c r="L238" i="7" s="1"/>
  <c r="K239" i="7"/>
  <c r="L239" i="7" s="1"/>
  <c r="K240" i="7"/>
  <c r="L240" i="7" s="1"/>
  <c r="K241" i="7"/>
  <c r="L241" i="7" s="1"/>
  <c r="K242" i="7"/>
  <c r="L242" i="7" s="1"/>
  <c r="K243" i="7"/>
  <c r="L243" i="7" s="1"/>
  <c r="K245" i="7"/>
  <c r="L245" i="7" s="1"/>
  <c r="K246" i="7"/>
  <c r="L246" i="7" s="1"/>
  <c r="K247" i="7"/>
  <c r="L247" i="7" s="1"/>
  <c r="K248" i="7"/>
  <c r="L248" i="7" s="1"/>
  <c r="K249" i="7"/>
  <c r="L249" i="7" s="1"/>
  <c r="K250" i="7"/>
  <c r="L250" i="7" s="1"/>
  <c r="K251" i="7"/>
  <c r="L251" i="7" s="1"/>
  <c r="K252" i="7"/>
  <c r="L252" i="7" s="1"/>
  <c r="K253" i="7"/>
  <c r="L253" i="7" s="1"/>
  <c r="K254" i="7"/>
  <c r="L254" i="7" s="1"/>
  <c r="K255" i="7"/>
  <c r="L255" i="7" s="1"/>
  <c r="K257" i="7"/>
  <c r="L257" i="7" s="1"/>
  <c r="K258" i="7"/>
  <c r="L258" i="7" s="1"/>
  <c r="K259" i="7"/>
  <c r="L259" i="7" s="1"/>
  <c r="K260" i="7"/>
  <c r="L260" i="7" s="1"/>
  <c r="K261" i="7"/>
  <c r="L261" i="7" s="1"/>
  <c r="K262" i="7"/>
  <c r="L262" i="7" s="1"/>
  <c r="K263" i="7"/>
  <c r="L263" i="7" s="1"/>
  <c r="K264" i="7"/>
  <c r="L264" i="7" s="1"/>
  <c r="K265" i="7"/>
  <c r="L265" i="7" s="1"/>
  <c r="K266" i="7"/>
  <c r="L266" i="7" s="1"/>
  <c r="K267" i="7"/>
  <c r="L267" i="7" s="1"/>
  <c r="K268" i="7"/>
  <c r="L268" i="7" s="1"/>
  <c r="K269" i="7"/>
  <c r="L269" i="7" s="1"/>
  <c r="K270" i="7"/>
  <c r="L270" i="7" s="1"/>
  <c r="K271" i="7"/>
  <c r="L271" i="7" s="1"/>
  <c r="K272" i="7"/>
  <c r="L272" i="7" s="1"/>
  <c r="K273" i="7"/>
  <c r="L273" i="7" s="1"/>
  <c r="K274" i="7"/>
  <c r="L274" i="7" s="1"/>
  <c r="K275" i="7"/>
  <c r="L275" i="7" s="1"/>
  <c r="K276" i="7"/>
  <c r="L276" i="7" s="1"/>
  <c r="K278" i="7"/>
  <c r="L278" i="7" s="1"/>
  <c r="K279" i="7"/>
  <c r="L279" i="7" s="1"/>
  <c r="K280" i="7"/>
  <c r="L280" i="7" s="1"/>
  <c r="K281" i="7"/>
  <c r="L281" i="7" s="1"/>
  <c r="K282" i="7"/>
  <c r="L282" i="7" s="1"/>
  <c r="K283" i="7"/>
  <c r="L283" i="7" s="1"/>
  <c r="K284" i="7"/>
  <c r="L284" i="7" s="1"/>
  <c r="K285" i="7"/>
  <c r="L285" i="7" s="1"/>
  <c r="K286" i="7"/>
  <c r="L286" i="7" s="1"/>
  <c r="K287" i="7"/>
  <c r="L287" i="7" s="1"/>
  <c r="K288" i="7"/>
  <c r="L288" i="7" s="1"/>
  <c r="K289" i="7"/>
  <c r="L289" i="7" s="1"/>
  <c r="K291" i="7"/>
  <c r="L291" i="7" s="1"/>
  <c r="K292" i="7"/>
  <c r="L292" i="7" s="1"/>
  <c r="K293" i="7"/>
  <c r="L293" i="7" s="1"/>
  <c r="K294" i="7"/>
  <c r="L294" i="7" s="1"/>
  <c r="K295" i="7"/>
  <c r="L295" i="7" s="1"/>
  <c r="K296" i="7"/>
  <c r="L296" i="7" s="1"/>
  <c r="K297" i="7"/>
  <c r="L297" i="7" s="1"/>
  <c r="K298" i="7"/>
  <c r="L298" i="7" s="1"/>
  <c r="K299" i="7"/>
  <c r="L299" i="7" s="1"/>
  <c r="K300" i="7"/>
  <c r="L300" i="7" s="1"/>
  <c r="K302" i="7"/>
  <c r="L302" i="7" s="1"/>
  <c r="K303" i="7"/>
  <c r="L303" i="7" s="1"/>
  <c r="K304" i="7"/>
  <c r="L304" i="7" s="1"/>
  <c r="K305" i="7"/>
  <c r="L305" i="7" s="1"/>
  <c r="K307" i="7"/>
  <c r="L307" i="7" s="1"/>
  <c r="K308" i="7"/>
  <c r="L308" i="7" s="1"/>
  <c r="K309" i="7"/>
  <c r="L309" i="7" s="1"/>
  <c r="K310" i="7"/>
  <c r="L310" i="7" s="1"/>
  <c r="K311" i="7"/>
  <c r="L311" i="7" s="1"/>
  <c r="K7" i="7"/>
  <c r="L7" i="7" s="1"/>
</calcChain>
</file>

<file path=xl/sharedStrings.xml><?xml version="1.0" encoding="utf-8"?>
<sst xmlns="http://schemas.openxmlformats.org/spreadsheetml/2006/main" count="1241" uniqueCount="495">
  <si>
    <t>Công tác bê tông lót đá 1x2 M100 PCB40</t>
  </si>
  <si>
    <t>CCLD bản mã liên kết, sườn gia cường</t>
  </si>
  <si>
    <t>Bê tông lót đáy móng, đà kiềng SX bằng máy trộn, đổ bằng thủ công, chiều rộng &gt;250cm, M100, đá 1x2, PCB40</t>
  </si>
  <si>
    <t>Bê tông nền đá 1x2, M250, PCB40</t>
  </si>
  <si>
    <t>Công tác trát tường vữa XM M100, PCB40</t>
  </si>
  <si>
    <t>Công tác gạch 8x8x18cm, vữa XM M100 PCB40 tường dày 100</t>
  </si>
  <si>
    <t>Công tác đào đất</t>
  </si>
  <si>
    <t>CCLD bộ tích điện cửa cuốn, công suất 800w</t>
  </si>
  <si>
    <t>kg</t>
  </si>
  <si>
    <t>San lấp đất đến cao độ thiết kế</t>
  </si>
  <si>
    <t>Bê tông đá 1x2 M200 PCB40</t>
  </si>
  <si>
    <t>ĐT: "@ 02633 797 798" - hông nổi 6cm (tính theo diện tích logo - ngang x cao)</t>
  </si>
  <si>
    <t>Bê tông đá 1x2 M250 PCB40 cột</t>
  </si>
  <si>
    <t xml:space="preserve">VĂN PHÒNG + NHÀ XƯỞNG </t>
  </si>
  <si>
    <t>Công tác gia công lắp đặt cốt thép nền d8a200</t>
  </si>
  <si>
    <t>BẢNG HIỆU CHÍNH</t>
  </si>
  <si>
    <t>CCLD motor cửa, remot cửa cuốn (Hoyoka 600kg)</t>
  </si>
  <si>
    <t>GCLD ván khuôn nền cải tạo</t>
  </si>
  <si>
    <t>Công tác bê tông giằng tường đá 1x2 M200 PCB 40</t>
  </si>
  <si>
    <t xml:space="preserve">GCLD ván khuôn bê tông </t>
  </si>
  <si>
    <t>Công tác tôn nền bằng đá 0x4 đầm chặt, K=0,95</t>
  </si>
  <si>
    <t>CCLD Vì kèo thép hình SS400</t>
  </si>
  <si>
    <t>GCLD ván khuôn phủ phim</t>
  </si>
  <si>
    <t>Chữ "TÔN HOA SEN"  - hông nổi 6cm tính theo diện tích cụm chữ "TÔN HOA SEN", lấy chiều cao x chiều ngang cụm (không tính dấu)</t>
  </si>
  <si>
    <t>GCLD bản mã liên kết khung treo trần G1</t>
  </si>
  <si>
    <t>Xây gạch 8x8x19cm, xây tường thẳng chiều dày 20cm, vữa XM M100, XM PCB40</t>
  </si>
  <si>
    <t>Trồng cây viền chuỗi ngọc</t>
  </si>
  <si>
    <t/>
  </si>
  <si>
    <t>CCLD Cột thép hình SS400</t>
  </si>
  <si>
    <t>CCLD cửa sổ nhôm hệ 55 dày 1.4mm. kính cường lực 10mm,  tay đẩy hơi dừng 90 độ Hafele sơn tĩnh điện màu đen sần, phụ kiện đồng bộ</t>
  </si>
  <si>
    <t>Bê tông bệ bếp đá 1x2, M150, PCB40</t>
  </si>
  <si>
    <t>m3</t>
  </si>
  <si>
    <t xml:space="preserve">PHẦN KẾT CẤU TỔNG THỂ </t>
  </si>
  <si>
    <t>cây</t>
  </si>
  <si>
    <t>Đầm chặt đất  K=0,95, dày 200mm</t>
  </si>
  <si>
    <t>GCLD ống thép d42x2mm liên kết khung treo trần</t>
  </si>
  <si>
    <t>STT</t>
  </si>
  <si>
    <t xml:space="preserve">GCLD ván khuôn bê tông lót </t>
  </si>
  <si>
    <t>"Logo Hoa Sen, chữ nổi - Logo &amp; chữ làm bằng tole dày 1,2mm (hông tole  dày 1mm cho chữ lớn, dày 0.8mm cho chữ &lt; 30cm) - Sơn tĩnh điện 2 mặt trong ngoài, mặt ngoài sơn màu vàng theo mẫu, sơn phủ bóng 2K chống bay màu"</t>
  </si>
  <si>
    <t>Sơn bề mặt kim loại, 1 lớp lót, 2 lớp phủ bằng sơn chuyên dụng</t>
  </si>
  <si>
    <t>GCLD cốt thép CB300V, CB240T</t>
  </si>
  <si>
    <t>Xây gạch 8x8x19cm, xây tường thẳng chiều dày 10cm, vữa XM M100, XM PCB40</t>
  </si>
  <si>
    <t>Công tác sơn hoàn thiện 1 lớp lót 2 lớp phủ</t>
  </si>
  <si>
    <t>Công tác sơn mới cửa cuốn tôn tĩnh điện màu trắng, in LOGO Hoa Sen Home xám mờ.</t>
  </si>
  <si>
    <t>Chữ "wwwhoasengroupvn" - hông nổi 6cm tính theo diện tích cụm chữ, lấy chiều ngang x chiều cao cụm (không tính dấu)</t>
  </si>
  <si>
    <t>Đào đất hố móng, đà kiềng, bể tự hoại</t>
  </si>
  <si>
    <t>PHẦN HOÀN THIỆN</t>
  </si>
  <si>
    <t>Hộp đèn nắp bật không viền bằng nhôm profile dày 8cm, đáy alu 3mm trắng gắn led modul 3 bóng XQD injection 2835 góc chiếu 160, IP67,120 modul/m2, căng bạt AVERY USA, logo thương hiệu in UV lên film 3M IJ 15-114 cán màng chống bay màu 3M USA 8519</t>
  </si>
  <si>
    <t>bộ</t>
  </si>
  <si>
    <t>CCLD nẹp nhôm 15x30 chân vách ốp tôn</t>
  </si>
  <si>
    <t xml:space="preserve">CCLD tay nắm tròn khóa cửa </t>
  </si>
  <si>
    <t>Sika Grout đá 1x2 M250 PCB40</t>
  </si>
  <si>
    <t>Bộ</t>
  </si>
  <si>
    <t>Công tác gạch 8x8x18cm, vữa XM M100 PCB40 tường dày 200</t>
  </si>
  <si>
    <t>CCLD cửa đi nhôm hệ 55 dày 1.4mm. kính cường lực 8mm sơn tĩnh điện màu đen sần, phụ kiện đồng bộ</t>
  </si>
  <si>
    <t>cái</t>
  </si>
  <si>
    <t>m</t>
  </si>
  <si>
    <t>CCLD cửa tủ bếp nhôm thường sơn tĩnh điện màu đen sần, phụ kiện đồng bộ</t>
  </si>
  <si>
    <t>CCLD Xà gồ C mạ kẽm 250x50x10x2mm</t>
  </si>
  <si>
    <t>CCLD Bu lông nở M12, L=150mm</t>
  </si>
  <si>
    <t>m2</t>
  </si>
  <si>
    <t>Trồng cây lá trắng</t>
  </si>
  <si>
    <t>Bê tông đá 1x2 M250 PCB40 Móng, cổ cột, đà kiềng</t>
  </si>
  <si>
    <t>A</t>
  </si>
  <si>
    <t xml:space="preserve">Bao gồm chi phí Điện - Nước thi công </t>
  </si>
  <si>
    <t>trọn gói</t>
  </si>
  <si>
    <t>B</t>
  </si>
  <si>
    <t>Khối chặt</t>
  </si>
  <si>
    <t>Khối chặt, Thí nghiệm đầm chặt</t>
  </si>
  <si>
    <t>Ván phủ phim</t>
  </si>
  <si>
    <t>BT trộn tay</t>
  </si>
  <si>
    <t>Vệ sinh công nghiệp toàn bộ (Bao gồm tất cả các hạng mục thi công..). Vận chuyển xà bần, rác thi công xây dựng ra khỏi công trình và nội bộ công trình, vệ sinh sạch sẽ toàn bộ trước khi nghiệm thu đưa vào sử dụng</t>
  </si>
  <si>
    <t>Hoa Sen Mag Shield</t>
  </si>
  <si>
    <t>Toa</t>
  </si>
  <si>
    <t>Kính cường lực Bình Dương, nhôm Xingfa Việt Nam</t>
  </si>
  <si>
    <t>Kính cường lực Bình Dương</t>
  </si>
  <si>
    <t>Chi phí tháo dỡ 
- Cửa pano, cửa cuốn
- Cầu thang thép
….. các hạng mục khác thể hiện trong hồ sơ thiết kế và các hạng mục khác để phục vụ thi công các hạng mục theo Hợp đồng.</t>
  </si>
  <si>
    <t>BT Thương Phẩm</t>
  </si>
  <si>
    <t>Chi phí giấy phép xây dựng (bao gồm các chi phí làm việc với cơ quan chức năng, chi phí xin phép, chuyển đổi mục đích sử dụng đất (nếu có), chi phí xin phép đổ sân trước ra mép đường, đảm bảo tính pháp lí để công trình đưa vào sử dụng).</t>
  </si>
  <si>
    <t>ĐVT</t>
  </si>
  <si>
    <t xml:space="preserve">D&gt;=10, CB-300V, D&lt;10, CB-240T </t>
  </si>
  <si>
    <t>Hoa Sen</t>
  </si>
  <si>
    <t>Mua hàng Hoa Sen Home</t>
  </si>
  <si>
    <t>Mua hàng Hoa Sen bán</t>
  </si>
  <si>
    <t>Xây gạch đặc 4x8x18cm, xây tường thẳng chiều dày 20cm, vữa XM M75, XM PCB40</t>
  </si>
  <si>
    <t>Gạch Tuynel</t>
  </si>
  <si>
    <t>Cung cấp và lắp đặt tấm trần nhựa PIMA PC-24 
- Kích thước tấm 603x603x8 (mm) 
- Khung trần nổi ArTEK 
- Hệ khung 610x610mm</t>
  </si>
  <si>
    <t>Đá Granite đỏ Ấn độ</t>
  </si>
  <si>
    <t>Đá Granite Bình Định</t>
  </si>
  <si>
    <t>Maxilite</t>
  </si>
  <si>
    <t>I</t>
  </si>
  <si>
    <t>CÔNG TÁC BAN ĐẦU</t>
  </si>
  <si>
    <t>Chi phí xin giấy phép bảng hiệu
(Đơn vị thi công phải cam kết đảm bảo được thi công và đảm bảo bảng hiệu luôn tồn tại trong suốt thời gian hiệu lực giấy phép)
Kích thước trên giấy tờ sẽ thể hiện diện tích quảng cáo &lt; 20m2
Gia hạn giấy phép trong 1 năm tiếp theo
(Giá áp dụng luôn cho 3 năm kế tiếp nữa)</t>
  </si>
  <si>
    <t>Bảo trì định kỳ 6 tháng/ lần
Vệ sinh bảng, bộ chữ, kiểm tra hệ thống điện (theo yêu cầu của HS)</t>
  </si>
  <si>
    <t>II</t>
  </si>
  <si>
    <t>KẾT CẤU KHUNG VÀ MẶT BẰNG</t>
  </si>
  <si>
    <t>QUY CÁCH KHUNG: DÀI (19.695m) x CAO (5m) 
KT BẢNG CHÍNH: 
1. Phần khung chính của bảng gồm 2 lớp.
+ Lớp sau sử dụng xà gồ mạ kẽm liên kết bu lông vào các cột bảng hiệu.
+ Lớp trước sử dụng thép hộp mạ kẽm khoảng cách từ 1000-1250mm theo phương đứng liên kết hàn vào xà gồ C.
+ Phần viền xanh tạo gờ nổi 120mm so với nền tôn đỏ tạo hình bằng thép hộp mạ kẽm khoảng cách từ 1000-1250mm theo phương đứng
2. Mặt bảng được ốp tôn 11 sóng Hoa Sen màu đỏ và màu xanh 
3.Mặt sau bảng được ốp tôn sóng dày 3 dem có diềm tại vị trí tiếp giáp tôn mái nhà xưởng.
4. Giật cấp nẹp Z30x120x30 và góc nối tôn nẹp V30x30 tôn xanh  HOA SEN, đáy bảng hiệu có diềm chống dột vào nhà xưởng
* Tôn 11 sóng ngang, nẹp V tôn màu xanh dương tím theo quy cách của Hoa Sen</t>
  </si>
  <si>
    <t xml:space="preserve">Gạch Tuynel </t>
  </si>
  <si>
    <t>F</t>
  </si>
  <si>
    <t>PHẦN MEP</t>
  </si>
  <si>
    <t>Phần Tủ điện</t>
  </si>
  <si>
    <t xml:space="preserve">MCCB-3P-100A-25kA </t>
  </si>
  <si>
    <t>Cái</t>
  </si>
  <si>
    <t>ABN103c</t>
  </si>
  <si>
    <t>LS</t>
  </si>
  <si>
    <t>Korea</t>
  </si>
  <si>
    <t xml:space="preserve">Đèn báo pha (R, Y, B) </t>
  </si>
  <si>
    <t>YW1P-1EQM3(R,Y,B)</t>
  </si>
  <si>
    <t>Idec</t>
  </si>
  <si>
    <t>Japan</t>
  </si>
  <si>
    <t xml:space="preserve">Cầu chì 2A </t>
  </si>
  <si>
    <t>OFL10x38-2A + OMG-FS32X</t>
  </si>
  <si>
    <t>Omega</t>
  </si>
  <si>
    <t>VN</t>
  </si>
  <si>
    <t xml:space="preserve">Cầu chì 100A </t>
  </si>
  <si>
    <t>CDFB00-1-160 + CDFL0100</t>
  </si>
  <si>
    <t>C&amp;S</t>
  </si>
  <si>
    <t>India</t>
  </si>
  <si>
    <t xml:space="preserve">PCT 100/5A </t>
  </si>
  <si>
    <t>KBJ</t>
  </si>
  <si>
    <t>LightStar</t>
  </si>
  <si>
    <t xml:space="preserve">MCT 100/5A </t>
  </si>
  <si>
    <t>KBF</t>
  </si>
  <si>
    <t xml:space="preserve">Shuntrip cho MCCB-3P-100A-25kA </t>
  </si>
  <si>
    <t>Đồng hồ đo và hiển thị điện năng</t>
  </si>
  <si>
    <t xml:space="preserve">Bộ </t>
  </si>
  <si>
    <t>EM306-A</t>
  </si>
  <si>
    <t>Selec</t>
  </si>
  <si>
    <t>Rơle bảo vệ pha, chỉnh cao thấp áp và thời gian trễ</t>
  </si>
  <si>
    <t xml:space="preserve">MX200A –380V </t>
  </si>
  <si>
    <t>Mikro</t>
  </si>
  <si>
    <t>Malaysia</t>
  </si>
  <si>
    <t>Rơle bảo vệ chạm đất, chỉnh dòng rò 0.1-2A</t>
  </si>
  <si>
    <t>MK201A</t>
  </si>
  <si>
    <t>Rơle bảo vệ quá dòng, chỉnh dòng và thời gian</t>
  </si>
  <si>
    <t>MK204A</t>
  </si>
  <si>
    <t xml:space="preserve">MCCB-3P-50A-22kA </t>
  </si>
  <si>
    <t xml:space="preserve">MCCB-3P-25A-6kA </t>
  </si>
  <si>
    <t>BKJ63N 25A 3P 6kA</t>
  </si>
  <si>
    <t xml:space="preserve">MCB-1P-40A-10kA </t>
  </si>
  <si>
    <t>BKN-b 40A 1P 10kA</t>
  </si>
  <si>
    <t xml:space="preserve">MCB-1P-16A-6kA </t>
  </si>
  <si>
    <t>BKN-b 16A 1P 6kA</t>
  </si>
  <si>
    <t xml:space="preserve">MCB-1P-10A-6kA </t>
  </si>
  <si>
    <t>BKN-b 10A 1P 6kA</t>
  </si>
  <si>
    <t xml:space="preserve">Vỏ tủ điện form 2A, thanh cái 125A 3P+N+E &amp; Phụ kiện </t>
  </si>
  <si>
    <t>Lô</t>
  </si>
  <si>
    <t>Phần Chiếu sáng</t>
  </si>
  <si>
    <t>Công tắc đôi 1 chiều 10A</t>
  </si>
  <si>
    <t>Luscom</t>
  </si>
  <si>
    <t>Ống điện mềm D20</t>
  </si>
  <si>
    <t>Ống Điện D20</t>
  </si>
  <si>
    <t>Cu/PVC 2.5mm2</t>
  </si>
  <si>
    <t>Phần Cấp điện</t>
  </si>
  <si>
    <t>Ống Điện D32</t>
  </si>
  <si>
    <t>Cu/PVC 6mm2</t>
  </si>
  <si>
    <t>Cu/PVC 10mm2</t>
  </si>
  <si>
    <t>Cu/PVC 16mm2</t>
  </si>
  <si>
    <t>2x1C-6mm2 Cu/XLPE/PVC</t>
  </si>
  <si>
    <t>4x1C-10mm2 Cu/XLPE/PVC</t>
  </si>
  <si>
    <t>4x1C-35mm2 Cu/XLPE/PVC</t>
  </si>
  <si>
    <t>Cọc tiếp đất D16, L2.4m</t>
  </si>
  <si>
    <t>cọc</t>
  </si>
  <si>
    <t>Mối hàn hoá nhiệt</t>
  </si>
  <si>
    <t>mối</t>
  </si>
  <si>
    <t>Giếng khoan tiếp địa 20-30m</t>
  </si>
  <si>
    <t>Dây đồng trần 70mm2</t>
  </si>
  <si>
    <t>lô</t>
  </si>
  <si>
    <t>Phần điện nhẹ</t>
  </si>
  <si>
    <t>Cáp mạng Cat 6A FTP</t>
  </si>
  <si>
    <t>Commscope</t>
  </si>
  <si>
    <t>Ổ cắm mạng</t>
  </si>
  <si>
    <t>A6RJ88</t>
  </si>
  <si>
    <t>MPE</t>
  </si>
  <si>
    <t>Phần tủ điện</t>
  </si>
  <si>
    <t>Tủ điện DB-HSH</t>
  </si>
  <si>
    <t>Tủ</t>
  </si>
  <si>
    <t xml:space="preserve">MCCB-3P-50A-18kA </t>
  </si>
  <si>
    <t>ABN53c 50A 3P 18kA</t>
  </si>
  <si>
    <t>OFL10×38-2A + OMG-FS32X</t>
  </si>
  <si>
    <t xml:space="preserve">MCT 50/5A </t>
  </si>
  <si>
    <t>Hàn Quốc</t>
  </si>
  <si>
    <t>Đồng hồ Volt + Switch chuyển</t>
  </si>
  <si>
    <t>BE-96</t>
  </si>
  <si>
    <t>Bew</t>
  </si>
  <si>
    <t>Taiwan</t>
  </si>
  <si>
    <t>Đồng hồ Ampe + Switch chuyển</t>
  </si>
  <si>
    <t>MCB-3P-25A-6kA</t>
  </si>
  <si>
    <t>BKN 25A 3P 6kA</t>
  </si>
  <si>
    <t>RCBO-1P-32A-4.5kA-30mA</t>
  </si>
  <si>
    <t>RKP 1P+N 32A</t>
  </si>
  <si>
    <t>MCB-1P-25A-6kA</t>
  </si>
  <si>
    <t>BKJ63 1P 25A 10kA</t>
  </si>
  <si>
    <t>MCB-1P-16A-6kA</t>
  </si>
  <si>
    <t>BKN-b 1P 16A 6kA</t>
  </si>
  <si>
    <t>MCB-1P-10A-6kA</t>
  </si>
  <si>
    <t>BKN 1P – 10A – 6kA</t>
  </si>
  <si>
    <t xml:space="preserve">Vỏ tủ điện-Form 2A, thanh cái 50A 3P+N+E &amp; Phụ kiện </t>
  </si>
  <si>
    <t>Đèn led panel 50w 600x600</t>
  </si>
  <si>
    <t>Rạng Đông</t>
  </si>
  <si>
    <t>Đèn chiếu khẩn 2w</t>
  </si>
  <si>
    <t>ALEM648B</t>
  </si>
  <si>
    <t>AC</t>
  </si>
  <si>
    <t>Đèn thoát hiểm 3w</t>
  </si>
  <si>
    <t>AEX01C203</t>
  </si>
  <si>
    <t>Cu/PVC 1.5mm2</t>
  </si>
  <si>
    <t>Đỏ, Vàng, Xanh sọc lá</t>
  </si>
  <si>
    <t>Ống điện D20</t>
  </si>
  <si>
    <t>Ống Điện mềm D20</t>
  </si>
  <si>
    <t>Ổ cắm đôi 3 chấu 16A-220Vac</t>
  </si>
  <si>
    <t>Cu/PVC 3x1C-2.5mm2</t>
  </si>
  <si>
    <t>Cu/PVC 4mm2</t>
  </si>
  <si>
    <t>Hệ thống điều hòa không khí</t>
  </si>
  <si>
    <t>Phần điều hòa không khí</t>
  </si>
  <si>
    <t>Máy lạnh âm trần 5HP inverter kèm bơm nước ngưng</t>
  </si>
  <si>
    <t>Gree</t>
  </si>
  <si>
    <t>Trung Quốc</t>
  </si>
  <si>
    <t>Ống ga Þ9,5 + Gen cách nhiệt 13mm</t>
  </si>
  <si>
    <t>Ống ga Þ15,9 + Gen cách nhiệt 13mm</t>
  </si>
  <si>
    <t>Ống thoát máy lạnh uPVC D27 + Gen cách nhiệt 10mm</t>
  </si>
  <si>
    <t>Ống thoát máy lạnh uPVC D34 + Gen cách nhiệt 10mm</t>
  </si>
  <si>
    <t xml:space="preserve">Cu/PVC 4mm2 </t>
  </si>
  <si>
    <t>Dây điều khiển máy lạnh  Cu/PVC-1Cx1.5mm2</t>
  </si>
  <si>
    <t>Ống Điện D25</t>
  </si>
  <si>
    <t xml:space="preserve">MCB-2P-40A-6kA </t>
  </si>
  <si>
    <t>BKN 2P 40A</t>
  </si>
  <si>
    <t>BKN 1P 16A</t>
  </si>
  <si>
    <t>Vỏ tủ điện, thanh cái 40A P+N+E &amp; Phụ kiện Form 1A</t>
  </si>
  <si>
    <t>Đèn led downlight âm trần  12w</t>
  </si>
  <si>
    <t>D PT04L 135/12W
SRPL-12T
AD17C0123/4/6 12W</t>
  </si>
  <si>
    <t xml:space="preserve">Rạng Đông
MPE
AC </t>
  </si>
  <si>
    <t>Đèn led huỳnh quang 1x20w</t>
  </si>
  <si>
    <t xml:space="preserve">
Rạng Đông
</t>
  </si>
  <si>
    <t>Đèn led huỳnh quang 2x20w</t>
  </si>
  <si>
    <t>M38</t>
  </si>
  <si>
    <t>Công tắc đơn 1 chiều 10A</t>
  </si>
  <si>
    <t>Quạt hút âm trần</t>
  </si>
  <si>
    <t>FV-15TGU5</t>
  </si>
  <si>
    <t>Panasonic</t>
  </si>
  <si>
    <t>Phần Thiết bị vệ sinh</t>
  </si>
  <si>
    <t>Lắp đặt xí bệt + vòi xịt vệ sinh + bộ chia 2</t>
  </si>
  <si>
    <t xml:space="preserve">T006 + A026 + COCVT0001 </t>
  </si>
  <si>
    <t>Tuslo</t>
  </si>
  <si>
    <t>Lắp đặt lavabo + bộ xả + vòi rửa</t>
  </si>
  <si>
    <t xml:space="preserve">Lắp đặt gương soi </t>
  </si>
  <si>
    <t>M001</t>
  </si>
  <si>
    <t>Vòi nước + vòi sen tắm</t>
  </si>
  <si>
    <t>S014</t>
  </si>
  <si>
    <t>Lắp đặt phiễu thu sàn 100x100  inox 304</t>
  </si>
  <si>
    <t>A043</t>
  </si>
  <si>
    <t xml:space="preserve">Chậu rửa chén + bộ xả + vòi </t>
  </si>
  <si>
    <t>D006 + K009</t>
  </si>
  <si>
    <t>Lushine</t>
  </si>
  <si>
    <t>Phần thoát nước mưa</t>
  </si>
  <si>
    <t>Ống uPVC D168 4.3mm</t>
  </si>
  <si>
    <t>Ống uPVC D114 4.3mm</t>
  </si>
  <si>
    <t>Lơi D168 dày</t>
  </si>
  <si>
    <t>Lơi D114 dày</t>
  </si>
  <si>
    <t>Co D168 dày</t>
  </si>
  <si>
    <t>Y168 dày</t>
  </si>
  <si>
    <t>Y168/114 dày</t>
  </si>
  <si>
    <t>Phụ kiện hệ thống thoát nước (ty treo, giá đỡ, keo dán….)</t>
  </si>
  <si>
    <t>Phần thoát nước</t>
  </si>
  <si>
    <t>Ống uPVC D114 3.2mm</t>
  </si>
  <si>
    <t>Ống uPVC D60 2.0mm</t>
  </si>
  <si>
    <t>Ống uPVC D49 2.4mm</t>
  </si>
  <si>
    <t>Lơi D60 dày</t>
  </si>
  <si>
    <t>Co D114 dày</t>
  </si>
  <si>
    <t>Co D60 dày</t>
  </si>
  <si>
    <t>Co D49 dày</t>
  </si>
  <si>
    <t>Y D114 dày</t>
  </si>
  <si>
    <t>Y D60 dày</t>
  </si>
  <si>
    <t>Phần Cấp nước</t>
  </si>
  <si>
    <t>Bồn nước Inox 304 1000 lít</t>
  </si>
  <si>
    <t>Bơm cấp nước Q=2m3/h, H=20m</t>
  </si>
  <si>
    <t>GP-200JXK-SV5</t>
  </si>
  <si>
    <t>Van khóa D34</t>
  </si>
  <si>
    <t>Van 1 chiều D34</t>
  </si>
  <si>
    <t>Racco D34</t>
  </si>
  <si>
    <t>Van phao D34</t>
  </si>
  <si>
    <t xml:space="preserve">Phao điện </t>
  </si>
  <si>
    <t>Ống uPVC D34 1.6mm</t>
  </si>
  <si>
    <t>Ống uPVC D27 1.3mm</t>
  </si>
  <si>
    <t>Ống uPVC D21 1.2mm</t>
  </si>
  <si>
    <t>Tê D27 dày</t>
  </si>
  <si>
    <t>Tê giảm D27-D21 dày</t>
  </si>
  <si>
    <t>Nối giảm D34-D27 dày</t>
  </si>
  <si>
    <t>Nối giảm D27-D21 dày</t>
  </si>
  <si>
    <t>Co D34 dày</t>
  </si>
  <si>
    <t>Co D27 dày</t>
  </si>
  <si>
    <t>Co D21 dày</t>
  </si>
  <si>
    <t>Co răng trong D21</t>
  </si>
  <si>
    <t>Nối 2 đầu răng D21</t>
  </si>
  <si>
    <t>Phụ kiện hệ thống cấp nước (ty treo, giá đỡ, keo dán….)</t>
  </si>
  <si>
    <t>Lắp đặt kim thu sét bán kính bảo vệ 20m, H=5m</t>
  </si>
  <si>
    <t>Liva</t>
  </si>
  <si>
    <t>Thỗ Nhỹ kỳ</t>
  </si>
  <si>
    <t>Cadwell</t>
  </si>
  <si>
    <t>Trụ đỡ kim thu sét STK D60</t>
  </si>
  <si>
    <t>Hộp kiểm tra điện trở đất inox 304 200x200</t>
  </si>
  <si>
    <t>hộp</t>
  </si>
  <si>
    <t>Ống PVC D32</t>
  </si>
  <si>
    <t>Bình chữa cháy CO2 5kg</t>
  </si>
  <si>
    <t>Bình bột BC 8kg</t>
  </si>
  <si>
    <t>Bảng nội quy PCCC + Tiêu lệnh PCCC</t>
  </si>
  <si>
    <t xml:space="preserve"> bộ</t>
  </si>
  <si>
    <t xml:space="preserve">Trung tâm báo cháy 24V- 4 Zone đã bao gồm Acquy
Tủ trung tâm báo cháy loại thường 4 kênh </t>
  </si>
  <si>
    <t>AW-CFP2166-4C</t>
  </si>
  <si>
    <t>Asenware</t>
  </si>
  <si>
    <t>TQ</t>
  </si>
  <si>
    <t>Chuông + đèn + nút nhấn 24V</t>
  </si>
  <si>
    <t>AW-D316
AW-D315C</t>
  </si>
  <si>
    <t>Đầu báo khói</t>
  </si>
  <si>
    <t>AW-CSD381</t>
  </si>
  <si>
    <t>Đầu báo khói dạng tia - đầu phát</t>
  </si>
  <si>
    <t>AW-D130C</t>
  </si>
  <si>
    <t>Cáp điện Cu/PVC 2x1C-1.5mm2</t>
  </si>
  <si>
    <t>Phụ kiện hệ thống báo cháy</t>
  </si>
  <si>
    <t>Đèn Pha LED 200W IP65</t>
  </si>
  <si>
    <t>D CP06L 200W
 NEPTUNE 200
AFL01C02003/46</t>
  </si>
  <si>
    <t>Rạng Đông
Điện Quang
AC</t>
  </si>
  <si>
    <t xml:space="preserve">Đèn led downlight gắn nổi 24w </t>
  </si>
  <si>
    <t>AD08C0243 225mm/24W</t>
  </si>
  <si>
    <t xml:space="preserve">AC </t>
  </si>
  <si>
    <t>Dây điện 1Cx2.5mm2</t>
  </si>
  <si>
    <t>Tủ điện DB-BH</t>
  </si>
  <si>
    <t>tủ</t>
  </si>
  <si>
    <t>Contactor 2P-40A + timer</t>
  </si>
  <si>
    <t>LS 25A- 24vdc + DH48S-2Z 220V</t>
  </si>
  <si>
    <t>LS + Panasonic</t>
  </si>
  <si>
    <t>Hàn Quốc + Nhật Bản</t>
  </si>
  <si>
    <t>Long Phú
Hawee
Đạt Vĩnh Tiến</t>
  </si>
  <si>
    <t>Phụ kiện hệ thống biển hiệu (gia công giá đõ đèn Pha LED theo yêu cầu của CĐT)</t>
  </si>
  <si>
    <t>BK20S-T2 4P</t>
  </si>
  <si>
    <t>Surge Arrester 40KA</t>
  </si>
  <si>
    <t>NỘI DUNG CÔNG VIỆC</t>
  </si>
  <si>
    <t>KHỐI LƯỢNG</t>
  </si>
  <si>
    <t>MÃ HIỆU</t>
  </si>
  <si>
    <t>XUẤT XỨ</t>
  </si>
  <si>
    <t>GHI CHÚ</t>
  </si>
  <si>
    <t>Đảm bảo có giấy phép của Sở Văn hóa - Thông tin cấp</t>
  </si>
  <si>
    <t>NHÃN HIỆU</t>
  </si>
  <si>
    <t>Sika</t>
  </si>
  <si>
    <t>GCLD bu lông mạ kẽm điện phân cường độ cao (8.8) neo J, M20; L=600mm</t>
  </si>
  <si>
    <t>CCLD bản mã liên kết chân cột (280x200x16mm; 230x200x16mm; 280x220x14mm; 160x160x6mm)</t>
  </si>
  <si>
    <t>CCLD bu long neo mạ kẽm điện phân M20 (8.8) liên kết khung treo trần G1</t>
  </si>
  <si>
    <t>Alu Alcorest</t>
  </si>
  <si>
    <t xml:space="preserve">Công tác Ốp tôn vách 13 sóng màu trắng sữa, chồng 1 sóng dày 0.45mm + phụ kiện đồng bộ </t>
  </si>
  <si>
    <t xml:space="preserve">Công tác Ốp tôn vách 13 sóng màu đỏ chồng 1 sóng dày 0.45mm + phụ kiện đồng bộ </t>
  </si>
  <si>
    <t xml:space="preserve">Ốp tôn vách 11 sóng màu trắng sữa, chồng 1 sóng, dày 0.45mm + phụ kiện đồng bộ </t>
  </si>
  <si>
    <t xml:space="preserve">Ốp tôn vách 11 sóng màu vàng đồng sữa chồng 1 sóng, dày 0.5mm + phụ kiện đồng bộ </t>
  </si>
  <si>
    <t>Ốp tôn sóng dày 0.5 mm có diềm tại vị trí tiếp giáp tôn mái nhà xưởng</t>
  </si>
  <si>
    <t>Ống nước: Mua hàng Hoa Sen bán</t>
  </si>
  <si>
    <t xml:space="preserve"> T8 TT01 M11/20Wx1</t>
  </si>
  <si>
    <t>Toa Nanosheild</t>
  </si>
  <si>
    <t xml:space="preserve">CCLD cửa cuốn tôn sơn tĩnh điện màu trắng, dày 0.8mm. Đồng bộ thân cửa, ray trục, giá đỡ, in LOGO Hoa Sen Home xám mờ. </t>
  </si>
  <si>
    <t>ALCOREST EV3010</t>
  </si>
  <si>
    <t>ALCOREST EV3001</t>
  </si>
  <si>
    <t xml:space="preserve">CCLD máng xối tôn dày 0.5mm + phụ kiện đồng bộ </t>
  </si>
  <si>
    <t>BẬC CẤP + BỒN HOA</t>
  </si>
  <si>
    <t>C</t>
  </si>
  <si>
    <t>GCLD Diềm chân tôn</t>
  </si>
  <si>
    <t>GCC42S6I/
GMC42S6I</t>
  </si>
  <si>
    <t>Công tác ốp gạch tường granit 300x600 vữa XM M100 PCB40 dày 25mm</t>
  </si>
  <si>
    <t>Công tác lát gạch gian home granit 800x800 vữa XM M100 PCB40 dày 40mm</t>
  </si>
  <si>
    <t>Công tác lát gạch nhà nhân viên granit 600x600 bóng mặt vữa XM M100 PCB40 dày 40mm</t>
  </si>
  <si>
    <t>Công tác lát gạch chống trơn trượt nhà vệ sinh granit 300x600 bóng mặt vữa XM M100 PCB40 dày 40mm</t>
  </si>
  <si>
    <t xml:space="preserve">Bao gồm vữa ốp gạch 
</t>
  </si>
  <si>
    <t>Ốp đá granite bậc tam cấp, đá đỏ Bình Định dày 10-20mm vữa XM M75 PCB40 (bao gồm chỉ đá ốp dưới mũi bậc cấp - nửa hình bán nguyệt) dày 25mm</t>
  </si>
  <si>
    <t>Công tác ốp đá Granit tự nhiên màu đen dày 10-20mm, vữa XM M75 PCB40 dày 25mm</t>
  </si>
  <si>
    <t>Ốp đá granite bậc tam cấp, đá đỏ Bình Định dày 10-20mm, vữa XM M100 PCB40 dày 25mm (bao gồm chỉ đá ốp dưới mũi bậc cấp - nửa hình bán nguyệt)</t>
  </si>
  <si>
    <t>Ốp gạch 300x660, màu đen xám vân đá, GD366404TT, vữa XM M100 PCB40 dày 25mm</t>
  </si>
  <si>
    <t xml:space="preserve">Bao gồm vữa ốp gạch </t>
  </si>
  <si>
    <t>Santo</t>
  </si>
  <si>
    <t>Ống nhựa xoắn HDPE D65/50</t>
  </si>
  <si>
    <t>Cadweld</t>
  </si>
  <si>
    <t>Mỹ</t>
  </si>
  <si>
    <t>Cọc mạ đồng</t>
  </si>
  <si>
    <t>L003 + A050+F011</t>
  </si>
  <si>
    <t>CO2/MT5</t>
  </si>
  <si>
    <t>83MEC</t>
  </si>
  <si>
    <t>ABC/8KG</t>
  </si>
  <si>
    <t>Bộ truyền tín hiệu tới đơn vị PCCC</t>
  </si>
  <si>
    <t>G6</t>
  </si>
  <si>
    <t>GSAFE</t>
  </si>
  <si>
    <t>Nhật Bản</t>
  </si>
  <si>
    <t>I.</t>
  </si>
  <si>
    <t xml:space="preserve">GHI CHÚ </t>
  </si>
  <si>
    <t xml:space="preserve"> YÊU CẦU CÁC NCC KHẢO SÁT HIỆN TRẠNG TRƯỚC KHI BÁO GIÁ.</t>
  </si>
  <si>
    <t>NCC TÍNH LẠI KHỐI LƯỢNG, NẾU CÓ PHÁT SINH NGOÀI CÁC ĐẦU MỤC BOQ, ĐƠN VỊ THI CÔNG VUI LÒNG GỬI VỀ CHO HOA SEN RÀ SOÁT LẠI</t>
  </si>
  <si>
    <t>NCC PHẢI SỬ DỤNG CÁC SẢN PHẨM THƯƠNG MẠI QUA KÊNH HOA SEN HOME (NẾU NẰM TRONG ĐẦU MỤC CÓ KINH DOANH PHÂN PHỐI)</t>
  </si>
  <si>
    <t>NHÀ THẦU BỔ SUNG MÃ HIỆU, NHÃN HIỆU, XUẤT XỨ ( NẾU CÓ ), GHI RÕ THÔNG SỐ KỸ THUẬT CHO CHỦNG LOẠI VẬT TƯ</t>
  </si>
  <si>
    <t>MUA HÀNG HOA SEN BÁN VÀ HOA SEN THƯƠNG MẠI: TẠI NHÀ MÁY HOA SEN SẢN XUẤT VÀ CỬA HÀNG HOA SEN HOME.</t>
  </si>
  <si>
    <t>VỀ NĂNG LỰC KỸ THUẬT</t>
  </si>
  <si>
    <t>MỜI CÁC NCC HỌP KỸ THUẬT TRƯỚC KHI CHÀO GIÁ</t>
  </si>
  <si>
    <t>NCC PHẢI CÓ KINH NGHIỆM THI CÔNG CÁC CÔNG TRÌNH CÓ QUY MÔ TƯƠNG TỰ TỪ 02 CÔNG TRÌNH TRỞ LÊN</t>
  </si>
  <si>
    <t>III</t>
  </si>
  <si>
    <t>VỀ NĂNG LỰC NHÂN SỰ, TÀI CHÍNH</t>
  </si>
  <si>
    <t>NCC PHẢI CÓ ĐỦ NĂNG LỰC VỀ TÀI CHÍNH, ĐẢM BẢO NĂNG LỰC NHÂN SỰ THỰC HIỆN, PHÙ HỢP VỚI QUY MÔ CÔNG TRÌNH</t>
  </si>
  <si>
    <t>ĐIỀU KHOẢN THƯƠNG MẠI</t>
  </si>
  <si>
    <t>HOA SEN ĐỀ XUẤT</t>
  </si>
  <si>
    <t>Địa điểm</t>
  </si>
  <si>
    <t>Cửa Hàng Hoa Sen Home Phủ Lý - Ninh Bình</t>
  </si>
  <si>
    <t>Thời gian thực hiện</t>
  </si>
  <si>
    <t xml:space="preserve">Trong vòng…….. ngày kể từ ngày ký hợp đồng, duyệt bản vẽ thi công và bàn giao mặt bằng. </t>
  </si>
  <si>
    <t>Thanh toán</t>
  </si>
  <si>
    <t>Bảo hành</t>
  </si>
  <si>
    <t xml:space="preserve">- Thời hạn bảo hành: Bảo hành toàn hệ thống trong vòng 12 tháng kể từ ngày ký Biên bản nghiệm thu bàn giao. </t>
  </si>
  <si>
    <t>CO, CQ, CNXX</t>
  </si>
  <si>
    <t>- Sẽ trình trước khi đưa vật tư vào công trình.</t>
  </si>
  <si>
    <t>Hiệu lực báo giá</t>
  </si>
  <si>
    <t>Khác</t>
  </si>
  <si>
    <t>- Giá dự thầu là giá do nhà thầu ghi trong hồ sơ dự thầu sau khi đã trừ phần giảm giá (nếu có) và phải được đưa về đơn giá tổng hợp sau thuế trọn gói bao gồm tất cả các chi phí để thi công hoàn thành công trình, chi phí bảo hành, chi phí vận hành chạy thử, bảo hiểm xã hội, con người, vật tư, nhân công, thiết bị, thí nghiệm vật tư, lán trại, điện nước phục vụ thi công, làm đường tạm, biện pháp thi công, bốc xếp, bảo vệ, phí phòng ngừa rủi ro,  thuế (VAT, thuế thu nhập doanh nghiệp, thuế hải quan vv...), đào tạo huấn luyện công nhân về an toàn lao động, phòng chống cháy nổ, chi phí và lệ phí (nếu có) để cơ quan có thẩm quyền của nhà nước nghiệm thu hoàn thành công trình để đưa vào sử dụng.... 
- Giá dự thầu được chào trên cơ sở cho một đơn vị tính (m2, m3, kg . . .).
- Giá dự thầu đã bao gồm các chi phí hao hụt, vật tư phụ, quản lý và các chi phí khác (nếu có)
- Trường hợp nhà thầu phát hiện khối lượng trong bản tiên lượng hồ sơ mời thầu tính thiếu so với thiết kế hoặc cần bổ sung khối lượng thiết kế để đảm bảo yêu cầu kỹ thuật thi công của công trình thì nhà thầu phải lập thành bản chào riêng, không cộng vào giá chào thầu, trình chủ đầu tư phê duyệt.
- Phải sử dụng các sản phẩm thương mại qua kênh HSH (Nếu nằm trong đầu mục có kinh doanh của HSH)
- Loại hợp đồng: đơn giá cố định, nghiệm thu thực tế.</t>
  </si>
  <si>
    <t>ĐẠI DIỆN NHÀ THẦU</t>
  </si>
  <si>
    <t>Đơn giá vật tư
(chưa VAT)</t>
  </si>
  <si>
    <t>Đơn giá nhân công
(chưa VAT)</t>
  </si>
  <si>
    <t>Tổng đơn giá
(chưa VAT)</t>
  </si>
  <si>
    <t>Thành tiền
(chưa VAT)</t>
  </si>
  <si>
    <t>Ghi chú của NCC (nếu có)</t>
  </si>
  <si>
    <t>30/07/2026</t>
  </si>
  <si>
    <t>- Đợt 1: Tạm ứng 30% tổng giá trị HĐ ngay sau khi ký HĐ (Nhà thầu cấp bảo lãnh tiền tạm ứng vô điều kiện, không hủy ngang, tương ứng 30%, Hiệu lực bảo lãnh = Thời hạn HĐ + 10 ngày).
- Đợt 2,3,...: Cứ sau 30 ngày thi công, thanh toán đến 85% giá trị khối lượng hoàn thành (đã bao gồm 30% giá trị đã tạm ứng của phần khối lượng đó) kể từ ngày Chủ đầu tư nhận đúng và đầy đủ hồ sơ thanh toán từ Nhà thầu
- Đợt cuối: Thanh toán phần còn lại theo giá trị quyết toán (khối lượng nghiệm thu thực tế) sau khi chủ đầu tư nhận được đầy đủ hồ sơ quyết toán theo quy định và nhận được thư bảo lãnh bảo hành vô điều kiện không hủy ngang trị giá 5% giá trị hoàn thành (Hiệu lực bảo lãnh = Thời gian bảo hành 1 năm + 5 ngày)</t>
  </si>
  <si>
    <t>Sikagrout 214 11 - VN</t>
  </si>
  <si>
    <t>CCLD bu long liên kết M20 (8.8)</t>
  </si>
  <si>
    <t>Công tác bả bột vào tường trong và ngoài</t>
  </si>
  <si>
    <t>CCLD VK1 khung nhôm Xingfa, hệ 65mm, dày 2mm kính cường lực 12mm</t>
  </si>
  <si>
    <t>CCLD VK2 khung nhôm Xingfa, hệ 55mm, dày 1,4mm, sơn tĩnh điện màu đen sần kính cường lực 10mm</t>
  </si>
  <si>
    <t>Nhà thầu đồng ý</t>
  </si>
  <si>
    <t xml:space="preserve">Trong vòng 60 ngày kể từ ngày ký hợp đồng, duyệt bản vẽ thi công và bàn giao mặt bằng. </t>
  </si>
  <si>
    <t>Chi phí xin phép, thiết kế, nghiệm thu PCCC</t>
  </si>
  <si>
    <t>Phế liệu tháo dỡ bàn giao lại cho Cửa hàng</t>
  </si>
  <si>
    <t>Công tác trải nilong chống mất nước dày 0.15mm chồng mí 100mm</t>
  </si>
  <si>
    <t>Công tác trát tường bể tự hoại dày 1.5cm 2 lớp XM M75 PC40</t>
  </si>
  <si>
    <t>Công tác trát tường trong và ngoài dày 1.5cm XM M75 PC40</t>
  </si>
  <si>
    <t>CCLD thép hộp mạ kẽm 100x100x1.8mm</t>
  </si>
  <si>
    <t>CCLD Xà gồ thép hộp mạ kẽm 50x100x1.4mm</t>
  </si>
  <si>
    <t>CCLD Xà gồ thép hộp mạ kẽm 30x60x1.4mm</t>
  </si>
  <si>
    <t>GCLD khung treo trần thép hộp50x100x1.4mm mạ kẽm</t>
  </si>
  <si>
    <t>GCLD khung treo trần thép hộp50x50x1.4mm mạ kẽm</t>
  </si>
  <si>
    <t>GCLD khung treo trần thép hộp 30x60x1.4mm mạ kẽm</t>
  </si>
  <si>
    <t>GCLD khung treo trần thép hộp 30x30x1.4mm mạ kẽm</t>
  </si>
  <si>
    <t>GCLD xà gồ mái thép hộp 50x100x1.4mm mạ kẽm</t>
  </si>
  <si>
    <t>GCLD khung thép hộp mã kẽm 20x20x1.2mm định hình</t>
  </si>
  <si>
    <t>GCLD khung thép hộp mã kẽm 50x100x1.8mm ốp tôn</t>
  </si>
  <si>
    <t>GCLD khung thép hộp mã kẽm 20x20x1.2mm ốp tôn</t>
  </si>
  <si>
    <t>GCLD khung thép hộp mã kẽm 20x40x1.2mm ốp tôn</t>
  </si>
  <si>
    <t>GCLD khung thép hộp mã kẽm 40x40x1.4mm ốp tôn</t>
  </si>
  <si>
    <t>Sơn lót chống gỉ Sơn Toa con vịt màu xám</t>
  </si>
  <si>
    <t>Sơn Toa</t>
  </si>
  <si>
    <t>Bao gồm vữa ốp gạch</t>
  </si>
  <si>
    <t>Lustile</t>
  </si>
  <si>
    <t>Bao gồm vữa lát gạch 
(cuốn nền)</t>
  </si>
  <si>
    <t>Lustra</t>
  </si>
  <si>
    <t>GCLD tấm Aluminium composite ALCOREST EV3010 - màu bạc ngoài trời ốp cột, mái canopy - độ dày nhôm 0.21mm, độ dày tấm 3mm</t>
  </si>
  <si>
    <t>GCLD tấm Aluminium composite ALCOREST EV3001-màu đỏ ngoài trời ốp cột - độ dày nhôm 0.21mm, độ dày tấm 3mm</t>
  </si>
  <si>
    <t>Fucodoor</t>
  </si>
  <si>
    <t>CCLD cửa đi KT 1800x2400, nhôm hệ 55 dày 1.4mm, kính cường lực 10mm, tay đẩy hơi dừng 90 độ Hafele sơn tĩnh điện màu đen sần, phụ kiện đồng bộ</t>
  </si>
  <si>
    <t>CCLD Cửa đi bản lề sàn, kính cường lực 10mm</t>
  </si>
  <si>
    <t>CCLD Cửa đi bản lề sàn, kính cường lực 12mm</t>
  </si>
  <si>
    <t>GCLD khung cửa sắt 13x26x1.1mm</t>
  </si>
  <si>
    <t>Đổ đất hữu cơ vào bồn hoa (đất đen 0.02m3/bao)</t>
  </si>
  <si>
    <t>D</t>
  </si>
  <si>
    <t>BẢNG HIỆU - QUẢNG CÁO</t>
  </si>
  <si>
    <t>GCLD khung xương thép hộp 40x40x1.4mm</t>
  </si>
  <si>
    <t>Ốp tôn 11 sóng Hoa Sen màu xanh MBL01-HPC AZ100 35/10 dày 0.50mm G550</t>
  </si>
  <si>
    <t>Ốp tôn 11 sóng Hoa Sen màu đỏ BRL33-HPC AZ100 35/10 dày 0.50mm G550</t>
  </si>
  <si>
    <t>Icon logo - hông nổi 10cm (tính theo diện tích logo - ngang x cao)</t>
  </si>
  <si>
    <t>"HOA SEN HOME" BẢNG CHÍNH KT: Chữ HOA (822x2802) + Chữ SEN (822x2506) + Chữ HOME (822x4215) - hông nổi 10 cm tính theo tổng diện tích từng chữ cái (cao x ngang)</t>
  </si>
  <si>
    <t>"HỆ THỐNG SIÊU THỊ VẬT LIỆU XÂY DỰNG &amp; NỘI THẤT" hông nổi 6cm tính theo diện tích cụm chữ, lấy chiều ngang x chiều cao cụm (không tính dấu)</t>
  </si>
  <si>
    <t>NHÀ XƯỞNG</t>
  </si>
  <si>
    <t>Daphaco Lion</t>
  </si>
  <si>
    <t>Phụ kiện hệ thống điện nhẹ (Hộp nối dây, co, tê, nối, tyren …)</t>
  </si>
  <si>
    <t>HOA SEN HOME</t>
  </si>
  <si>
    <t>DP06 SS-KPK RĐ 60x60/50W</t>
  </si>
  <si>
    <t>Toàn Phát + Superlon</t>
  </si>
  <si>
    <t>Việt Nam/ Malaysia</t>
  </si>
  <si>
    <t>Hoa Sen + Superlon</t>
  </si>
  <si>
    <t>Phụ kiện hệ thống điều hòa không khí (ty ren, co, tê….).</t>
  </si>
  <si>
    <t>KHU NHÀ NHÂN VIÊN</t>
  </si>
  <si>
    <t>IV</t>
  </si>
  <si>
    <t>PHẦN CHỐNG SÉT VÀ TIẾP ĐỊA</t>
  </si>
  <si>
    <t>Phụ kiện hệ thống chống sét và tiếp địa ( Bao gồm mối hàn hóa nhiệt).</t>
  </si>
  <si>
    <t>V</t>
  </si>
  <si>
    <t>PHẦN BÁO CHÁY</t>
  </si>
  <si>
    <t>Đầu báo khói dạng tia -  đầu thu</t>
  </si>
  <si>
    <t>VI</t>
  </si>
  <si>
    <t>PHẦN CHIẾU SÁNG BẢNG HIỆU</t>
  </si>
  <si>
    <t>Ánh sáng vàng ấm
Mua hàng Hoa Sen Home</t>
  </si>
  <si>
    <t>TỔNG CỘNG (VNĐ - CHƯA VAT)</t>
  </si>
  <si>
    <r>
      <rPr>
        <b/>
        <sz val="16"/>
        <color indexed="10"/>
        <rFont val="Times New Roman"/>
        <family val="1"/>
      </rPr>
      <t>CÔNG TY CỔ PHẦN TẬP ĐOÀN HOA SEN</t>
    </r>
    <r>
      <rPr>
        <sz val="16"/>
        <color indexed="10"/>
        <rFont val="Times New Roman"/>
        <family val="1"/>
      </rPr>
      <t xml:space="preserve">
</t>
    </r>
    <r>
      <rPr>
        <b/>
        <sz val="16"/>
        <color indexed="10"/>
        <rFont val="Times New Roman"/>
        <family val="1"/>
      </rPr>
      <t>Phòng Mua Hàng</t>
    </r>
  </si>
  <si>
    <r>
      <t>THƯ MỜI CHỐT GIÁ</t>
    </r>
    <r>
      <rPr>
        <b/>
        <sz val="16"/>
        <color rgb="FFFF0000"/>
        <rFont val="Times New Roman"/>
        <family val="1"/>
      </rPr>
      <t xml:space="preserve">
GÓI THẦU: THI CÔNG CẢI TẠO CỬA HÀNG HOA SEN HOME PHỦ LÝ - NINH BÌNH</t>
    </r>
  </si>
  <si>
    <t>NHÀ THẦU ĐỀ XUẤT</t>
  </si>
  <si>
    <t>- Nhà thầu đảm bảo các thủ tục pháp lý để được triển khai thi công và công trình được đưa vào sử dụng theo quy định.</t>
  </si>
  <si>
    <t>- Nhà thầu đảm bảo các thủ tục pháp lý để công trình được Đơn vị PCCC địa phương chấp thuận đưa vào sử dụng theo quy định.</t>
  </si>
  <si>
    <t>TÊN CÔNG TY: CÔNG TY TNHH THƯƠNG MẠI HỒNG GIANG
Địa chỉ: số 50, đường Trần Phú, phường Trường Vinh, tỉnh Nghệ An
Email: hoanggiangdt2007@gmail.com
Số DTDĐ liên hệ: 0986.925.678
Người phụ trách: Nguyễn Đình Hoàng</t>
  </si>
  <si>
    <t>TP, HCM. Ngày 04 Tháng 08 năm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</si>
</sst>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0_);_(* \(#,##0\);_(* &quot;-&quot;_);_(@_)"/>
    <numFmt numFmtId="165" formatCode="_(* #,##0.00_);_(* \(#,##0.00\);_(* &quot;-&quot;??_);_(@_)"/>
    <numFmt numFmtId="166" formatCode="#"/>
    <numFmt numFmtId="167" formatCode="0.000"/>
    <numFmt numFmtId="168" formatCode="_-* #,##0.00\ _₫_-;\-* #,##0.00\ _₫_-;_-* &quot;-&quot;??\ _₫_-;_-@_-"/>
    <numFmt numFmtId="169" formatCode="_(* #,##0_);_(* \(#,##0\);_(* &quot;-&quot;??_);_(@_)"/>
  </numFmts>
  <fonts count="23">
    <font>
      <sz val="11"/>
      <color theme="1"/>
      <name val="Calibri"/>
      <family val="2"/>
      <scheme val="minor"/>
    </font>
    <font>
      <sz val="11"/>
      <color theme="1"/>
      <name val="Calibri"/>
      <family val="2"/>
      <scheme val="minor"/>
    </font>
    <font>
      <sz val="8.25"/>
      <name val="Microsoft Sans Serif"/>
      <family val="2"/>
    </font>
    <font>
      <sz val="10"/>
      <name val="MS Sans Serif"/>
      <charset val="134"/>
    </font>
    <font>
      <sz val="11"/>
      <name val="Calibri"/>
      <family val="2"/>
      <scheme val="minor"/>
    </font>
    <font>
      <sz val="12"/>
      <name val="Calibri"/>
      <family val="2"/>
      <scheme val="minor"/>
    </font>
    <font>
      <u/>
      <sz val="11"/>
      <color theme="10"/>
      <name val="Calibri"/>
      <family val="2"/>
      <scheme val="minor"/>
    </font>
    <font>
      <sz val="11"/>
      <color indexed="8"/>
      <name val="Arial"/>
      <family val="2"/>
      <charset val="163"/>
    </font>
    <font>
      <sz val="11"/>
      <name val="VNI-Helve-Condense"/>
    </font>
    <font>
      <sz val="12"/>
      <name val="VNI-Times"/>
    </font>
    <font>
      <b/>
      <sz val="16"/>
      <color rgb="FFFF0000"/>
      <name val="Times New Roman"/>
      <family val="1"/>
    </font>
    <font>
      <sz val="16"/>
      <color theme="1"/>
      <name val="Times New Roman"/>
      <family val="1"/>
    </font>
    <font>
      <sz val="16"/>
      <name val="Times New Roman"/>
      <family val="1"/>
    </font>
    <font>
      <b/>
      <sz val="16"/>
      <name val="Times New Roman"/>
      <family val="1"/>
    </font>
    <font>
      <b/>
      <sz val="16"/>
      <color rgb="FF000000"/>
      <name val="Times New Roman"/>
      <family val="1"/>
    </font>
    <font>
      <sz val="16"/>
      <color rgb="FF000000"/>
      <name val="Times New Roman"/>
      <family val="1"/>
    </font>
    <font>
      <b/>
      <sz val="16"/>
      <color theme="1"/>
      <name val="Times New Roman"/>
      <family val="1"/>
    </font>
    <font>
      <i/>
      <sz val="16"/>
      <name val="Times New Roman"/>
      <family val="1"/>
    </font>
    <font>
      <sz val="16"/>
      <color rgb="FFFF0000"/>
      <name val="Times New Roman"/>
      <family val="1"/>
    </font>
    <font>
      <sz val="16"/>
      <color theme="1"/>
      <name val="Calibri"/>
      <family val="2"/>
      <scheme val="minor"/>
    </font>
    <font>
      <sz val="16"/>
      <name val="Calibri"/>
      <family val="2"/>
      <scheme val="minor"/>
    </font>
    <font>
      <b/>
      <sz val="16"/>
      <color indexed="10"/>
      <name val="Times New Roman"/>
      <family val="1"/>
    </font>
    <font>
      <sz val="16"/>
      <color indexed="10"/>
      <name val="Times New Roman"/>
      <family val="1"/>
    </font>
  </fonts>
  <fills count="9">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0" tint="-0.14999847407452621"/>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s>
  <cellStyleXfs count="11">
    <xf numFmtId="0" fontId="0" fillId="0" borderId="0"/>
    <xf numFmtId="165" fontId="1" fillId="0" borderId="0" applyFont="0" applyFill="0" applyBorder="0" applyAlignment="0" applyProtection="0"/>
    <xf numFmtId="0" fontId="1" fillId="0" borderId="0"/>
    <xf numFmtId="0" fontId="2" fillId="0" borderId="0"/>
    <xf numFmtId="0" fontId="3" fillId="0" borderId="0"/>
    <xf numFmtId="0" fontId="6" fillId="0" borderId="0" applyNumberFormat="0" applyFill="0" applyBorder="0" applyAlignment="0" applyProtection="0"/>
    <xf numFmtId="168" fontId="7" fillId="0" borderId="0" applyFont="0" applyFill="0" applyBorder="0" applyAlignment="0" applyProtection="0"/>
    <xf numFmtId="0" fontId="1" fillId="0" borderId="0"/>
    <xf numFmtId="0" fontId="8" fillId="0" borderId="0"/>
    <xf numFmtId="0" fontId="9" fillId="0" borderId="0"/>
    <xf numFmtId="43" fontId="1" fillId="0" borderId="0" applyFont="0" applyFill="0" applyBorder="0" applyAlignment="0" applyProtection="0"/>
  </cellStyleXfs>
  <cellXfs count="205">
    <xf numFmtId="0" fontId="0" fillId="0" borderId="0" xfId="0"/>
    <xf numFmtId="0" fontId="0" fillId="0" borderId="0" xfId="0" applyAlignment="1">
      <alignment vertical="center"/>
    </xf>
    <xf numFmtId="0" fontId="0" fillId="4" borderId="0" xfId="0" applyFill="1" applyAlignment="1">
      <alignment vertical="center"/>
    </xf>
    <xf numFmtId="4" fontId="4" fillId="0" borderId="0" xfId="0" applyNumberFormat="1" applyFont="1" applyAlignment="1">
      <alignment horizontal="right" vertical="center"/>
    </xf>
    <xf numFmtId="0" fontId="4" fillId="0" borderId="0" xfId="0" applyFont="1" applyAlignment="1">
      <alignment vertical="center"/>
    </xf>
    <xf numFmtId="0" fontId="5" fillId="0" borderId="0" xfId="0" applyFont="1" applyAlignment="1">
      <alignment vertical="center" wrapText="1"/>
    </xf>
    <xf numFmtId="0" fontId="4" fillId="0" borderId="0" xfId="0" applyFont="1" applyAlignment="1">
      <alignment vertical="center" wrapText="1"/>
    </xf>
    <xf numFmtId="164" fontId="11" fillId="0" borderId="3" xfId="0" applyNumberFormat="1" applyFont="1" applyBorder="1" applyAlignment="1">
      <alignment horizontal="right" vertical="center"/>
    </xf>
    <xf numFmtId="164" fontId="11" fillId="0" borderId="1" xfId="0" applyNumberFormat="1" applyFont="1" applyBorder="1" applyAlignment="1">
      <alignment horizontal="right" vertical="center"/>
    </xf>
    <xf numFmtId="164" fontId="12" fillId="0" borderId="1" xfId="0" applyNumberFormat="1" applyFont="1" applyBorder="1" applyAlignment="1">
      <alignment horizontal="right" vertical="center"/>
    </xf>
    <xf numFmtId="0" fontId="13" fillId="4" borderId="1" xfId="0" applyFont="1" applyFill="1" applyBorder="1" applyAlignment="1">
      <alignment horizontal="center" vertical="center" wrapText="1"/>
    </xf>
    <xf numFmtId="0" fontId="13" fillId="4" borderId="1" xfId="0" applyFont="1" applyFill="1" applyBorder="1" applyAlignment="1">
      <alignment vertical="center" wrapText="1"/>
    </xf>
    <xf numFmtId="164" fontId="13" fillId="4" borderId="1" xfId="0" applyNumberFormat="1" applyFont="1" applyFill="1" applyBorder="1" applyAlignment="1">
      <alignment horizontal="center" vertical="center" wrapText="1"/>
    </xf>
    <xf numFmtId="164" fontId="11" fillId="4" borderId="1" xfId="0" applyNumberFormat="1" applyFont="1" applyFill="1" applyBorder="1" applyAlignment="1">
      <alignment vertical="center"/>
    </xf>
    <xf numFmtId="164" fontId="11" fillId="4" borderId="1" xfId="0" applyNumberFormat="1" applyFont="1" applyFill="1" applyBorder="1" applyAlignment="1">
      <alignment horizontal="right" vertical="center"/>
    </xf>
    <xf numFmtId="0" fontId="12" fillId="4" borderId="0" xfId="0" applyFont="1" applyFill="1" applyAlignment="1">
      <alignment vertical="center"/>
    </xf>
    <xf numFmtId="0" fontId="12" fillId="0" borderId="1" xfId="0" applyFont="1" applyBorder="1" applyAlignment="1">
      <alignment horizontal="center" vertical="center" wrapText="1"/>
    </xf>
    <xf numFmtId="0" fontId="12" fillId="0" borderId="1" xfId="0" applyFont="1" applyBorder="1" applyAlignment="1">
      <alignment horizontal="left" vertical="center" wrapText="1"/>
    </xf>
    <xf numFmtId="165" fontId="12" fillId="0" borderId="1" xfId="1" applyFont="1" applyFill="1" applyBorder="1" applyAlignment="1">
      <alignment horizontal="right" vertical="center" wrapText="1"/>
    </xf>
    <xf numFmtId="164" fontId="12" fillId="0" borderId="1" xfId="0" applyNumberFormat="1" applyFont="1" applyBorder="1" applyAlignment="1">
      <alignment horizontal="center" vertical="center" wrapText="1"/>
    </xf>
    <xf numFmtId="0" fontId="12" fillId="0" borderId="0" xfId="0" applyFont="1" applyAlignment="1">
      <alignment vertical="center"/>
    </xf>
    <xf numFmtId="0" fontId="11" fillId="0" borderId="0" xfId="0" applyFont="1" applyAlignment="1">
      <alignment vertical="center"/>
    </xf>
    <xf numFmtId="0" fontId="12" fillId="0" borderId="1" xfId="0" applyFont="1" applyBorder="1" applyAlignment="1">
      <alignment vertical="center" wrapText="1"/>
    </xf>
    <xf numFmtId="165" fontId="13" fillId="4" borderId="1" xfId="0" applyNumberFormat="1" applyFont="1" applyFill="1" applyBorder="1" applyAlignment="1">
      <alignment vertical="center" wrapText="1"/>
    </xf>
    <xf numFmtId="166" fontId="14" fillId="2" borderId="1" xfId="0" applyNumberFormat="1" applyFont="1" applyFill="1" applyBorder="1" applyAlignment="1">
      <alignment horizontal="center" vertical="center" wrapText="1"/>
    </xf>
    <xf numFmtId="0" fontId="13" fillId="2" borderId="1" xfId="0" applyFont="1" applyFill="1" applyBorder="1" applyAlignment="1">
      <alignment horizontal="left" vertical="center" wrapText="1"/>
    </xf>
    <xf numFmtId="0" fontId="12" fillId="2" borderId="1" xfId="0" applyFont="1" applyFill="1" applyBorder="1" applyAlignment="1">
      <alignment horizontal="center" vertical="center" wrapText="1"/>
    </xf>
    <xf numFmtId="165" fontId="12" fillId="2" borderId="1" xfId="0" applyNumberFormat="1" applyFont="1" applyFill="1" applyBorder="1" applyAlignment="1">
      <alignment horizontal="right" vertical="center" wrapText="1"/>
    </xf>
    <xf numFmtId="164" fontId="12" fillId="2" borderId="1" xfId="0" applyNumberFormat="1" applyFont="1" applyFill="1" applyBorder="1" applyAlignment="1">
      <alignment horizontal="center" vertical="center" wrapText="1"/>
    </xf>
    <xf numFmtId="164" fontId="11" fillId="2" borderId="1" xfId="0" applyNumberFormat="1" applyFont="1" applyFill="1" applyBorder="1" applyAlignment="1">
      <alignment vertical="center"/>
    </xf>
    <xf numFmtId="164" fontId="11" fillId="2" borderId="1" xfId="0" applyNumberFormat="1" applyFont="1" applyFill="1" applyBorder="1" applyAlignment="1">
      <alignment horizontal="right" vertical="center"/>
    </xf>
    <xf numFmtId="0" fontId="12" fillId="2" borderId="0" xfId="0" applyFont="1" applyFill="1" applyAlignment="1">
      <alignment vertical="center"/>
    </xf>
    <xf numFmtId="0" fontId="11" fillId="2" borderId="0" xfId="0" applyFont="1" applyFill="1" applyAlignment="1">
      <alignment vertical="center"/>
    </xf>
    <xf numFmtId="166" fontId="15" fillId="0" borderId="1" xfId="0" applyNumberFormat="1" applyFont="1" applyBorder="1" applyAlignment="1">
      <alignment horizontal="center" vertical="center" wrapText="1"/>
    </xf>
    <xf numFmtId="165" fontId="12" fillId="0" borderId="1" xfId="0" applyNumberFormat="1" applyFont="1" applyBorder="1" applyAlignment="1">
      <alignment horizontal="right" vertical="center" wrapText="1"/>
    </xf>
    <xf numFmtId="166" fontId="12" fillId="0" borderId="1" xfId="0" applyNumberFormat="1" applyFont="1" applyBorder="1" applyAlignment="1">
      <alignment horizontal="center" vertical="center" wrapText="1"/>
    </xf>
    <xf numFmtId="166" fontId="14" fillId="4" borderId="1" xfId="0" applyNumberFormat="1" applyFont="1" applyFill="1" applyBorder="1" applyAlignment="1">
      <alignment horizontal="center" vertical="center" wrapText="1"/>
    </xf>
    <xf numFmtId="0" fontId="13" fillId="4"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165" fontId="12" fillId="4" borderId="1" xfId="0" applyNumberFormat="1" applyFont="1" applyFill="1" applyBorder="1" applyAlignment="1">
      <alignment horizontal="right" vertical="center" wrapText="1"/>
    </xf>
    <xf numFmtId="164" fontId="12" fillId="4" borderId="1" xfId="0" applyNumberFormat="1" applyFont="1" applyFill="1" applyBorder="1" applyAlignment="1">
      <alignment horizontal="center" vertical="center" wrapText="1"/>
    </xf>
    <xf numFmtId="0" fontId="11" fillId="4" borderId="0" xfId="0" applyFont="1" applyFill="1" applyAlignment="1">
      <alignment vertical="center"/>
    </xf>
    <xf numFmtId="0" fontId="13" fillId="2" borderId="1" xfId="0" applyFont="1" applyFill="1" applyBorder="1" applyAlignment="1">
      <alignment horizontal="center" vertical="center" wrapText="1"/>
    </xf>
    <xf numFmtId="165" fontId="13" fillId="2" borderId="1" xfId="0" applyNumberFormat="1" applyFont="1" applyFill="1" applyBorder="1" applyAlignment="1">
      <alignment horizontal="right" vertical="center" wrapText="1"/>
    </xf>
    <xf numFmtId="164" fontId="13" fillId="2" borderId="1" xfId="0" applyNumberFormat="1" applyFont="1" applyFill="1" applyBorder="1" applyAlignment="1">
      <alignment horizontal="center" vertical="center" wrapText="1"/>
    </xf>
    <xf numFmtId="0" fontId="13" fillId="0" borderId="1" xfId="0" applyFont="1" applyBorder="1" applyAlignment="1">
      <alignment horizontal="left" vertical="center" wrapText="1"/>
    </xf>
    <xf numFmtId="0" fontId="12" fillId="0" borderId="1" xfId="0" quotePrefix="1" applyFont="1" applyBorder="1" applyAlignment="1">
      <alignment horizontal="left" vertical="center" wrapText="1"/>
    </xf>
    <xf numFmtId="0" fontId="16" fillId="4" borderId="0" xfId="0" applyFont="1" applyFill="1" applyAlignment="1">
      <alignment vertical="center"/>
    </xf>
    <xf numFmtId="0" fontId="13" fillId="2" borderId="1" xfId="0" applyFont="1" applyFill="1" applyBorder="1" applyAlignment="1">
      <alignment vertical="center" wrapText="1"/>
    </xf>
    <xf numFmtId="0" fontId="16" fillId="2" borderId="0" xfId="0" applyFont="1" applyFill="1" applyAlignment="1">
      <alignment vertical="center"/>
    </xf>
    <xf numFmtId="0" fontId="12" fillId="5" borderId="1" xfId="0" applyFont="1" applyFill="1" applyBorder="1" applyAlignment="1">
      <alignment horizontal="center" vertical="center"/>
    </xf>
    <xf numFmtId="0" fontId="13" fillId="5" borderId="1" xfId="2" applyFont="1" applyFill="1" applyBorder="1" applyAlignment="1">
      <alignment vertical="center" wrapText="1"/>
    </xf>
    <xf numFmtId="0" fontId="12" fillId="5" borderId="1" xfId="2" applyFont="1" applyFill="1" applyBorder="1" applyAlignment="1">
      <alignment horizontal="center" vertical="center"/>
    </xf>
    <xf numFmtId="165" fontId="12" fillId="5" borderId="1" xfId="0" applyNumberFormat="1" applyFont="1" applyFill="1" applyBorder="1" applyAlignment="1">
      <alignment horizontal="right" vertical="center" wrapText="1"/>
    </xf>
    <xf numFmtId="164" fontId="12" fillId="5" borderId="1" xfId="0" applyNumberFormat="1" applyFont="1" applyFill="1" applyBorder="1" applyAlignment="1">
      <alignment horizontal="center" vertical="center" wrapText="1"/>
    </xf>
    <xf numFmtId="0" fontId="12" fillId="5" borderId="1" xfId="2" applyFont="1" applyFill="1" applyBorder="1" applyAlignment="1">
      <alignment horizontal="center" vertical="center" wrapText="1"/>
    </xf>
    <xf numFmtId="0" fontId="12" fillId="5" borderId="1" xfId="0" applyFont="1" applyFill="1" applyBorder="1" applyAlignment="1">
      <alignment vertical="center" wrapText="1"/>
    </xf>
    <xf numFmtId="164" fontId="12" fillId="5" borderId="1" xfId="0" applyNumberFormat="1" applyFont="1" applyFill="1" applyBorder="1" applyAlignment="1">
      <alignment vertical="center"/>
    </xf>
    <xf numFmtId="164" fontId="12" fillId="5" borderId="1" xfId="0" applyNumberFormat="1" applyFont="1" applyFill="1" applyBorder="1" applyAlignment="1">
      <alignment horizontal="right" vertical="center"/>
    </xf>
    <xf numFmtId="0" fontId="13" fillId="5" borderId="0" xfId="0" applyFont="1" applyFill="1" applyAlignment="1">
      <alignment vertical="center"/>
    </xf>
    <xf numFmtId="0" fontId="12" fillId="0" borderId="1" xfId="2" applyFont="1" applyBorder="1" applyAlignment="1">
      <alignment horizontal="center" vertical="center"/>
    </xf>
    <xf numFmtId="0" fontId="12" fillId="3" borderId="1" xfId="3" applyFont="1" applyFill="1" applyBorder="1" applyAlignment="1" applyProtection="1">
      <alignment vertical="center" wrapText="1"/>
      <protection locked="0"/>
    </xf>
    <xf numFmtId="0" fontId="12" fillId="3" borderId="1" xfId="2" applyFont="1" applyFill="1" applyBorder="1" applyAlignment="1">
      <alignment horizontal="center" vertical="center"/>
    </xf>
    <xf numFmtId="0" fontId="12" fillId="0" borderId="1" xfId="2" applyFont="1" applyBorder="1" applyAlignment="1">
      <alignment horizontal="center" vertical="center" wrapText="1"/>
    </xf>
    <xf numFmtId="0" fontId="12" fillId="0" borderId="1" xfId="2" applyFont="1" applyBorder="1" applyAlignment="1">
      <alignment horizontal="center" wrapText="1"/>
    </xf>
    <xf numFmtId="0" fontId="13" fillId="0" borderId="0" xfId="0" applyFont="1" applyAlignment="1">
      <alignment vertical="center"/>
    </xf>
    <xf numFmtId="0" fontId="16" fillId="0" borderId="0" xfId="0" applyFont="1" applyAlignment="1">
      <alignment vertical="center"/>
    </xf>
    <xf numFmtId="0" fontId="12" fillId="0" borderId="1" xfId="2" applyFont="1" applyBorder="1" applyAlignment="1">
      <alignment vertical="center" wrapText="1"/>
    </xf>
    <xf numFmtId="0" fontId="12" fillId="3" borderId="1" xfId="2" applyFont="1" applyFill="1" applyBorder="1" applyAlignment="1">
      <alignment vertical="center" wrapText="1"/>
    </xf>
    <xf numFmtId="164" fontId="12" fillId="0" borderId="1" xfId="0" applyNumberFormat="1" applyFont="1" applyBorder="1" applyAlignment="1">
      <alignment horizontal="center" vertical="center"/>
    </xf>
    <xf numFmtId="49" fontId="12" fillId="0" borderId="1" xfId="2" applyNumberFormat="1" applyFont="1" applyBorder="1" applyAlignment="1">
      <alignment horizontal="center" vertical="center" wrapText="1"/>
    </xf>
    <xf numFmtId="0" fontId="12" fillId="0" borderId="1" xfId="3" applyFont="1" applyBorder="1" applyAlignment="1" applyProtection="1">
      <alignment vertical="center" wrapText="1"/>
      <protection locked="0"/>
    </xf>
    <xf numFmtId="0" fontId="12" fillId="0" borderId="1" xfId="0" applyFont="1" applyBorder="1" applyAlignment="1">
      <alignment vertical="center"/>
    </xf>
    <xf numFmtId="0" fontId="13" fillId="2" borderId="1" xfId="2" applyFont="1" applyFill="1" applyBorder="1" applyAlignment="1">
      <alignment horizontal="center" vertical="center"/>
    </xf>
    <xf numFmtId="0" fontId="13" fillId="2" borderId="1" xfId="2" applyFont="1" applyFill="1" applyBorder="1" applyAlignment="1">
      <alignment vertical="center" wrapText="1"/>
    </xf>
    <xf numFmtId="0" fontId="12" fillId="2" borderId="1" xfId="2" applyFont="1" applyFill="1" applyBorder="1" applyAlignment="1">
      <alignment horizontal="center" vertical="center" wrapText="1"/>
    </xf>
    <xf numFmtId="0" fontId="12" fillId="2" borderId="1" xfId="2" applyFont="1" applyFill="1" applyBorder="1" applyAlignment="1">
      <alignment horizontal="center" vertical="center"/>
    </xf>
    <xf numFmtId="0" fontId="12" fillId="0" borderId="1" xfId="0" applyFont="1" applyBorder="1" applyAlignment="1">
      <alignment horizontal="center" vertical="center"/>
    </xf>
    <xf numFmtId="0" fontId="13" fillId="0" borderId="1" xfId="2" applyFont="1" applyBorder="1" applyAlignment="1">
      <alignment vertical="center" wrapText="1"/>
    </xf>
    <xf numFmtId="0" fontId="13" fillId="0" borderId="1" xfId="2" applyFont="1" applyBorder="1" applyAlignment="1">
      <alignment horizontal="center" wrapText="1"/>
    </xf>
    <xf numFmtId="4" fontId="12" fillId="0" borderId="1" xfId="4" applyNumberFormat="1" applyFont="1" applyBorder="1" applyAlignment="1">
      <alignment horizontal="center" vertical="center" wrapText="1"/>
    </xf>
    <xf numFmtId="0" fontId="13" fillId="2" borderId="1" xfId="0" applyFont="1" applyFill="1" applyBorder="1" applyAlignment="1">
      <alignment horizontal="center" vertical="center"/>
    </xf>
    <xf numFmtId="0" fontId="12" fillId="2" borderId="1" xfId="0" applyFont="1" applyFill="1" applyBorder="1" applyAlignment="1">
      <alignment vertical="center" wrapText="1"/>
    </xf>
    <xf numFmtId="0" fontId="12" fillId="3" borderId="1" xfId="2" applyFont="1" applyFill="1" applyBorder="1" applyAlignment="1">
      <alignment vertical="center"/>
    </xf>
    <xf numFmtId="165" fontId="12" fillId="0" borderId="1" xfId="2" applyNumberFormat="1" applyFont="1" applyBorder="1" applyAlignment="1">
      <alignment horizontal="right" vertical="center"/>
    </xf>
    <xf numFmtId="167" fontId="12" fillId="0" borderId="1" xfId="2" applyNumberFormat="1" applyFont="1" applyBorder="1" applyAlignment="1">
      <alignment horizontal="center" vertical="center" wrapText="1"/>
    </xf>
    <xf numFmtId="164" fontId="12" fillId="2" borderId="1" xfId="0" applyNumberFormat="1" applyFont="1" applyFill="1" applyBorder="1" applyAlignment="1">
      <alignment horizontal="right" vertical="center"/>
    </xf>
    <xf numFmtId="0" fontId="13" fillId="2" borderId="0" xfId="0" applyFont="1" applyFill="1" applyAlignment="1">
      <alignment vertical="center"/>
    </xf>
    <xf numFmtId="0" fontId="12" fillId="0" borderId="1" xfId="2" applyFont="1" applyBorder="1" applyAlignment="1" applyProtection="1">
      <alignment horizontal="center" vertical="center" wrapText="1"/>
      <protection locked="0"/>
    </xf>
    <xf numFmtId="0" fontId="12" fillId="0" borderId="1" xfId="2" applyFont="1" applyBorder="1" applyAlignment="1">
      <alignment horizontal="left" vertical="center" wrapText="1"/>
    </xf>
    <xf numFmtId="0" fontId="12" fillId="3" borderId="1" xfId="8" applyFont="1" applyFill="1" applyBorder="1" applyAlignment="1">
      <alignment horizontal="center" vertical="center" wrapText="1"/>
    </xf>
    <xf numFmtId="165" fontId="12" fillId="3" borderId="1" xfId="8" applyNumberFormat="1" applyFont="1" applyFill="1" applyBorder="1" applyAlignment="1">
      <alignment horizontal="right" vertical="center"/>
    </xf>
    <xf numFmtId="167" fontId="12" fillId="3" borderId="1" xfId="8" applyNumberFormat="1" applyFont="1" applyFill="1" applyBorder="1" applyAlignment="1">
      <alignment horizontal="center" vertical="center"/>
    </xf>
    <xf numFmtId="4" fontId="12" fillId="3" borderId="1" xfId="8" applyNumberFormat="1" applyFont="1" applyFill="1" applyBorder="1" applyAlignment="1">
      <alignment horizontal="center" vertical="center" wrapText="1"/>
    </xf>
    <xf numFmtId="0" fontId="12" fillId="0" borderId="1" xfId="2" applyFont="1" applyBorder="1" applyAlignment="1">
      <alignment vertical="center"/>
    </xf>
    <xf numFmtId="164" fontId="12" fillId="4" borderId="6" xfId="2" applyNumberFormat="1" applyFont="1" applyFill="1" applyBorder="1" applyAlignment="1">
      <alignment vertical="center"/>
    </xf>
    <xf numFmtId="164" fontId="11" fillId="4" borderId="7" xfId="0" applyNumberFormat="1" applyFont="1" applyFill="1" applyBorder="1" applyAlignment="1">
      <alignment vertical="center"/>
    </xf>
    <xf numFmtId="0" fontId="12" fillId="4" borderId="0" xfId="2" applyFont="1" applyFill="1" applyAlignment="1">
      <alignment vertical="center"/>
    </xf>
    <xf numFmtId="164" fontId="11" fillId="4" borderId="5" xfId="0" applyNumberFormat="1" applyFont="1" applyFill="1" applyBorder="1" applyAlignment="1">
      <alignment horizontal="right" vertical="center"/>
    </xf>
    <xf numFmtId="164" fontId="11" fillId="4" borderId="0" xfId="0" applyNumberFormat="1" applyFont="1" applyFill="1" applyAlignment="1">
      <alignment horizontal="right" vertical="center"/>
    </xf>
    <xf numFmtId="164" fontId="11" fillId="4" borderId="0" xfId="0" applyNumberFormat="1" applyFont="1" applyFill="1" applyAlignment="1">
      <alignment vertical="center"/>
    </xf>
    <xf numFmtId="164" fontId="11" fillId="0" borderId="0" xfId="0" applyNumberFormat="1" applyFont="1" applyAlignment="1">
      <alignment horizontal="right" vertical="center"/>
    </xf>
    <xf numFmtId="49" fontId="11" fillId="0" borderId="0" xfId="0" quotePrefix="1" applyNumberFormat="1" applyFont="1" applyAlignment="1">
      <alignment vertical="center" wrapText="1"/>
    </xf>
    <xf numFmtId="49" fontId="11" fillId="0" borderId="0" xfId="0" applyNumberFormat="1" applyFont="1" applyAlignment="1">
      <alignment vertical="center" wrapText="1"/>
    </xf>
    <xf numFmtId="164" fontId="11" fillId="0" borderId="0" xfId="0" applyNumberFormat="1" applyFont="1" applyAlignment="1">
      <alignment vertical="center"/>
    </xf>
    <xf numFmtId="164" fontId="11" fillId="2" borderId="0" xfId="0" applyNumberFormat="1" applyFont="1" applyFill="1" applyAlignment="1">
      <alignment horizontal="right" vertical="center"/>
    </xf>
    <xf numFmtId="164" fontId="11" fillId="2" borderId="0" xfId="0" applyNumberFormat="1" applyFont="1" applyFill="1" applyAlignment="1">
      <alignment vertical="center"/>
    </xf>
    <xf numFmtId="0" fontId="11" fillId="0" borderId="0" xfId="0" applyFont="1" applyAlignment="1">
      <alignment horizontal="center" vertical="center" wrapText="1"/>
    </xf>
    <xf numFmtId="164" fontId="12" fillId="5" borderId="0" xfId="0" applyNumberFormat="1" applyFont="1" applyFill="1" applyAlignment="1">
      <alignment horizontal="right" vertical="center"/>
    </xf>
    <xf numFmtId="164" fontId="12" fillId="5" borderId="0" xfId="0" applyNumberFormat="1" applyFont="1" applyFill="1" applyAlignment="1">
      <alignment vertical="center"/>
    </xf>
    <xf numFmtId="164" fontId="12" fillId="0" borderId="0" xfId="0" applyNumberFormat="1" applyFont="1" applyAlignment="1">
      <alignment vertical="center"/>
    </xf>
    <xf numFmtId="164" fontId="12" fillId="2" borderId="0" xfId="0" applyNumberFormat="1" applyFont="1" applyFill="1" applyAlignment="1">
      <alignment horizontal="right" vertical="center"/>
    </xf>
    <xf numFmtId="164" fontId="12" fillId="2" borderId="0" xfId="0" applyNumberFormat="1" applyFont="1" applyFill="1" applyAlignment="1">
      <alignment vertical="center"/>
    </xf>
    <xf numFmtId="164" fontId="11" fillId="0" borderId="11" xfId="0" applyNumberFormat="1" applyFont="1" applyBorder="1" applyAlignment="1">
      <alignment vertical="center"/>
    </xf>
    <xf numFmtId="0" fontId="11" fillId="0" borderId="1" xfId="0" applyFont="1" applyBorder="1" applyAlignment="1">
      <alignment horizontal="right" vertical="center" wrapText="1"/>
    </xf>
    <xf numFmtId="164" fontId="12" fillId="4" borderId="1" xfId="2" applyNumberFormat="1" applyFont="1" applyFill="1" applyBorder="1" applyAlignment="1">
      <alignment vertical="center"/>
    </xf>
    <xf numFmtId="0" fontId="13" fillId="0" borderId="0" xfId="0" applyFont="1" applyAlignment="1">
      <alignment horizontal="center"/>
    </xf>
    <xf numFmtId="0" fontId="13" fillId="0" borderId="0" xfId="0" applyFont="1" applyAlignment="1">
      <alignment horizontal="left" vertical="center"/>
    </xf>
    <xf numFmtId="0" fontId="12" fillId="0" borderId="0" xfId="0" applyFont="1" applyAlignment="1">
      <alignment horizontal="center" vertical="center"/>
    </xf>
    <xf numFmtId="0" fontId="12" fillId="0" borderId="0" xfId="0" applyFont="1" applyAlignment="1">
      <alignment horizontal="left"/>
    </xf>
    <xf numFmtId="0" fontId="12" fillId="0" borderId="0" xfId="0" applyFont="1" applyAlignment="1">
      <alignment horizontal="left" wrapText="1"/>
    </xf>
    <xf numFmtId="169" fontId="12" fillId="0" borderId="0" xfId="1" applyNumberFormat="1" applyFont="1" applyAlignment="1">
      <alignment vertical="center"/>
    </xf>
    <xf numFmtId="0" fontId="12" fillId="0" borderId="0" xfId="0" applyFont="1"/>
    <xf numFmtId="0" fontId="12" fillId="3" borderId="0" xfId="0" applyFont="1" applyFill="1"/>
    <xf numFmtId="0" fontId="17" fillId="0" borderId="0" xfId="0" applyFont="1" applyAlignment="1">
      <alignment horizontal="center" vertical="center"/>
    </xf>
    <xf numFmtId="0" fontId="17" fillId="0" borderId="0" xfId="0" applyFont="1" applyAlignment="1">
      <alignment horizontal="center" vertical="center" wrapText="1"/>
    </xf>
    <xf numFmtId="169" fontId="12" fillId="0" borderId="0" xfId="1" applyNumberFormat="1" applyFont="1" applyAlignment="1">
      <alignment horizontal="center" vertical="center"/>
    </xf>
    <xf numFmtId="0" fontId="17" fillId="0" borderId="0" xfId="0" applyFont="1" applyAlignment="1">
      <alignment vertical="center"/>
    </xf>
    <xf numFmtId="0" fontId="17" fillId="0" borderId="0" xfId="0" applyFont="1"/>
    <xf numFmtId="0" fontId="12" fillId="0" borderId="0" xfId="2" applyFont="1"/>
    <xf numFmtId="0" fontId="17" fillId="0" borderId="0" xfId="0" quotePrefix="1" applyFont="1" applyAlignment="1">
      <alignment vertical="center"/>
    </xf>
    <xf numFmtId="0" fontId="12" fillId="0" borderId="0" xfId="2" applyFont="1" applyAlignment="1">
      <alignment horizontal="center" wrapText="1"/>
    </xf>
    <xf numFmtId="0" fontId="12" fillId="0" borderId="0" xfId="2" applyFont="1" applyAlignment="1">
      <alignment horizontal="center"/>
    </xf>
    <xf numFmtId="0" fontId="17" fillId="0" borderId="0" xfId="2" quotePrefix="1" applyFont="1" applyAlignment="1">
      <alignment vertical="center"/>
    </xf>
    <xf numFmtId="0" fontId="17" fillId="0" borderId="0" xfId="2" applyFont="1" applyAlignment="1">
      <alignment horizontal="center" vertical="center"/>
    </xf>
    <xf numFmtId="169" fontId="11" fillId="0" borderId="0" xfId="1" applyNumberFormat="1" applyFont="1" applyAlignment="1">
      <alignment horizontal="center" vertical="center"/>
    </xf>
    <xf numFmtId="0" fontId="12" fillId="0" borderId="0" xfId="0" applyFont="1" applyAlignment="1">
      <alignment wrapText="1"/>
    </xf>
    <xf numFmtId="0" fontId="11" fillId="6" borderId="0" xfId="0" applyFont="1" applyFill="1"/>
    <xf numFmtId="0" fontId="11" fillId="0" borderId="0" xfId="0" applyFont="1"/>
    <xf numFmtId="0" fontId="11" fillId="0" borderId="0" xfId="0" applyFont="1" applyAlignment="1">
      <alignment horizontal="center"/>
    </xf>
    <xf numFmtId="0" fontId="13" fillId="0" borderId="0" xfId="5" applyFont="1" applyFill="1" applyBorder="1" applyAlignment="1" applyProtection="1">
      <alignment horizontal="center" vertical="center"/>
    </xf>
    <xf numFmtId="3" fontId="11" fillId="0" borderId="0" xfId="6" quotePrefix="1" applyNumberFormat="1" applyFont="1" applyFill="1" applyBorder="1" applyAlignment="1">
      <alignment vertical="center" wrapText="1"/>
    </xf>
    <xf numFmtId="3" fontId="16" fillId="0" borderId="0" xfId="6" quotePrefix="1" applyNumberFormat="1" applyFont="1" applyFill="1" applyBorder="1" applyAlignment="1">
      <alignment horizontal="center" vertical="center"/>
    </xf>
    <xf numFmtId="3" fontId="16" fillId="0" borderId="0" xfId="6" quotePrefix="1" applyNumberFormat="1" applyFont="1" applyFill="1" applyBorder="1" applyAlignment="1">
      <alignment vertical="center" wrapText="1"/>
    </xf>
    <xf numFmtId="0" fontId="19" fillId="0" borderId="0" xfId="0" applyFont="1" applyAlignment="1">
      <alignment vertical="center"/>
    </xf>
    <xf numFmtId="0" fontId="20" fillId="0" borderId="0" xfId="0" applyFont="1" applyAlignment="1">
      <alignment vertical="center"/>
    </xf>
    <xf numFmtId="4" fontId="20" fillId="0" borderId="0" xfId="0" applyNumberFormat="1" applyFont="1" applyAlignment="1">
      <alignment horizontal="right" vertical="center"/>
    </xf>
    <xf numFmtId="0" fontId="20" fillId="0" borderId="0" xfId="0" applyFont="1" applyAlignment="1">
      <alignment vertical="center" wrapText="1"/>
    </xf>
    <xf numFmtId="0" fontId="12" fillId="2" borderId="1" xfId="2" applyFont="1" applyFill="1" applyBorder="1" applyAlignment="1">
      <alignment horizontal="center" wrapText="1"/>
    </xf>
    <xf numFmtId="164" fontId="11" fillId="3" borderId="1" xfId="0" applyNumberFormat="1" applyFont="1" applyFill="1" applyBorder="1" applyAlignment="1">
      <alignment horizontal="center" vertical="center" wrapText="1"/>
    </xf>
    <xf numFmtId="0" fontId="18" fillId="8" borderId="0" xfId="9" quotePrefix="1" applyFont="1" applyFill="1" applyAlignment="1">
      <alignment vertical="center" wrapText="1"/>
    </xf>
    <xf numFmtId="0" fontId="19" fillId="4" borderId="0" xfId="0" applyFont="1" applyFill="1" applyAlignment="1">
      <alignment vertical="center"/>
    </xf>
    <xf numFmtId="164" fontId="13" fillId="4" borderId="5" xfId="2" applyNumberFormat="1" applyFont="1" applyFill="1" applyBorder="1" applyAlignment="1">
      <alignment vertical="center"/>
    </xf>
    <xf numFmtId="3" fontId="11" fillId="0" borderId="0" xfId="6" quotePrefix="1" applyNumberFormat="1" applyFont="1" applyFill="1" applyBorder="1" applyAlignment="1">
      <alignment horizontal="center" vertical="center"/>
    </xf>
    <xf numFmtId="164" fontId="12" fillId="0" borderId="1" xfId="0" quotePrefix="1" applyNumberFormat="1" applyFont="1" applyBorder="1" applyAlignment="1">
      <alignment horizontal="center" vertical="center" wrapText="1"/>
    </xf>
    <xf numFmtId="169" fontId="13" fillId="6" borderId="1" xfId="1" applyNumberFormat="1" applyFont="1" applyFill="1" applyBorder="1" applyAlignment="1">
      <alignment horizontal="center" vertical="center" wrapText="1"/>
    </xf>
    <xf numFmtId="164" fontId="13" fillId="6" borderId="1" xfId="7" applyNumberFormat="1" applyFont="1" applyFill="1" applyBorder="1" applyAlignment="1">
      <alignment horizontal="center" vertical="center" wrapText="1"/>
    </xf>
    <xf numFmtId="0" fontId="12" fillId="4" borderId="1" xfId="2" applyFont="1" applyFill="1" applyBorder="1" applyAlignment="1">
      <alignment vertical="center"/>
    </xf>
    <xf numFmtId="164" fontId="12" fillId="0" borderId="0" xfId="0" applyNumberFormat="1" applyFont="1"/>
    <xf numFmtId="3" fontId="18" fillId="8" borderId="0" xfId="9" quotePrefix="1" applyNumberFormat="1" applyFont="1" applyFill="1" applyAlignment="1">
      <alignment vertical="center" wrapText="1"/>
    </xf>
    <xf numFmtId="3" fontId="19" fillId="4" borderId="0" xfId="0" applyNumberFormat="1" applyFont="1" applyFill="1" applyAlignment="1">
      <alignment vertical="center"/>
    </xf>
    <xf numFmtId="3" fontId="0" fillId="4" borderId="0" xfId="0" applyNumberFormat="1" applyFill="1" applyAlignment="1">
      <alignment vertical="center"/>
    </xf>
    <xf numFmtId="3" fontId="12" fillId="4" borderId="0" xfId="0" applyNumberFormat="1" applyFont="1" applyFill="1" applyAlignment="1">
      <alignment vertical="center"/>
    </xf>
    <xf numFmtId="3" fontId="12" fillId="0" borderId="0" xfId="0" applyNumberFormat="1" applyFont="1" applyAlignment="1">
      <alignment vertical="center"/>
    </xf>
    <xf numFmtId="3" fontId="12" fillId="3" borderId="0" xfId="0" applyNumberFormat="1" applyFont="1" applyFill="1"/>
    <xf numFmtId="3" fontId="12" fillId="0" borderId="0" xfId="0" applyNumberFormat="1" applyFont="1"/>
    <xf numFmtId="3" fontId="12" fillId="0" borderId="0" xfId="2" applyNumberFormat="1" applyFont="1"/>
    <xf numFmtId="3" fontId="11" fillId="6" borderId="0" xfId="0" applyNumberFormat="1" applyFont="1" applyFill="1"/>
    <xf numFmtId="3" fontId="11" fillId="0" borderId="0" xfId="0" applyNumberFormat="1" applyFont="1"/>
    <xf numFmtId="3" fontId="11" fillId="0" borderId="0" xfId="0" applyNumberFormat="1" applyFont="1" applyAlignment="1">
      <alignment horizontal="center"/>
    </xf>
    <xf numFmtId="3" fontId="19" fillId="0" borderId="0" xfId="0" applyNumberFormat="1" applyFont="1" applyAlignment="1">
      <alignment vertical="center"/>
    </xf>
    <xf numFmtId="3" fontId="0" fillId="0" borderId="0" xfId="0" applyNumberFormat="1" applyAlignment="1">
      <alignment vertical="center"/>
    </xf>
    <xf numFmtId="3" fontId="12" fillId="0" borderId="1" xfId="6" quotePrefix="1" applyNumberFormat="1" applyFont="1" applyFill="1" applyBorder="1" applyAlignment="1">
      <alignment horizontal="center" vertical="center" wrapText="1"/>
    </xf>
    <xf numFmtId="0" fontId="13" fillId="7" borderId="1" xfId="0" applyFont="1" applyFill="1" applyBorder="1" applyAlignment="1">
      <alignment horizontal="center" vertical="center"/>
    </xf>
    <xf numFmtId="0" fontId="18" fillId="8" borderId="14" xfId="9" quotePrefix="1" applyFont="1" applyFill="1" applyBorder="1" applyAlignment="1">
      <alignment horizontal="center" vertical="center" wrapText="1"/>
    </xf>
    <xf numFmtId="0" fontId="18" fillId="8" borderId="0" xfId="9" quotePrefix="1" applyFont="1" applyFill="1" applyAlignment="1">
      <alignment horizontal="center" vertical="center" wrapText="1"/>
    </xf>
    <xf numFmtId="0" fontId="16" fillId="0" borderId="11" xfId="9" quotePrefix="1" applyFont="1" applyBorder="1" applyAlignment="1">
      <alignment horizontal="center" vertical="center" wrapText="1"/>
    </xf>
    <xf numFmtId="0" fontId="16" fillId="0" borderId="12" xfId="9" quotePrefix="1" applyFont="1" applyBorder="1" applyAlignment="1">
      <alignment horizontal="center" vertical="center" wrapText="1"/>
    </xf>
    <xf numFmtId="0" fontId="13" fillId="6" borderId="9" xfId="0" quotePrefix="1" applyFont="1" applyFill="1" applyBorder="1" applyAlignment="1">
      <alignment horizontal="left" vertical="center" wrapText="1"/>
    </xf>
    <xf numFmtId="0" fontId="13" fillId="6" borderId="8" xfId="0" quotePrefix="1" applyFont="1" applyFill="1" applyBorder="1" applyAlignment="1">
      <alignment horizontal="left" vertical="center" wrapText="1"/>
    </xf>
    <xf numFmtId="0" fontId="13" fillId="6" borderId="10" xfId="0" quotePrefix="1" applyFont="1" applyFill="1" applyBorder="1" applyAlignment="1">
      <alignment horizontal="left" vertical="center" wrapText="1"/>
    </xf>
    <xf numFmtId="0" fontId="13" fillId="6" borderId="11" xfId="0" quotePrefix="1" applyFont="1" applyFill="1" applyBorder="1" applyAlignment="1">
      <alignment horizontal="left" vertical="center" wrapText="1"/>
    </xf>
    <xf numFmtId="0" fontId="13" fillId="6" borderId="12" xfId="0" quotePrefix="1" applyFont="1" applyFill="1" applyBorder="1" applyAlignment="1">
      <alignment horizontal="left" vertical="center" wrapText="1"/>
    </xf>
    <xf numFmtId="0" fontId="13" fillId="6" borderId="13" xfId="0" quotePrefix="1" applyFont="1" applyFill="1" applyBorder="1" applyAlignment="1">
      <alignment horizontal="left" vertical="center" wrapText="1"/>
    </xf>
    <xf numFmtId="0" fontId="13" fillId="7" borderId="5" xfId="0" applyFont="1" applyFill="1" applyBorder="1" applyAlignment="1" applyProtection="1">
      <alignment horizontal="center" vertical="center"/>
      <protection locked="0"/>
    </xf>
    <xf numFmtId="0" fontId="13" fillId="7" borderId="7" xfId="0" applyFont="1" applyFill="1" applyBorder="1" applyAlignment="1" applyProtection="1">
      <alignment horizontal="center" vertical="center"/>
      <protection locked="0"/>
    </xf>
    <xf numFmtId="0" fontId="13" fillId="7" borderId="1" xfId="0" applyFont="1" applyFill="1" applyBorder="1" applyAlignment="1" applyProtection="1">
      <alignment horizontal="center" vertical="center"/>
      <protection locked="0"/>
    </xf>
    <xf numFmtId="0" fontId="17" fillId="0" borderId="0" xfId="0" quotePrefix="1" applyFont="1" applyAlignment="1">
      <alignment horizontal="left" vertical="center"/>
    </xf>
    <xf numFmtId="0" fontId="17" fillId="0" borderId="0" xfId="0" applyFont="1"/>
    <xf numFmtId="0" fontId="17" fillId="0" borderId="0" xfId="0" applyFont="1" applyAlignment="1">
      <alignment horizontal="left" vertical="center"/>
    </xf>
    <xf numFmtId="0" fontId="13" fillId="6" borderId="2" xfId="0" applyFont="1" applyFill="1" applyBorder="1" applyAlignment="1">
      <alignment horizontal="center" vertical="center" wrapText="1"/>
    </xf>
    <xf numFmtId="0" fontId="13" fillId="6" borderId="4" xfId="0" applyFont="1" applyFill="1" applyBorder="1" applyAlignment="1">
      <alignment horizontal="center" vertical="center" wrapText="1"/>
    </xf>
    <xf numFmtId="0" fontId="13" fillId="6" borderId="3" xfId="0" applyFont="1" applyFill="1" applyBorder="1" applyAlignment="1">
      <alignment horizontal="center" vertical="center" wrapText="1"/>
    </xf>
    <xf numFmtId="0" fontId="13" fillId="6" borderId="2" xfId="0" applyFont="1" applyFill="1" applyBorder="1" applyAlignment="1">
      <alignment horizontal="center" vertical="center"/>
    </xf>
    <xf numFmtId="0" fontId="13" fillId="6" borderId="4" xfId="0" applyFont="1" applyFill="1" applyBorder="1" applyAlignment="1">
      <alignment horizontal="center" vertical="center"/>
    </xf>
    <xf numFmtId="0" fontId="13" fillId="6" borderId="3" xfId="0" applyFont="1" applyFill="1" applyBorder="1" applyAlignment="1">
      <alignment horizontal="center" vertical="center"/>
    </xf>
    <xf numFmtId="0" fontId="13" fillId="4" borderId="1" xfId="2" applyFont="1" applyFill="1" applyBorder="1" applyAlignment="1">
      <alignment horizontal="center" vertical="center" wrapText="1"/>
    </xf>
    <xf numFmtId="0" fontId="13" fillId="0" borderId="5" xfId="5" applyFont="1" applyFill="1" applyBorder="1" applyAlignment="1" applyProtection="1">
      <alignment horizontal="center" vertical="center"/>
    </xf>
    <xf numFmtId="0" fontId="13" fillId="0" borderId="7" xfId="5" applyFont="1" applyFill="1" applyBorder="1" applyAlignment="1" applyProtection="1">
      <alignment horizontal="center" vertical="center"/>
    </xf>
    <xf numFmtId="3" fontId="11" fillId="0" borderId="1" xfId="6" quotePrefix="1" applyNumberFormat="1" applyFont="1" applyFill="1" applyBorder="1" applyAlignment="1">
      <alignment vertical="center" wrapText="1"/>
    </xf>
    <xf numFmtId="14" fontId="11" fillId="0" borderId="1" xfId="6" quotePrefix="1" applyNumberFormat="1" applyFont="1" applyFill="1" applyBorder="1" applyAlignment="1">
      <alignment vertical="center" wrapText="1"/>
    </xf>
    <xf numFmtId="0" fontId="13" fillId="0" borderId="5" xfId="5" applyFont="1" applyFill="1" applyBorder="1" applyAlignment="1" applyProtection="1">
      <alignment horizontal="center" vertical="center" wrapText="1"/>
    </xf>
    <xf numFmtId="0" fontId="13" fillId="0" borderId="7" xfId="5" applyFont="1" applyFill="1" applyBorder="1" applyAlignment="1" applyProtection="1">
      <alignment horizontal="center" vertical="center" wrapText="1"/>
    </xf>
    <xf numFmtId="3" fontId="12" fillId="0" borderId="1" xfId="6" quotePrefix="1" applyNumberFormat="1" applyFont="1" applyFill="1" applyBorder="1" applyAlignment="1">
      <alignment horizontal="left" vertical="center" wrapText="1"/>
    </xf>
    <xf numFmtId="3" fontId="11" fillId="0" borderId="1" xfId="6" quotePrefix="1" applyNumberFormat="1" applyFont="1" applyFill="1" applyBorder="1" applyAlignment="1">
      <alignment horizontal="left" vertical="center" wrapText="1"/>
    </xf>
  </cellXfs>
  <cellStyles count="11">
    <cellStyle name="Comma" xfId="1" builtinId="3"/>
    <cellStyle name="Comma 2" xfId="10" xr:uid="{00000000-0005-0000-0000-000001000000}"/>
    <cellStyle name="Comma 5 2" xfId="6" xr:uid="{00000000-0005-0000-0000-000002000000}"/>
    <cellStyle name="Hyperlink 6" xfId="5" xr:uid="{00000000-0005-0000-0000-000003000000}"/>
    <cellStyle name="Normal" xfId="0" builtinId="0"/>
    <cellStyle name="Normal 187" xfId="7" xr:uid="{00000000-0005-0000-0000-000005000000}"/>
    <cellStyle name="Normal 2 2 5" xfId="3" xr:uid="{00000000-0005-0000-0000-000006000000}"/>
    <cellStyle name="Normal 4 4" xfId="2" xr:uid="{00000000-0005-0000-0000-000007000000}"/>
    <cellStyle name="Normal_Sheet1 2" xfId="4" xr:uid="{00000000-0005-0000-0000-000008000000}"/>
    <cellStyle name="Normal_Thẩm định giá tháng 12" xfId="9" xr:uid="{00000000-0005-0000-0000-000009000000}"/>
    <cellStyle name="Normal_THKL19" xfId="8" xr:uid="{00000000-0005-0000-0000-00000A000000}"/>
  </cellStyles>
  <dxfs count="4">
    <dxf>
      <fill>
        <patternFill>
          <bgColor rgb="FF92D050"/>
        </patternFill>
      </fill>
    </dxf>
    <dxf>
      <fill>
        <patternFill>
          <bgColor rgb="FF92D050"/>
        </patternFill>
      </fill>
    </dxf>
    <dxf>
      <fill>
        <patternFill>
          <bgColor rgb="FF92D050"/>
        </patternFill>
      </fill>
    </dxf>
    <dxf>
      <fill>
        <patternFill>
          <bgColor rgb="FF92D050"/>
        </patternFill>
      </fill>
    </dxf>
  </dxfs>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6457</xdr:colOff>
      <xdr:row>0</xdr:row>
      <xdr:rowOff>0</xdr:rowOff>
    </xdr:from>
    <xdr:to>
      <xdr:col>1</xdr:col>
      <xdr:colOff>1224641</xdr:colOff>
      <xdr:row>1</xdr:row>
      <xdr:rowOff>0</xdr:rowOff>
    </xdr:to>
    <xdr:pic>
      <xdr:nvPicPr>
        <xdr:cNvPr id="2" name="Picture 4" descr="logo HOA SEN group">
          <a:extLst>
            <a:ext uri="{FF2B5EF4-FFF2-40B4-BE49-F238E27FC236}">
              <a16:creationId xmlns:a16="http://schemas.microsoft.com/office/drawing/2014/main" id="{AFAF64BA-864F-43EE-B98B-3F3ABA6CA9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57" y="0"/>
          <a:ext cx="1748863" cy="8436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34"/>
  <sheetViews>
    <sheetView tabSelected="1" view="pageBreakPreview" topLeftCell="A11" zoomScale="70" zoomScaleNormal="100" zoomScaleSheetLayoutView="70" workbookViewId="0">
      <selection activeCell="A18" sqref="A18:H18"/>
    </sheetView>
  </sheetViews>
  <sheetFormatPr defaultColWidth="9.109375" defaultRowHeight="30.75" customHeight="1"/>
  <cols>
    <col min="1" max="1" width="7.88671875" style="1" customWidth="1"/>
    <col min="2" max="2" width="58.6640625" style="4" customWidth="1"/>
    <col min="3" max="3" width="9.5546875" style="4" customWidth="1"/>
    <col min="4" max="4" width="13.6640625" style="3" customWidth="1"/>
    <col min="5" max="5" width="21.5546875" style="4" customWidth="1"/>
    <col min="6" max="6" width="22.6640625" style="6" customWidth="1"/>
    <col min="7" max="7" width="18.5546875" style="4" customWidth="1"/>
    <col min="8" max="8" width="33" style="5" customWidth="1"/>
    <col min="9" max="11" width="19.6640625" style="4" customWidth="1"/>
    <col min="12" max="12" width="24.88671875" style="4" customWidth="1"/>
    <col min="13" max="13" width="23.44140625" style="5" customWidth="1"/>
    <col min="14" max="16" width="9.109375" style="1"/>
    <col min="17" max="18" width="23.21875" style="171" customWidth="1"/>
    <col min="19" max="16384" width="9.109375" style="1"/>
  </cols>
  <sheetData>
    <row r="1" spans="1:20" s="138" customFormat="1" ht="66" customHeight="1">
      <c r="A1" s="174" t="s">
        <v>488</v>
      </c>
      <c r="B1" s="175"/>
      <c r="C1" s="175"/>
      <c r="D1" s="175"/>
      <c r="E1" s="175"/>
      <c r="F1" s="175"/>
      <c r="G1" s="175"/>
      <c r="H1" s="175"/>
      <c r="I1" s="175"/>
      <c r="J1" s="175"/>
      <c r="K1" s="175"/>
      <c r="L1" s="175"/>
      <c r="M1" s="175"/>
      <c r="N1" s="150"/>
      <c r="O1" s="150"/>
      <c r="P1" s="150"/>
      <c r="Q1" s="159"/>
      <c r="R1" s="159"/>
    </row>
    <row r="2" spans="1:20" s="138" customFormat="1" ht="54.75" customHeight="1">
      <c r="A2" s="176" t="s">
        <v>489</v>
      </c>
      <c r="B2" s="177"/>
      <c r="C2" s="177"/>
      <c r="D2" s="177"/>
      <c r="E2" s="177"/>
      <c r="F2" s="177"/>
      <c r="G2" s="177"/>
      <c r="H2" s="177"/>
      <c r="I2" s="177"/>
      <c r="J2" s="177"/>
      <c r="K2" s="177"/>
      <c r="L2" s="177"/>
      <c r="M2" s="177"/>
      <c r="N2" s="151"/>
      <c r="O2" s="151"/>
      <c r="P2" s="151"/>
      <c r="Q2" s="160"/>
      <c r="R2" s="160"/>
      <c r="S2" s="151"/>
      <c r="T2" s="151"/>
    </row>
    <row r="3" spans="1:20" s="2" customFormat="1" ht="49.5" customHeight="1">
      <c r="A3" s="193" t="s">
        <v>36</v>
      </c>
      <c r="B3" s="190" t="s">
        <v>335</v>
      </c>
      <c r="C3" s="190" t="s">
        <v>79</v>
      </c>
      <c r="D3" s="190" t="s">
        <v>336</v>
      </c>
      <c r="E3" s="190" t="s">
        <v>337</v>
      </c>
      <c r="F3" s="190" t="s">
        <v>341</v>
      </c>
      <c r="G3" s="190" t="s">
        <v>338</v>
      </c>
      <c r="H3" s="190" t="s">
        <v>339</v>
      </c>
      <c r="I3" s="178" t="s">
        <v>493</v>
      </c>
      <c r="J3" s="179"/>
      <c r="K3" s="179"/>
      <c r="L3" s="179"/>
      <c r="M3" s="180"/>
      <c r="Q3" s="161"/>
      <c r="R3" s="161"/>
    </row>
    <row r="4" spans="1:20" s="2" customFormat="1" ht="59.25" customHeight="1">
      <c r="A4" s="194"/>
      <c r="B4" s="191"/>
      <c r="C4" s="191"/>
      <c r="D4" s="191"/>
      <c r="E4" s="191"/>
      <c r="F4" s="191"/>
      <c r="G4" s="191"/>
      <c r="H4" s="191"/>
      <c r="I4" s="181"/>
      <c r="J4" s="182"/>
      <c r="K4" s="182"/>
      <c r="L4" s="182"/>
      <c r="M4" s="183"/>
      <c r="Q4" s="161"/>
      <c r="R4" s="161"/>
    </row>
    <row r="5" spans="1:20" s="2" customFormat="1" ht="77.25" customHeight="1">
      <c r="A5" s="195"/>
      <c r="B5" s="192"/>
      <c r="C5" s="192"/>
      <c r="D5" s="192"/>
      <c r="E5" s="192"/>
      <c r="F5" s="192"/>
      <c r="G5" s="192"/>
      <c r="H5" s="192"/>
      <c r="I5" s="155" t="s">
        <v>414</v>
      </c>
      <c r="J5" s="156" t="s">
        <v>415</v>
      </c>
      <c r="K5" s="156" t="s">
        <v>416</v>
      </c>
      <c r="L5" s="156" t="s">
        <v>417</v>
      </c>
      <c r="M5" s="156" t="s">
        <v>418</v>
      </c>
      <c r="Q5" s="161"/>
      <c r="R5" s="161"/>
    </row>
    <row r="6" spans="1:20" s="15" customFormat="1" ht="50.1" customHeight="1">
      <c r="A6" s="10" t="s">
        <v>63</v>
      </c>
      <c r="B6" s="11" t="s">
        <v>91</v>
      </c>
      <c r="C6" s="11"/>
      <c r="D6" s="11"/>
      <c r="E6" s="11"/>
      <c r="F6" s="11"/>
      <c r="G6" s="11"/>
      <c r="H6" s="12" t="s">
        <v>64</v>
      </c>
      <c r="I6" s="13"/>
      <c r="J6" s="14"/>
      <c r="K6" s="14"/>
      <c r="L6" s="13"/>
      <c r="M6" s="98"/>
      <c r="N6" s="99"/>
      <c r="O6" s="100"/>
      <c r="Q6" s="162"/>
      <c r="R6" s="162"/>
    </row>
    <row r="7" spans="1:20" s="20" customFormat="1" ht="177" customHeight="1">
      <c r="A7" s="16">
        <v>1</v>
      </c>
      <c r="B7" s="17" t="s">
        <v>78</v>
      </c>
      <c r="C7" s="16" t="s">
        <v>65</v>
      </c>
      <c r="D7" s="18">
        <v>1</v>
      </c>
      <c r="E7" s="19"/>
      <c r="F7" s="19"/>
      <c r="G7" s="19"/>
      <c r="H7" s="17"/>
      <c r="I7" s="19">
        <v>0</v>
      </c>
      <c r="J7" s="19">
        <v>50000000</v>
      </c>
      <c r="K7" s="7">
        <f>I7+J7</f>
        <v>50000000</v>
      </c>
      <c r="L7" s="113">
        <f>K7*D7</f>
        <v>50000000</v>
      </c>
      <c r="M7" s="154" t="s">
        <v>491</v>
      </c>
      <c r="N7" s="101"/>
      <c r="O7" s="102"/>
      <c r="Q7" s="163">
        <f>$D7*I7</f>
        <v>0</v>
      </c>
      <c r="R7" s="163">
        <f>$D7*J7</f>
        <v>50000000</v>
      </c>
    </row>
    <row r="8" spans="1:20" s="21" customFormat="1" ht="198" customHeight="1">
      <c r="A8" s="16">
        <v>2</v>
      </c>
      <c r="B8" s="17" t="s">
        <v>428</v>
      </c>
      <c r="C8" s="16" t="s">
        <v>65</v>
      </c>
      <c r="D8" s="18">
        <v>1</v>
      </c>
      <c r="E8" s="19"/>
      <c r="F8" s="19"/>
      <c r="G8" s="19"/>
      <c r="H8" s="17"/>
      <c r="I8" s="19">
        <v>0</v>
      </c>
      <c r="J8" s="19">
        <v>100000000</v>
      </c>
      <c r="K8" s="7">
        <f t="shared" ref="K8:K71" si="0">I8+J8</f>
        <v>100000000</v>
      </c>
      <c r="L8" s="113">
        <f>K8*D8</f>
        <v>100000000</v>
      </c>
      <c r="M8" s="154" t="s">
        <v>492</v>
      </c>
      <c r="N8" s="101"/>
      <c r="O8" s="103"/>
      <c r="P8" s="20"/>
      <c r="Q8" s="163">
        <f t="shared" ref="Q8:Q71" si="1">$D8*I8</f>
        <v>0</v>
      </c>
      <c r="R8" s="163">
        <f t="shared" ref="R8:R71" si="2">$D8*J8</f>
        <v>100000000</v>
      </c>
    </row>
    <row r="9" spans="1:20" s="21" customFormat="1" ht="144.75" customHeight="1">
      <c r="A9" s="16">
        <v>3</v>
      </c>
      <c r="B9" s="22" t="s">
        <v>76</v>
      </c>
      <c r="C9" s="16" t="s">
        <v>65</v>
      </c>
      <c r="D9" s="18">
        <v>1</v>
      </c>
      <c r="E9" s="19"/>
      <c r="F9" s="19"/>
      <c r="G9" s="19"/>
      <c r="H9" s="19" t="s">
        <v>429</v>
      </c>
      <c r="I9" s="19">
        <v>0</v>
      </c>
      <c r="J9" s="19">
        <v>100000000</v>
      </c>
      <c r="K9" s="7">
        <f t="shared" si="0"/>
        <v>100000000</v>
      </c>
      <c r="L9" s="113">
        <f>K9*D9</f>
        <v>100000000</v>
      </c>
      <c r="M9" s="8"/>
      <c r="N9" s="101"/>
      <c r="O9" s="103"/>
      <c r="P9" s="20"/>
      <c r="Q9" s="163">
        <f t="shared" si="1"/>
        <v>0</v>
      </c>
      <c r="R9" s="163">
        <f t="shared" si="2"/>
        <v>100000000</v>
      </c>
    </row>
    <row r="10" spans="1:20" s="21" customFormat="1" ht="127.5" customHeight="1">
      <c r="A10" s="16">
        <v>4</v>
      </c>
      <c r="B10" s="22" t="s">
        <v>71</v>
      </c>
      <c r="C10" s="16" t="s">
        <v>65</v>
      </c>
      <c r="D10" s="18">
        <v>1</v>
      </c>
      <c r="E10" s="19"/>
      <c r="F10" s="19"/>
      <c r="G10" s="19"/>
      <c r="H10" s="19"/>
      <c r="I10" s="19">
        <v>0</v>
      </c>
      <c r="J10" s="19">
        <v>50000000</v>
      </c>
      <c r="K10" s="7">
        <f t="shared" si="0"/>
        <v>50000000</v>
      </c>
      <c r="L10" s="113">
        <f>K10*D10</f>
        <v>50000000</v>
      </c>
      <c r="M10" s="8"/>
      <c r="N10" s="101"/>
      <c r="O10" s="104"/>
      <c r="P10" s="20"/>
      <c r="Q10" s="163">
        <f t="shared" si="1"/>
        <v>0</v>
      </c>
      <c r="R10" s="163">
        <f t="shared" si="2"/>
        <v>50000000</v>
      </c>
    </row>
    <row r="11" spans="1:20" s="15" customFormat="1" ht="45" customHeight="1">
      <c r="A11" s="10" t="s">
        <v>66</v>
      </c>
      <c r="B11" s="11" t="s">
        <v>13</v>
      </c>
      <c r="C11" s="11"/>
      <c r="D11" s="23"/>
      <c r="E11" s="11"/>
      <c r="F11" s="11"/>
      <c r="G11" s="11"/>
      <c r="H11" s="12"/>
      <c r="I11" s="13"/>
      <c r="J11" s="14"/>
      <c r="K11" s="14"/>
      <c r="L11" s="14"/>
      <c r="M11" s="14"/>
      <c r="N11" s="99"/>
      <c r="O11" s="100"/>
      <c r="Q11" s="163">
        <f t="shared" si="1"/>
        <v>0</v>
      </c>
      <c r="R11" s="163">
        <f t="shared" si="2"/>
        <v>0</v>
      </c>
    </row>
    <row r="12" spans="1:20" s="32" customFormat="1" ht="39.9" customHeight="1">
      <c r="A12" s="24" t="s">
        <v>90</v>
      </c>
      <c r="B12" s="25" t="s">
        <v>32</v>
      </c>
      <c r="C12" s="26"/>
      <c r="D12" s="27"/>
      <c r="E12" s="28"/>
      <c r="F12" s="28"/>
      <c r="G12" s="28"/>
      <c r="H12" s="26"/>
      <c r="I12" s="26"/>
      <c r="J12" s="26"/>
      <c r="K12" s="26"/>
      <c r="L12" s="26"/>
      <c r="M12" s="30"/>
      <c r="N12" s="105"/>
      <c r="O12" s="106"/>
      <c r="P12" s="31"/>
      <c r="Q12" s="163">
        <f t="shared" si="1"/>
        <v>0</v>
      </c>
      <c r="R12" s="163">
        <f t="shared" si="2"/>
        <v>0</v>
      </c>
    </row>
    <row r="13" spans="1:20" s="21" customFormat="1" ht="35.1" customHeight="1">
      <c r="A13" s="33">
        <v>1</v>
      </c>
      <c r="B13" s="17" t="s">
        <v>45</v>
      </c>
      <c r="C13" s="16" t="s">
        <v>31</v>
      </c>
      <c r="D13" s="34">
        <v>71.894800000000004</v>
      </c>
      <c r="E13" s="19"/>
      <c r="F13" s="19"/>
      <c r="G13" s="19"/>
      <c r="H13" s="19" t="s">
        <v>67</v>
      </c>
      <c r="I13" s="19">
        <v>0</v>
      </c>
      <c r="J13" s="19">
        <v>70000</v>
      </c>
      <c r="K13" s="7">
        <f t="shared" si="0"/>
        <v>70000</v>
      </c>
      <c r="L13" s="113">
        <f t="shared" ref="L13:L59" si="3">K13*D13</f>
        <v>5032636</v>
      </c>
      <c r="M13" s="8"/>
      <c r="N13" s="101"/>
      <c r="O13" s="104"/>
      <c r="P13" s="20"/>
      <c r="Q13" s="163">
        <f t="shared" si="1"/>
        <v>0</v>
      </c>
      <c r="R13" s="163">
        <f t="shared" si="2"/>
        <v>5032636</v>
      </c>
    </row>
    <row r="14" spans="1:20" s="21" customFormat="1" ht="50.1" customHeight="1">
      <c r="A14" s="33">
        <v>2</v>
      </c>
      <c r="B14" s="17" t="s">
        <v>34</v>
      </c>
      <c r="C14" s="16" t="s">
        <v>31</v>
      </c>
      <c r="D14" s="34">
        <v>13.3424</v>
      </c>
      <c r="E14" s="19"/>
      <c r="F14" s="19"/>
      <c r="G14" s="19"/>
      <c r="H14" s="19" t="s">
        <v>68</v>
      </c>
      <c r="I14" s="19">
        <v>0</v>
      </c>
      <c r="J14" s="19">
        <v>90399.999999999985</v>
      </c>
      <c r="K14" s="7">
        <f t="shared" si="0"/>
        <v>90399.999999999985</v>
      </c>
      <c r="L14" s="113">
        <f t="shared" si="3"/>
        <v>1206152.9599999997</v>
      </c>
      <c r="M14" s="8"/>
      <c r="N14" s="101"/>
      <c r="O14" s="104"/>
      <c r="P14" s="20"/>
      <c r="Q14" s="163">
        <f t="shared" si="1"/>
        <v>0</v>
      </c>
      <c r="R14" s="163">
        <f t="shared" si="2"/>
        <v>1206152.9599999997</v>
      </c>
    </row>
    <row r="15" spans="1:20" s="21" customFormat="1" ht="46.5" customHeight="1">
      <c r="A15" s="33">
        <v>3</v>
      </c>
      <c r="B15" s="17" t="s">
        <v>37</v>
      </c>
      <c r="C15" s="16" t="s">
        <v>60</v>
      </c>
      <c r="D15" s="34">
        <v>26.032</v>
      </c>
      <c r="E15" s="19"/>
      <c r="F15" s="19"/>
      <c r="G15" s="19"/>
      <c r="H15" s="16" t="s">
        <v>69</v>
      </c>
      <c r="I15" s="19">
        <v>100000</v>
      </c>
      <c r="J15" s="19">
        <v>112999.99999999999</v>
      </c>
      <c r="K15" s="7">
        <f t="shared" si="0"/>
        <v>213000</v>
      </c>
      <c r="L15" s="113">
        <f t="shared" si="3"/>
        <v>5544816</v>
      </c>
      <c r="M15" s="8"/>
      <c r="N15" s="101"/>
      <c r="O15" s="104"/>
      <c r="P15" s="20"/>
      <c r="Q15" s="163">
        <f t="shared" si="1"/>
        <v>2603200</v>
      </c>
      <c r="R15" s="163">
        <f t="shared" si="2"/>
        <v>2941615.9999999995</v>
      </c>
    </row>
    <row r="16" spans="1:20" s="21" customFormat="1" ht="87.75" customHeight="1">
      <c r="A16" s="33">
        <v>4</v>
      </c>
      <c r="B16" s="17" t="s">
        <v>2</v>
      </c>
      <c r="C16" s="16" t="s">
        <v>31</v>
      </c>
      <c r="D16" s="34">
        <v>6.3352000000000004</v>
      </c>
      <c r="E16" s="19"/>
      <c r="F16" s="19"/>
      <c r="G16" s="19"/>
      <c r="H16" s="16" t="s">
        <v>70</v>
      </c>
      <c r="I16" s="19">
        <v>1417500</v>
      </c>
      <c r="J16" s="19">
        <v>338999.99999999994</v>
      </c>
      <c r="K16" s="7">
        <f t="shared" si="0"/>
        <v>1756500</v>
      </c>
      <c r="L16" s="113">
        <f t="shared" si="3"/>
        <v>11127778.800000001</v>
      </c>
      <c r="M16" s="8"/>
      <c r="N16" s="101"/>
      <c r="O16" s="104"/>
      <c r="P16" s="20"/>
      <c r="Q16" s="163">
        <f t="shared" si="1"/>
        <v>8980146</v>
      </c>
      <c r="R16" s="163">
        <f t="shared" si="2"/>
        <v>2147632.7999999998</v>
      </c>
    </row>
    <row r="17" spans="1:18" s="21" customFormat="1" ht="35.1" customHeight="1">
      <c r="A17" s="33">
        <v>5</v>
      </c>
      <c r="B17" s="17" t="s">
        <v>22</v>
      </c>
      <c r="C17" s="16" t="s">
        <v>60</v>
      </c>
      <c r="D17" s="34">
        <v>192.98580000000001</v>
      </c>
      <c r="E17" s="19"/>
      <c r="F17" s="19"/>
      <c r="G17" s="19"/>
      <c r="H17" s="16" t="s">
        <v>69</v>
      </c>
      <c r="I17" s="19">
        <v>100000</v>
      </c>
      <c r="J17" s="19">
        <v>112999.99999999999</v>
      </c>
      <c r="K17" s="7">
        <f t="shared" si="0"/>
        <v>213000</v>
      </c>
      <c r="L17" s="113">
        <f t="shared" si="3"/>
        <v>41105975.400000006</v>
      </c>
      <c r="M17" s="8"/>
      <c r="N17" s="101"/>
      <c r="O17" s="104"/>
      <c r="P17" s="20"/>
      <c r="Q17" s="163">
        <f t="shared" si="1"/>
        <v>19298580</v>
      </c>
      <c r="R17" s="163">
        <f t="shared" si="2"/>
        <v>21807395.399999999</v>
      </c>
    </row>
    <row r="18" spans="1:18" s="21" customFormat="1" ht="63">
      <c r="A18" s="33">
        <v>6</v>
      </c>
      <c r="B18" s="17" t="s">
        <v>40</v>
      </c>
      <c r="C18" s="16" t="s">
        <v>8</v>
      </c>
      <c r="D18" s="34">
        <v>2309.8136</v>
      </c>
      <c r="E18" s="19" t="s">
        <v>80</v>
      </c>
      <c r="F18" s="19"/>
      <c r="G18" s="19"/>
      <c r="H18" s="16" t="s">
        <v>82</v>
      </c>
      <c r="I18" s="19">
        <v>17500</v>
      </c>
      <c r="J18" s="19">
        <v>5650</v>
      </c>
      <c r="K18" s="7">
        <f t="shared" si="0"/>
        <v>23150</v>
      </c>
      <c r="L18" s="113">
        <f t="shared" si="3"/>
        <v>53472184.839999996</v>
      </c>
      <c r="M18" s="8"/>
      <c r="N18" s="101"/>
      <c r="O18" s="104"/>
      <c r="P18" s="20"/>
      <c r="Q18" s="163">
        <f t="shared" si="1"/>
        <v>40421738</v>
      </c>
      <c r="R18" s="163">
        <f t="shared" si="2"/>
        <v>13050446.84</v>
      </c>
    </row>
    <row r="19" spans="1:18" s="21" customFormat="1" ht="62.25" customHeight="1">
      <c r="A19" s="33">
        <v>7</v>
      </c>
      <c r="B19" s="17" t="s">
        <v>62</v>
      </c>
      <c r="C19" s="16" t="s">
        <v>31</v>
      </c>
      <c r="D19" s="34">
        <v>24.317799999999998</v>
      </c>
      <c r="E19" s="19"/>
      <c r="F19" s="19"/>
      <c r="G19" s="19"/>
      <c r="H19" s="16" t="s">
        <v>77</v>
      </c>
      <c r="I19" s="19">
        <v>1785000</v>
      </c>
      <c r="J19" s="19">
        <v>451999.99999999994</v>
      </c>
      <c r="K19" s="7">
        <f t="shared" si="0"/>
        <v>2237000</v>
      </c>
      <c r="L19" s="113">
        <f t="shared" si="3"/>
        <v>54398918.599999994</v>
      </c>
      <c r="M19" s="8"/>
      <c r="N19" s="101"/>
      <c r="O19" s="104"/>
      <c r="P19" s="20"/>
      <c r="Q19" s="163">
        <f t="shared" si="1"/>
        <v>43407273</v>
      </c>
      <c r="R19" s="163">
        <f t="shared" si="2"/>
        <v>10991645.599999998</v>
      </c>
    </row>
    <row r="20" spans="1:18" s="21" customFormat="1" ht="35.1" customHeight="1">
      <c r="A20" s="33">
        <v>8</v>
      </c>
      <c r="B20" s="17" t="s">
        <v>12</v>
      </c>
      <c r="C20" s="16" t="s">
        <v>31</v>
      </c>
      <c r="D20" s="34">
        <v>2.36</v>
      </c>
      <c r="E20" s="19"/>
      <c r="F20" s="19"/>
      <c r="G20" s="19"/>
      <c r="H20" s="16" t="s">
        <v>77</v>
      </c>
      <c r="I20" s="19">
        <v>1785000</v>
      </c>
      <c r="J20" s="19">
        <v>451999.99999999994</v>
      </c>
      <c r="K20" s="7">
        <f t="shared" si="0"/>
        <v>2237000</v>
      </c>
      <c r="L20" s="113">
        <f t="shared" si="3"/>
        <v>5279320</v>
      </c>
      <c r="M20" s="8"/>
      <c r="N20" s="101"/>
      <c r="O20" s="104"/>
      <c r="P20" s="20"/>
      <c r="Q20" s="163">
        <f t="shared" si="1"/>
        <v>4212600</v>
      </c>
      <c r="R20" s="163">
        <f t="shared" si="2"/>
        <v>1066719.9999999998</v>
      </c>
    </row>
    <row r="21" spans="1:18" s="21" customFormat="1" ht="35.1" customHeight="1">
      <c r="A21" s="33">
        <v>9</v>
      </c>
      <c r="B21" s="17" t="s">
        <v>10</v>
      </c>
      <c r="C21" s="16" t="s">
        <v>31</v>
      </c>
      <c r="D21" s="34">
        <v>3.6821999999999999</v>
      </c>
      <c r="E21" s="19"/>
      <c r="F21" s="19"/>
      <c r="G21" s="19"/>
      <c r="H21" s="16" t="s">
        <v>70</v>
      </c>
      <c r="I21" s="19">
        <v>1732500</v>
      </c>
      <c r="J21" s="19">
        <v>451999.99999999994</v>
      </c>
      <c r="K21" s="7">
        <f t="shared" si="0"/>
        <v>2184500</v>
      </c>
      <c r="L21" s="113">
        <f t="shared" si="3"/>
        <v>8043765.8999999994</v>
      </c>
      <c r="M21" s="8"/>
      <c r="N21" s="101"/>
      <c r="O21" s="104"/>
      <c r="P21" s="20"/>
      <c r="Q21" s="163">
        <f t="shared" si="1"/>
        <v>6379411.5</v>
      </c>
      <c r="R21" s="163">
        <f t="shared" si="2"/>
        <v>1664354.3999999997</v>
      </c>
    </row>
    <row r="22" spans="1:18" s="21" customFormat="1" ht="50.1" customHeight="1">
      <c r="A22" s="33">
        <v>10</v>
      </c>
      <c r="B22" s="17" t="s">
        <v>51</v>
      </c>
      <c r="C22" s="16" t="s">
        <v>31</v>
      </c>
      <c r="D22" s="34">
        <v>7.3499999999999996E-2</v>
      </c>
      <c r="E22" s="19" t="s">
        <v>421</v>
      </c>
      <c r="F22" s="19" t="s">
        <v>342</v>
      </c>
      <c r="G22" s="19"/>
      <c r="H22" s="16" t="s">
        <v>82</v>
      </c>
      <c r="I22" s="19">
        <v>10000000</v>
      </c>
      <c r="J22" s="19">
        <v>22599999.999999996</v>
      </c>
      <c r="K22" s="7">
        <f t="shared" si="0"/>
        <v>32599999.999999996</v>
      </c>
      <c r="L22" s="113">
        <f t="shared" si="3"/>
        <v>2396099.9999999995</v>
      </c>
      <c r="M22" s="8"/>
      <c r="N22" s="101"/>
      <c r="O22" s="104"/>
      <c r="P22" s="20"/>
      <c r="Q22" s="163">
        <f t="shared" si="1"/>
        <v>735000</v>
      </c>
      <c r="R22" s="163">
        <f t="shared" si="2"/>
        <v>1661099.9999999995</v>
      </c>
    </row>
    <row r="23" spans="1:18" s="21" customFormat="1" ht="50.1" customHeight="1">
      <c r="A23" s="33">
        <v>11</v>
      </c>
      <c r="B23" s="17" t="s">
        <v>343</v>
      </c>
      <c r="C23" s="16" t="s">
        <v>48</v>
      </c>
      <c r="D23" s="34">
        <v>40</v>
      </c>
      <c r="E23" s="19"/>
      <c r="F23" s="19"/>
      <c r="G23" s="19"/>
      <c r="H23" s="16"/>
      <c r="I23" s="19">
        <v>131000</v>
      </c>
      <c r="J23" s="19">
        <v>40000</v>
      </c>
      <c r="K23" s="7">
        <f t="shared" si="0"/>
        <v>171000</v>
      </c>
      <c r="L23" s="113">
        <f t="shared" si="3"/>
        <v>6840000</v>
      </c>
      <c r="M23" s="8"/>
      <c r="N23" s="101"/>
      <c r="O23" s="104"/>
      <c r="P23" s="20"/>
      <c r="Q23" s="163">
        <f t="shared" si="1"/>
        <v>5240000</v>
      </c>
      <c r="R23" s="163">
        <f t="shared" si="2"/>
        <v>1600000</v>
      </c>
    </row>
    <row r="24" spans="1:18" s="21" customFormat="1" ht="35.1" customHeight="1">
      <c r="A24" s="33">
        <v>12</v>
      </c>
      <c r="B24" s="17" t="s">
        <v>9</v>
      </c>
      <c r="C24" s="16" t="s">
        <v>31</v>
      </c>
      <c r="D24" s="34">
        <v>33.497</v>
      </c>
      <c r="E24" s="19"/>
      <c r="F24" s="19"/>
      <c r="G24" s="19"/>
      <c r="H24" s="19" t="s">
        <v>67</v>
      </c>
      <c r="I24" s="19">
        <v>350000</v>
      </c>
      <c r="J24" s="19">
        <v>158199.99999999997</v>
      </c>
      <c r="K24" s="7">
        <f t="shared" si="0"/>
        <v>508200</v>
      </c>
      <c r="L24" s="113">
        <f t="shared" si="3"/>
        <v>17023175.399999999</v>
      </c>
      <c r="M24" s="8"/>
      <c r="N24" s="101"/>
      <c r="O24" s="104"/>
      <c r="P24" s="20"/>
      <c r="Q24" s="163">
        <f t="shared" si="1"/>
        <v>11723950</v>
      </c>
      <c r="R24" s="163">
        <f t="shared" si="2"/>
        <v>5299225.3999999994</v>
      </c>
    </row>
    <row r="25" spans="1:18" s="21" customFormat="1" ht="50.1" customHeight="1">
      <c r="A25" s="33">
        <v>13</v>
      </c>
      <c r="B25" s="17" t="s">
        <v>20</v>
      </c>
      <c r="C25" s="16" t="s">
        <v>31</v>
      </c>
      <c r="D25" s="34">
        <v>51.278799999999997</v>
      </c>
      <c r="E25" s="19"/>
      <c r="F25" s="19"/>
      <c r="G25" s="19"/>
      <c r="H25" s="19" t="s">
        <v>68</v>
      </c>
      <c r="I25" s="19">
        <v>420000</v>
      </c>
      <c r="J25" s="19">
        <v>211874.99999999997</v>
      </c>
      <c r="K25" s="7">
        <f t="shared" si="0"/>
        <v>631875</v>
      </c>
      <c r="L25" s="113">
        <f t="shared" si="3"/>
        <v>32401791.749999996</v>
      </c>
      <c r="M25" s="8"/>
      <c r="N25" s="101"/>
      <c r="O25" s="104"/>
      <c r="P25" s="20"/>
      <c r="Q25" s="163">
        <f t="shared" si="1"/>
        <v>21537096</v>
      </c>
      <c r="R25" s="163">
        <f t="shared" si="2"/>
        <v>10864695.749999998</v>
      </c>
    </row>
    <row r="26" spans="1:18" s="21" customFormat="1" ht="35.1" customHeight="1">
      <c r="A26" s="33">
        <v>14</v>
      </c>
      <c r="B26" s="17" t="s">
        <v>17</v>
      </c>
      <c r="C26" s="16" t="s">
        <v>60</v>
      </c>
      <c r="D26" s="34">
        <v>11.8794</v>
      </c>
      <c r="E26" s="19"/>
      <c r="F26" s="19"/>
      <c r="G26" s="19"/>
      <c r="H26" s="16" t="s">
        <v>69</v>
      </c>
      <c r="I26" s="19">
        <v>100000</v>
      </c>
      <c r="J26" s="19">
        <v>112999.99999999999</v>
      </c>
      <c r="K26" s="7">
        <f t="shared" si="0"/>
        <v>213000</v>
      </c>
      <c r="L26" s="113">
        <f t="shared" si="3"/>
        <v>2530312.2000000002</v>
      </c>
      <c r="M26" s="8"/>
      <c r="N26" s="101"/>
      <c r="O26" s="104"/>
      <c r="P26" s="20"/>
      <c r="Q26" s="163">
        <f t="shared" si="1"/>
        <v>1187940</v>
      </c>
      <c r="R26" s="163">
        <f t="shared" si="2"/>
        <v>1342372.2</v>
      </c>
    </row>
    <row r="27" spans="1:18" s="21" customFormat="1" ht="59.25" customHeight="1">
      <c r="A27" s="33">
        <v>15</v>
      </c>
      <c r="B27" s="17" t="s">
        <v>430</v>
      </c>
      <c r="C27" s="16" t="s">
        <v>60</v>
      </c>
      <c r="D27" s="34">
        <v>374.70600000000002</v>
      </c>
      <c r="E27" s="19"/>
      <c r="F27" s="19"/>
      <c r="G27" s="19"/>
      <c r="H27" s="16"/>
      <c r="I27" s="19">
        <v>7000</v>
      </c>
      <c r="J27" s="19">
        <v>7909.9999999999991</v>
      </c>
      <c r="K27" s="7">
        <f t="shared" si="0"/>
        <v>14910</v>
      </c>
      <c r="L27" s="113">
        <f t="shared" si="3"/>
        <v>5586866.46</v>
      </c>
      <c r="M27" s="8"/>
      <c r="N27" s="101"/>
      <c r="O27" s="104"/>
      <c r="P27" s="20"/>
      <c r="Q27" s="163">
        <f t="shared" si="1"/>
        <v>2622942</v>
      </c>
      <c r="R27" s="163">
        <f t="shared" si="2"/>
        <v>2963924.46</v>
      </c>
    </row>
    <row r="28" spans="1:18" s="21" customFormat="1" ht="50.1" customHeight="1">
      <c r="A28" s="33">
        <v>16</v>
      </c>
      <c r="B28" s="17" t="s">
        <v>14</v>
      </c>
      <c r="C28" s="16" t="s">
        <v>8</v>
      </c>
      <c r="D28" s="34">
        <v>1204.4486999999999</v>
      </c>
      <c r="E28" s="19" t="s">
        <v>80</v>
      </c>
      <c r="F28" s="19"/>
      <c r="G28" s="19"/>
      <c r="H28" s="16" t="s">
        <v>82</v>
      </c>
      <c r="I28" s="19">
        <v>17500</v>
      </c>
      <c r="J28" s="19">
        <v>5649.9999999999991</v>
      </c>
      <c r="K28" s="7">
        <f t="shared" si="0"/>
        <v>23150</v>
      </c>
      <c r="L28" s="113">
        <f t="shared" si="3"/>
        <v>27882987.404999997</v>
      </c>
      <c r="M28" s="8"/>
      <c r="N28" s="101"/>
      <c r="O28" s="104"/>
      <c r="P28" s="20"/>
      <c r="Q28" s="163">
        <f t="shared" si="1"/>
        <v>21077852.25</v>
      </c>
      <c r="R28" s="163">
        <f t="shared" si="2"/>
        <v>6805135.1549999984</v>
      </c>
    </row>
    <row r="29" spans="1:18" s="21" customFormat="1" ht="35.1" customHeight="1">
      <c r="A29" s="33">
        <v>17</v>
      </c>
      <c r="B29" s="17" t="s">
        <v>3</v>
      </c>
      <c r="C29" s="16" t="s">
        <v>31</v>
      </c>
      <c r="D29" s="34">
        <v>29.976500000000001</v>
      </c>
      <c r="E29" s="19"/>
      <c r="F29" s="19"/>
      <c r="G29" s="19"/>
      <c r="H29" s="16" t="s">
        <v>77</v>
      </c>
      <c r="I29" s="19">
        <v>1785000</v>
      </c>
      <c r="J29" s="19">
        <v>451999.99999999994</v>
      </c>
      <c r="K29" s="7">
        <f t="shared" si="0"/>
        <v>2237000</v>
      </c>
      <c r="L29" s="113">
        <f t="shared" si="3"/>
        <v>67057430.5</v>
      </c>
      <c r="M29" s="8"/>
      <c r="N29" s="101"/>
      <c r="O29" s="104"/>
      <c r="P29" s="20"/>
      <c r="Q29" s="163">
        <f t="shared" si="1"/>
        <v>53508052.5</v>
      </c>
      <c r="R29" s="163">
        <f t="shared" si="2"/>
        <v>13549377.999999998</v>
      </c>
    </row>
    <row r="30" spans="1:18" s="21" customFormat="1" ht="35.1" customHeight="1">
      <c r="A30" s="33">
        <v>18</v>
      </c>
      <c r="B30" s="17" t="s">
        <v>30</v>
      </c>
      <c r="C30" s="16" t="s">
        <v>31</v>
      </c>
      <c r="D30" s="34">
        <v>0.312</v>
      </c>
      <c r="E30" s="19"/>
      <c r="F30" s="19"/>
      <c r="G30" s="19"/>
      <c r="H30" s="16" t="s">
        <v>70</v>
      </c>
      <c r="I30" s="19">
        <v>1527500</v>
      </c>
      <c r="J30" s="19">
        <v>451999.99999999994</v>
      </c>
      <c r="K30" s="7">
        <f t="shared" si="0"/>
        <v>1979500</v>
      </c>
      <c r="L30" s="113">
        <f t="shared" si="3"/>
        <v>617604</v>
      </c>
      <c r="M30" s="8"/>
      <c r="N30" s="101"/>
      <c r="O30" s="104"/>
      <c r="P30" s="20"/>
      <c r="Q30" s="163">
        <f t="shared" si="1"/>
        <v>476580</v>
      </c>
      <c r="R30" s="163">
        <f t="shared" si="2"/>
        <v>141023.99999999997</v>
      </c>
    </row>
    <row r="31" spans="1:18" s="21" customFormat="1" ht="50.1" customHeight="1">
      <c r="A31" s="35">
        <v>19</v>
      </c>
      <c r="B31" s="17" t="s">
        <v>84</v>
      </c>
      <c r="C31" s="16" t="s">
        <v>31</v>
      </c>
      <c r="D31" s="34">
        <v>5.274</v>
      </c>
      <c r="E31" s="19"/>
      <c r="F31" s="16" t="s">
        <v>85</v>
      </c>
      <c r="G31" s="19"/>
      <c r="H31" s="16"/>
      <c r="I31" s="19">
        <v>1050000</v>
      </c>
      <c r="J31" s="19">
        <v>1242999.9999999998</v>
      </c>
      <c r="K31" s="7">
        <f t="shared" si="0"/>
        <v>2293000</v>
      </c>
      <c r="L31" s="113">
        <f t="shared" si="3"/>
        <v>12093282</v>
      </c>
      <c r="M31" s="8"/>
      <c r="N31" s="101"/>
      <c r="O31" s="104"/>
      <c r="P31" s="20"/>
      <c r="Q31" s="163">
        <f t="shared" si="1"/>
        <v>5537700</v>
      </c>
      <c r="R31" s="163">
        <f t="shared" si="2"/>
        <v>6555581.9999999991</v>
      </c>
    </row>
    <row r="32" spans="1:18" s="21" customFormat="1" ht="50.1" customHeight="1">
      <c r="A32" s="35">
        <v>20</v>
      </c>
      <c r="B32" s="17" t="s">
        <v>41</v>
      </c>
      <c r="C32" s="16" t="s">
        <v>31</v>
      </c>
      <c r="D32" s="34">
        <v>9.0223999999999993</v>
      </c>
      <c r="E32" s="19"/>
      <c r="F32" s="16" t="s">
        <v>85</v>
      </c>
      <c r="G32" s="19"/>
      <c r="H32" s="16"/>
      <c r="I32" s="19">
        <v>1050000</v>
      </c>
      <c r="J32" s="19">
        <v>1242999.9999999998</v>
      </c>
      <c r="K32" s="7">
        <f t="shared" si="0"/>
        <v>2293000</v>
      </c>
      <c r="L32" s="113">
        <f t="shared" si="3"/>
        <v>20688363.199999999</v>
      </c>
      <c r="M32" s="8"/>
      <c r="N32" s="101"/>
      <c r="O32" s="104"/>
      <c r="P32" s="20"/>
      <c r="Q32" s="163">
        <f t="shared" si="1"/>
        <v>9473520</v>
      </c>
      <c r="R32" s="163">
        <f t="shared" si="2"/>
        <v>11214843.199999997</v>
      </c>
    </row>
    <row r="33" spans="1:18" s="21" customFormat="1" ht="50.1" customHeight="1">
      <c r="A33" s="35">
        <v>21</v>
      </c>
      <c r="B33" s="17" t="s">
        <v>25</v>
      </c>
      <c r="C33" s="16" t="s">
        <v>31</v>
      </c>
      <c r="D33" s="34">
        <v>31.470500000000001</v>
      </c>
      <c r="E33" s="19"/>
      <c r="F33" s="16" t="s">
        <v>85</v>
      </c>
      <c r="G33" s="19"/>
      <c r="H33" s="16"/>
      <c r="I33" s="19">
        <v>1050000</v>
      </c>
      <c r="J33" s="19">
        <v>1242999.9999999998</v>
      </c>
      <c r="K33" s="7">
        <f t="shared" si="0"/>
        <v>2293000</v>
      </c>
      <c r="L33" s="113">
        <f t="shared" si="3"/>
        <v>72161856.5</v>
      </c>
      <c r="M33" s="8"/>
      <c r="N33" s="101"/>
      <c r="O33" s="104"/>
      <c r="P33" s="20"/>
      <c r="Q33" s="163">
        <f t="shared" si="1"/>
        <v>33044025</v>
      </c>
      <c r="R33" s="163">
        <f t="shared" si="2"/>
        <v>39117831.499999993</v>
      </c>
    </row>
    <row r="34" spans="1:18" s="21" customFormat="1" ht="64.5" customHeight="1">
      <c r="A34" s="33">
        <v>22</v>
      </c>
      <c r="B34" s="17" t="s">
        <v>431</v>
      </c>
      <c r="C34" s="16" t="s">
        <v>60</v>
      </c>
      <c r="D34" s="34">
        <v>50.98</v>
      </c>
      <c r="E34" s="19"/>
      <c r="F34" s="19"/>
      <c r="G34" s="19"/>
      <c r="H34" s="16"/>
      <c r="I34" s="19">
        <v>50000</v>
      </c>
      <c r="J34" s="19">
        <v>101699.99999999999</v>
      </c>
      <c r="K34" s="7">
        <f t="shared" si="0"/>
        <v>151700</v>
      </c>
      <c r="L34" s="113">
        <f t="shared" si="3"/>
        <v>7733665.9999999991</v>
      </c>
      <c r="M34" s="8"/>
      <c r="N34" s="101"/>
      <c r="O34" s="104"/>
      <c r="P34" s="20"/>
      <c r="Q34" s="163">
        <f t="shared" si="1"/>
        <v>2549000</v>
      </c>
      <c r="R34" s="163">
        <f t="shared" si="2"/>
        <v>5184665.9999999991</v>
      </c>
    </row>
    <row r="35" spans="1:18" s="21" customFormat="1" ht="77.25" customHeight="1">
      <c r="A35" s="33">
        <v>23</v>
      </c>
      <c r="B35" s="17" t="s">
        <v>432</v>
      </c>
      <c r="C35" s="16" t="s">
        <v>60</v>
      </c>
      <c r="D35" s="34">
        <v>536.29179999999997</v>
      </c>
      <c r="E35" s="19"/>
      <c r="F35" s="19"/>
      <c r="G35" s="19"/>
      <c r="H35" s="16"/>
      <c r="I35" s="19">
        <v>50000</v>
      </c>
      <c r="J35" s="19">
        <v>101699.99999999999</v>
      </c>
      <c r="K35" s="7">
        <f t="shared" si="0"/>
        <v>151700</v>
      </c>
      <c r="L35" s="113">
        <f t="shared" si="3"/>
        <v>81355466.059999987</v>
      </c>
      <c r="M35" s="8"/>
      <c r="N35" s="101"/>
      <c r="O35" s="104"/>
      <c r="P35" s="20"/>
      <c r="Q35" s="163">
        <f t="shared" si="1"/>
        <v>26814590</v>
      </c>
      <c r="R35" s="163">
        <f t="shared" si="2"/>
        <v>54540876.059999987</v>
      </c>
    </row>
    <row r="36" spans="1:18" s="21" customFormat="1" ht="86.25" customHeight="1">
      <c r="A36" s="33">
        <v>24</v>
      </c>
      <c r="B36" s="17" t="s">
        <v>344</v>
      </c>
      <c r="C36" s="16" t="s">
        <v>8</v>
      </c>
      <c r="D36" s="34">
        <v>76.327100000000002</v>
      </c>
      <c r="E36" s="19"/>
      <c r="F36" s="19"/>
      <c r="G36" s="19"/>
      <c r="H36" s="16"/>
      <c r="I36" s="19">
        <v>27000</v>
      </c>
      <c r="J36" s="19">
        <v>11299.999999999998</v>
      </c>
      <c r="K36" s="7">
        <f t="shared" si="0"/>
        <v>38300</v>
      </c>
      <c r="L36" s="113">
        <f t="shared" si="3"/>
        <v>2923327.93</v>
      </c>
      <c r="M36" s="8"/>
      <c r="N36" s="101"/>
      <c r="O36" s="104"/>
      <c r="P36" s="20"/>
      <c r="Q36" s="163">
        <f t="shared" si="1"/>
        <v>2060831.7</v>
      </c>
      <c r="R36" s="163">
        <f t="shared" si="2"/>
        <v>862496.22999999986</v>
      </c>
    </row>
    <row r="37" spans="1:18" s="21" customFormat="1" ht="35.1" customHeight="1">
      <c r="A37" s="33">
        <v>25</v>
      </c>
      <c r="B37" s="17" t="s">
        <v>28</v>
      </c>
      <c r="C37" s="16" t="s">
        <v>8</v>
      </c>
      <c r="D37" s="34">
        <v>1165.904</v>
      </c>
      <c r="E37" s="19"/>
      <c r="F37" s="19"/>
      <c r="G37" s="19"/>
      <c r="H37" s="16" t="s">
        <v>82</v>
      </c>
      <c r="I37" s="19">
        <v>25000</v>
      </c>
      <c r="J37" s="19">
        <v>11299.999999999998</v>
      </c>
      <c r="K37" s="7">
        <f t="shared" si="0"/>
        <v>36300</v>
      </c>
      <c r="L37" s="113">
        <f t="shared" si="3"/>
        <v>42322315.200000003</v>
      </c>
      <c r="M37" s="8"/>
      <c r="N37" s="101"/>
      <c r="O37" s="104"/>
      <c r="P37" s="20"/>
      <c r="Q37" s="163">
        <f t="shared" si="1"/>
        <v>29147600</v>
      </c>
      <c r="R37" s="163">
        <f t="shared" si="2"/>
        <v>13174715.199999997</v>
      </c>
    </row>
    <row r="38" spans="1:18" s="21" customFormat="1" ht="35.1" customHeight="1">
      <c r="A38" s="33">
        <v>26</v>
      </c>
      <c r="B38" s="17" t="s">
        <v>433</v>
      </c>
      <c r="C38" s="16" t="s">
        <v>8</v>
      </c>
      <c r="D38" s="34">
        <v>259.58999999999997</v>
      </c>
      <c r="E38" s="19"/>
      <c r="F38" s="19" t="s">
        <v>72</v>
      </c>
      <c r="G38" s="19"/>
      <c r="H38" s="16" t="s">
        <v>83</v>
      </c>
      <c r="I38" s="19">
        <v>27000</v>
      </c>
      <c r="J38" s="19">
        <v>11299.999999999998</v>
      </c>
      <c r="K38" s="7">
        <f t="shared" si="0"/>
        <v>38300</v>
      </c>
      <c r="L38" s="113">
        <f t="shared" si="3"/>
        <v>9942296.9999999981</v>
      </c>
      <c r="M38" s="8"/>
      <c r="N38" s="101"/>
      <c r="O38" s="104"/>
      <c r="P38" s="20"/>
      <c r="Q38" s="163">
        <f t="shared" si="1"/>
        <v>7008929.9999999991</v>
      </c>
      <c r="R38" s="163">
        <f t="shared" si="2"/>
        <v>2933366.9999999991</v>
      </c>
    </row>
    <row r="39" spans="1:18" s="21" customFormat="1" ht="35.1" customHeight="1">
      <c r="A39" s="33">
        <v>27</v>
      </c>
      <c r="B39" s="17" t="s">
        <v>59</v>
      </c>
      <c r="C39" s="16" t="s">
        <v>48</v>
      </c>
      <c r="D39" s="34">
        <v>36</v>
      </c>
      <c r="E39" s="19"/>
      <c r="F39" s="19"/>
      <c r="G39" s="19"/>
      <c r="H39" s="16"/>
      <c r="I39" s="19">
        <v>94500</v>
      </c>
      <c r="J39" s="19">
        <v>22599.999999999996</v>
      </c>
      <c r="K39" s="7">
        <f t="shared" si="0"/>
        <v>117100</v>
      </c>
      <c r="L39" s="113">
        <f t="shared" si="3"/>
        <v>4215600</v>
      </c>
      <c r="M39" s="8"/>
      <c r="N39" s="101"/>
      <c r="O39" s="104"/>
      <c r="P39" s="20"/>
      <c r="Q39" s="163">
        <f t="shared" si="1"/>
        <v>3402000</v>
      </c>
      <c r="R39" s="163">
        <f t="shared" si="2"/>
        <v>813599.99999999988</v>
      </c>
    </row>
    <row r="40" spans="1:18" s="21" customFormat="1" ht="35.1" customHeight="1">
      <c r="A40" s="33">
        <v>28</v>
      </c>
      <c r="B40" s="17" t="s">
        <v>21</v>
      </c>
      <c r="C40" s="16" t="s">
        <v>8</v>
      </c>
      <c r="D40" s="34">
        <v>2943.4140000000002</v>
      </c>
      <c r="E40" s="19"/>
      <c r="F40" s="19"/>
      <c r="G40" s="19"/>
      <c r="H40" s="16" t="s">
        <v>82</v>
      </c>
      <c r="I40" s="19">
        <v>25000</v>
      </c>
      <c r="J40" s="19">
        <v>11299.999999999998</v>
      </c>
      <c r="K40" s="7">
        <f t="shared" si="0"/>
        <v>36300</v>
      </c>
      <c r="L40" s="113">
        <f t="shared" si="3"/>
        <v>106845928.2</v>
      </c>
      <c r="M40" s="8"/>
      <c r="N40" s="101"/>
      <c r="O40" s="104"/>
      <c r="P40" s="20"/>
      <c r="Q40" s="163">
        <f t="shared" si="1"/>
        <v>73585350</v>
      </c>
      <c r="R40" s="163">
        <f t="shared" si="2"/>
        <v>33260578.199999996</v>
      </c>
    </row>
    <row r="41" spans="1:18" s="21" customFormat="1" ht="35.1" customHeight="1">
      <c r="A41" s="33">
        <v>29</v>
      </c>
      <c r="B41" s="17" t="s">
        <v>1</v>
      </c>
      <c r="C41" s="16" t="s">
        <v>8</v>
      </c>
      <c r="D41" s="34">
        <v>106.446</v>
      </c>
      <c r="E41" s="19"/>
      <c r="F41" s="19"/>
      <c r="G41" s="19"/>
      <c r="H41" s="16"/>
      <c r="I41" s="19">
        <v>25000</v>
      </c>
      <c r="J41" s="19">
        <v>11299.999999999998</v>
      </c>
      <c r="K41" s="7">
        <f t="shared" si="0"/>
        <v>36300</v>
      </c>
      <c r="L41" s="113">
        <f t="shared" si="3"/>
        <v>3863989.8</v>
      </c>
      <c r="M41" s="8"/>
      <c r="N41" s="101"/>
      <c r="O41" s="104"/>
      <c r="P41" s="20"/>
      <c r="Q41" s="163">
        <f t="shared" si="1"/>
        <v>2661150</v>
      </c>
      <c r="R41" s="163">
        <f t="shared" si="2"/>
        <v>1202839.7999999998</v>
      </c>
    </row>
    <row r="42" spans="1:18" s="21" customFormat="1" ht="35.1" customHeight="1">
      <c r="A42" s="33">
        <v>30</v>
      </c>
      <c r="B42" s="17" t="s">
        <v>422</v>
      </c>
      <c r="C42" s="16" t="s">
        <v>48</v>
      </c>
      <c r="D42" s="34">
        <v>56</v>
      </c>
      <c r="E42" s="19"/>
      <c r="F42" s="19"/>
      <c r="G42" s="19"/>
      <c r="H42" s="16"/>
      <c r="I42" s="19">
        <v>450000</v>
      </c>
      <c r="J42" s="19">
        <v>45199.999999999993</v>
      </c>
      <c r="K42" s="7">
        <f t="shared" si="0"/>
        <v>495200</v>
      </c>
      <c r="L42" s="113">
        <f t="shared" si="3"/>
        <v>27731200</v>
      </c>
      <c r="M42" s="8"/>
      <c r="N42" s="101"/>
      <c r="O42" s="104"/>
      <c r="P42" s="20"/>
      <c r="Q42" s="163">
        <f t="shared" si="1"/>
        <v>25200000</v>
      </c>
      <c r="R42" s="163">
        <f t="shared" si="2"/>
        <v>2531199.9999999995</v>
      </c>
    </row>
    <row r="43" spans="1:18" s="21" customFormat="1" ht="35.1" customHeight="1">
      <c r="A43" s="33">
        <v>31</v>
      </c>
      <c r="B43" s="17" t="s">
        <v>434</v>
      </c>
      <c r="C43" s="16" t="s">
        <v>8</v>
      </c>
      <c r="D43" s="34">
        <v>1584.4</v>
      </c>
      <c r="E43" s="19"/>
      <c r="F43" s="19" t="s">
        <v>72</v>
      </c>
      <c r="G43" s="19"/>
      <c r="H43" s="16" t="s">
        <v>83</v>
      </c>
      <c r="I43" s="19">
        <v>22000</v>
      </c>
      <c r="J43" s="19">
        <v>11299.999999999998</v>
      </c>
      <c r="K43" s="7">
        <f t="shared" si="0"/>
        <v>33300</v>
      </c>
      <c r="L43" s="113">
        <f t="shared" si="3"/>
        <v>52760520</v>
      </c>
      <c r="M43" s="8"/>
      <c r="N43" s="101"/>
      <c r="O43" s="104"/>
      <c r="P43" s="20"/>
      <c r="Q43" s="163">
        <f t="shared" si="1"/>
        <v>34856800</v>
      </c>
      <c r="R43" s="163">
        <f t="shared" si="2"/>
        <v>17903720</v>
      </c>
    </row>
    <row r="44" spans="1:18" s="21" customFormat="1" ht="35.1" customHeight="1">
      <c r="A44" s="33">
        <v>32</v>
      </c>
      <c r="B44" s="17" t="s">
        <v>58</v>
      </c>
      <c r="C44" s="16" t="s">
        <v>8</v>
      </c>
      <c r="D44" s="34">
        <v>22.7713</v>
      </c>
      <c r="E44" s="19"/>
      <c r="F44" s="19" t="s">
        <v>72</v>
      </c>
      <c r="G44" s="19"/>
      <c r="H44" s="16" t="s">
        <v>83</v>
      </c>
      <c r="I44" s="19">
        <v>22000</v>
      </c>
      <c r="J44" s="19">
        <v>11299.999999999998</v>
      </c>
      <c r="K44" s="7">
        <f t="shared" si="0"/>
        <v>33300</v>
      </c>
      <c r="L44" s="113">
        <f t="shared" si="3"/>
        <v>758284.29</v>
      </c>
      <c r="M44" s="8"/>
      <c r="N44" s="101"/>
      <c r="O44" s="104"/>
      <c r="P44" s="20"/>
      <c r="Q44" s="163">
        <f t="shared" si="1"/>
        <v>500968.6</v>
      </c>
      <c r="R44" s="163">
        <f t="shared" si="2"/>
        <v>257315.68999999997</v>
      </c>
    </row>
    <row r="45" spans="1:18" s="21" customFormat="1" ht="35.1" customHeight="1">
      <c r="A45" s="33">
        <v>33</v>
      </c>
      <c r="B45" s="17" t="s">
        <v>435</v>
      </c>
      <c r="C45" s="16" t="s">
        <v>8</v>
      </c>
      <c r="D45" s="34">
        <v>328.71</v>
      </c>
      <c r="E45" s="19"/>
      <c r="F45" s="19" t="s">
        <v>72</v>
      </c>
      <c r="G45" s="19"/>
      <c r="H45" s="16" t="s">
        <v>83</v>
      </c>
      <c r="I45" s="19">
        <v>22000</v>
      </c>
      <c r="J45" s="19">
        <v>11299.999999999998</v>
      </c>
      <c r="K45" s="7">
        <f t="shared" si="0"/>
        <v>33300</v>
      </c>
      <c r="L45" s="113">
        <f t="shared" si="3"/>
        <v>10946043</v>
      </c>
      <c r="M45" s="8"/>
      <c r="N45" s="101"/>
      <c r="O45" s="104"/>
      <c r="P45" s="20"/>
      <c r="Q45" s="163">
        <f t="shared" si="1"/>
        <v>7231620</v>
      </c>
      <c r="R45" s="163">
        <f t="shared" si="2"/>
        <v>3714422.9999999991</v>
      </c>
    </row>
    <row r="46" spans="1:18" s="21" customFormat="1" ht="54.75" customHeight="1">
      <c r="A46" s="33">
        <v>34</v>
      </c>
      <c r="B46" s="17" t="s">
        <v>436</v>
      </c>
      <c r="C46" s="16" t="s">
        <v>8</v>
      </c>
      <c r="D46" s="34">
        <v>503.61</v>
      </c>
      <c r="E46" s="19"/>
      <c r="F46" s="19" t="s">
        <v>72</v>
      </c>
      <c r="G46" s="19"/>
      <c r="H46" s="16" t="s">
        <v>83</v>
      </c>
      <c r="I46" s="19">
        <v>22000</v>
      </c>
      <c r="J46" s="19">
        <v>11299.999999999998</v>
      </c>
      <c r="K46" s="7">
        <f t="shared" si="0"/>
        <v>33300</v>
      </c>
      <c r="L46" s="113">
        <f t="shared" si="3"/>
        <v>16770213</v>
      </c>
      <c r="M46" s="8"/>
      <c r="N46" s="101"/>
      <c r="O46" s="104"/>
      <c r="P46" s="20"/>
      <c r="Q46" s="163">
        <f t="shared" si="1"/>
        <v>11079420</v>
      </c>
      <c r="R46" s="163">
        <f t="shared" si="2"/>
        <v>5690792.9999999991</v>
      </c>
    </row>
    <row r="47" spans="1:18" s="21" customFormat="1" ht="57.75" customHeight="1">
      <c r="A47" s="33">
        <v>35</v>
      </c>
      <c r="B47" s="17" t="s">
        <v>437</v>
      </c>
      <c r="C47" s="16" t="s">
        <v>8</v>
      </c>
      <c r="D47" s="34">
        <v>181.07</v>
      </c>
      <c r="E47" s="19"/>
      <c r="F47" s="19" t="s">
        <v>72</v>
      </c>
      <c r="G47" s="19"/>
      <c r="H47" s="16" t="s">
        <v>83</v>
      </c>
      <c r="I47" s="19">
        <v>22000</v>
      </c>
      <c r="J47" s="19">
        <v>11299.999999999998</v>
      </c>
      <c r="K47" s="7">
        <f t="shared" si="0"/>
        <v>33300</v>
      </c>
      <c r="L47" s="113">
        <f t="shared" si="3"/>
        <v>6029631</v>
      </c>
      <c r="M47" s="8"/>
      <c r="N47" s="101"/>
      <c r="O47" s="104"/>
      <c r="P47" s="20"/>
      <c r="Q47" s="163">
        <f t="shared" si="1"/>
        <v>3983540</v>
      </c>
      <c r="R47" s="163">
        <f t="shared" si="2"/>
        <v>2046090.9999999995</v>
      </c>
    </row>
    <row r="48" spans="1:18" s="21" customFormat="1" ht="50.25" customHeight="1">
      <c r="A48" s="33">
        <v>36</v>
      </c>
      <c r="B48" s="17" t="s">
        <v>438</v>
      </c>
      <c r="C48" s="16" t="s">
        <v>8</v>
      </c>
      <c r="D48" s="34">
        <v>73.94</v>
      </c>
      <c r="E48" s="19"/>
      <c r="F48" s="19" t="s">
        <v>72</v>
      </c>
      <c r="G48" s="19"/>
      <c r="H48" s="16" t="s">
        <v>83</v>
      </c>
      <c r="I48" s="19">
        <v>22000</v>
      </c>
      <c r="J48" s="19">
        <v>11299.999999999998</v>
      </c>
      <c r="K48" s="7">
        <f t="shared" si="0"/>
        <v>33300</v>
      </c>
      <c r="L48" s="113">
        <f t="shared" si="3"/>
        <v>2462202</v>
      </c>
      <c r="M48" s="8"/>
      <c r="N48" s="101"/>
      <c r="O48" s="104"/>
      <c r="P48" s="20"/>
      <c r="Q48" s="163">
        <f t="shared" si="1"/>
        <v>1626680</v>
      </c>
      <c r="R48" s="163">
        <f t="shared" si="2"/>
        <v>835521.99999999988</v>
      </c>
    </row>
    <row r="49" spans="1:18" s="21" customFormat="1" ht="45" customHeight="1">
      <c r="A49" s="33">
        <v>37</v>
      </c>
      <c r="B49" s="17" t="s">
        <v>439</v>
      </c>
      <c r="C49" s="16" t="s">
        <v>8</v>
      </c>
      <c r="D49" s="34">
        <v>31.38</v>
      </c>
      <c r="E49" s="19"/>
      <c r="F49" s="19" t="s">
        <v>72</v>
      </c>
      <c r="G49" s="19"/>
      <c r="H49" s="16" t="s">
        <v>83</v>
      </c>
      <c r="I49" s="19">
        <v>22000</v>
      </c>
      <c r="J49" s="19">
        <v>11299.999999999998</v>
      </c>
      <c r="K49" s="7">
        <f t="shared" si="0"/>
        <v>33300</v>
      </c>
      <c r="L49" s="113">
        <f t="shared" si="3"/>
        <v>1044954</v>
      </c>
      <c r="M49" s="8"/>
      <c r="N49" s="101"/>
      <c r="O49" s="104"/>
      <c r="P49" s="20"/>
      <c r="Q49" s="163">
        <f t="shared" si="1"/>
        <v>690360</v>
      </c>
      <c r="R49" s="163">
        <f t="shared" si="2"/>
        <v>354593.99999999994</v>
      </c>
    </row>
    <row r="50" spans="1:18" s="21" customFormat="1" ht="42.75" customHeight="1">
      <c r="A50" s="33">
        <v>38</v>
      </c>
      <c r="B50" s="17" t="s">
        <v>35</v>
      </c>
      <c r="C50" s="16" t="s">
        <v>8</v>
      </c>
      <c r="D50" s="34">
        <v>16.47</v>
      </c>
      <c r="E50" s="19"/>
      <c r="F50" s="19" t="s">
        <v>81</v>
      </c>
      <c r="G50" s="19"/>
      <c r="H50" s="16" t="s">
        <v>83</v>
      </c>
      <c r="I50" s="19">
        <v>22000</v>
      </c>
      <c r="J50" s="19">
        <v>11299.999999999998</v>
      </c>
      <c r="K50" s="7">
        <f t="shared" si="0"/>
        <v>33300</v>
      </c>
      <c r="L50" s="113">
        <f t="shared" si="3"/>
        <v>548451</v>
      </c>
      <c r="M50" s="8"/>
      <c r="N50" s="101"/>
      <c r="O50" s="104"/>
      <c r="P50" s="20"/>
      <c r="Q50" s="163">
        <f t="shared" si="1"/>
        <v>362340</v>
      </c>
      <c r="R50" s="163">
        <f t="shared" si="2"/>
        <v>186110.99999999997</v>
      </c>
    </row>
    <row r="51" spans="1:18" s="21" customFormat="1" ht="35.1" customHeight="1">
      <c r="A51" s="33">
        <v>39</v>
      </c>
      <c r="B51" s="17" t="s">
        <v>24</v>
      </c>
      <c r="C51" s="16" t="s">
        <v>8</v>
      </c>
      <c r="D51" s="34">
        <v>12.057600000000001</v>
      </c>
      <c r="E51" s="19"/>
      <c r="F51" s="19"/>
      <c r="G51" s="19"/>
      <c r="H51" s="16"/>
      <c r="I51" s="19">
        <v>22000</v>
      </c>
      <c r="J51" s="19">
        <v>11299.999999999998</v>
      </c>
      <c r="K51" s="7">
        <f t="shared" si="0"/>
        <v>33300</v>
      </c>
      <c r="L51" s="113">
        <f t="shared" si="3"/>
        <v>401518.08000000002</v>
      </c>
      <c r="M51" s="8"/>
      <c r="N51" s="101"/>
      <c r="O51" s="104"/>
      <c r="P51" s="20"/>
      <c r="Q51" s="163">
        <f t="shared" si="1"/>
        <v>265267.20000000001</v>
      </c>
      <c r="R51" s="163">
        <f t="shared" si="2"/>
        <v>136250.87999999998</v>
      </c>
    </row>
    <row r="52" spans="1:18" s="21" customFormat="1" ht="50.1" customHeight="1">
      <c r="A52" s="33">
        <v>40</v>
      </c>
      <c r="B52" s="17" t="s">
        <v>345</v>
      </c>
      <c r="C52" s="16" t="s">
        <v>48</v>
      </c>
      <c r="D52" s="34">
        <v>10</v>
      </c>
      <c r="E52" s="19"/>
      <c r="F52" s="19"/>
      <c r="G52" s="19"/>
      <c r="H52" s="16"/>
      <c r="I52" s="19">
        <v>37200</v>
      </c>
      <c r="J52" s="19">
        <v>16950</v>
      </c>
      <c r="K52" s="7">
        <f t="shared" si="0"/>
        <v>54150</v>
      </c>
      <c r="L52" s="113">
        <f t="shared" si="3"/>
        <v>541500</v>
      </c>
      <c r="M52" s="8"/>
      <c r="N52" s="101"/>
      <c r="O52" s="104"/>
      <c r="P52" s="20"/>
      <c r="Q52" s="163">
        <f t="shared" si="1"/>
        <v>372000</v>
      </c>
      <c r="R52" s="163">
        <f t="shared" si="2"/>
        <v>169500</v>
      </c>
    </row>
    <row r="53" spans="1:18" s="21" customFormat="1" ht="57" customHeight="1">
      <c r="A53" s="33">
        <v>41</v>
      </c>
      <c r="B53" s="17" t="s">
        <v>440</v>
      </c>
      <c r="C53" s="16" t="s">
        <v>8</v>
      </c>
      <c r="D53" s="34">
        <v>840.89</v>
      </c>
      <c r="E53" s="19"/>
      <c r="F53" s="19" t="s">
        <v>72</v>
      </c>
      <c r="G53" s="19"/>
      <c r="H53" s="16" t="s">
        <v>83</v>
      </c>
      <c r="I53" s="19">
        <v>22000</v>
      </c>
      <c r="J53" s="19">
        <v>11299.999999999998</v>
      </c>
      <c r="K53" s="7">
        <f t="shared" si="0"/>
        <v>33300</v>
      </c>
      <c r="L53" s="113">
        <f t="shared" si="3"/>
        <v>28001637</v>
      </c>
      <c r="M53" s="8"/>
      <c r="N53" s="101"/>
      <c r="O53" s="104"/>
      <c r="P53" s="20"/>
      <c r="Q53" s="163">
        <f t="shared" si="1"/>
        <v>18499580</v>
      </c>
      <c r="R53" s="163">
        <f t="shared" si="2"/>
        <v>9502056.9999999981</v>
      </c>
    </row>
    <row r="54" spans="1:18" s="21" customFormat="1" ht="57.75" customHeight="1">
      <c r="A54" s="33">
        <v>42</v>
      </c>
      <c r="B54" s="17" t="s">
        <v>441</v>
      </c>
      <c r="C54" s="16" t="s">
        <v>8</v>
      </c>
      <c r="D54" s="34">
        <v>322.55</v>
      </c>
      <c r="E54" s="19"/>
      <c r="F54" s="19" t="s">
        <v>72</v>
      </c>
      <c r="G54" s="19"/>
      <c r="H54" s="16" t="s">
        <v>83</v>
      </c>
      <c r="I54" s="19">
        <v>22000</v>
      </c>
      <c r="J54" s="19">
        <v>11299.999999999998</v>
      </c>
      <c r="K54" s="7">
        <f t="shared" si="0"/>
        <v>33300</v>
      </c>
      <c r="L54" s="113">
        <f t="shared" si="3"/>
        <v>10740915</v>
      </c>
      <c r="M54" s="8"/>
      <c r="N54" s="101"/>
      <c r="O54" s="104"/>
      <c r="P54" s="20"/>
      <c r="Q54" s="163">
        <f t="shared" si="1"/>
        <v>7096100</v>
      </c>
      <c r="R54" s="163">
        <f t="shared" si="2"/>
        <v>3644814.9999999995</v>
      </c>
    </row>
    <row r="55" spans="1:18" s="21" customFormat="1" ht="65.25" customHeight="1">
      <c r="A55" s="33">
        <v>43</v>
      </c>
      <c r="B55" s="17" t="s">
        <v>442</v>
      </c>
      <c r="C55" s="16" t="s">
        <v>8</v>
      </c>
      <c r="D55" s="34">
        <v>445.32</v>
      </c>
      <c r="E55" s="19"/>
      <c r="F55" s="19" t="s">
        <v>72</v>
      </c>
      <c r="G55" s="19"/>
      <c r="H55" s="16" t="s">
        <v>83</v>
      </c>
      <c r="I55" s="19">
        <v>22000</v>
      </c>
      <c r="J55" s="19">
        <v>11299.999999999998</v>
      </c>
      <c r="K55" s="7">
        <f t="shared" si="0"/>
        <v>33300</v>
      </c>
      <c r="L55" s="113">
        <f t="shared" si="3"/>
        <v>14829156</v>
      </c>
      <c r="M55" s="8"/>
      <c r="N55" s="101"/>
      <c r="O55" s="104"/>
      <c r="P55" s="20"/>
      <c r="Q55" s="163">
        <f t="shared" si="1"/>
        <v>9797040</v>
      </c>
      <c r="R55" s="163">
        <f t="shared" si="2"/>
        <v>5032115.9999999991</v>
      </c>
    </row>
    <row r="56" spans="1:18" s="21" customFormat="1" ht="56.25" customHeight="1">
      <c r="A56" s="33">
        <v>44</v>
      </c>
      <c r="B56" s="17" t="s">
        <v>443</v>
      </c>
      <c r="C56" s="16" t="s">
        <v>8</v>
      </c>
      <c r="D56" s="34">
        <v>105.76</v>
      </c>
      <c r="E56" s="19"/>
      <c r="F56" s="19" t="s">
        <v>72</v>
      </c>
      <c r="G56" s="19"/>
      <c r="H56" s="16" t="s">
        <v>83</v>
      </c>
      <c r="I56" s="19">
        <v>22000</v>
      </c>
      <c r="J56" s="19">
        <v>11299.999999999998</v>
      </c>
      <c r="K56" s="7">
        <f t="shared" si="0"/>
        <v>33300</v>
      </c>
      <c r="L56" s="113">
        <f t="shared" si="3"/>
        <v>3521808</v>
      </c>
      <c r="M56" s="8"/>
      <c r="N56" s="101"/>
      <c r="O56" s="104"/>
      <c r="P56" s="20"/>
      <c r="Q56" s="163">
        <f t="shared" si="1"/>
        <v>2326720</v>
      </c>
      <c r="R56" s="163">
        <f t="shared" si="2"/>
        <v>1195087.9999999998</v>
      </c>
    </row>
    <row r="57" spans="1:18" s="21" customFormat="1" ht="49.5" customHeight="1">
      <c r="A57" s="33">
        <v>45</v>
      </c>
      <c r="B57" s="17" t="s">
        <v>444</v>
      </c>
      <c r="C57" s="16" t="s">
        <v>8</v>
      </c>
      <c r="D57" s="34">
        <v>73.36</v>
      </c>
      <c r="E57" s="19"/>
      <c r="F57" s="19" t="s">
        <v>72</v>
      </c>
      <c r="G57" s="19"/>
      <c r="H57" s="16" t="s">
        <v>83</v>
      </c>
      <c r="I57" s="19">
        <v>22000</v>
      </c>
      <c r="J57" s="19">
        <v>11299.999999999998</v>
      </c>
      <c r="K57" s="7">
        <f t="shared" si="0"/>
        <v>33300</v>
      </c>
      <c r="L57" s="113">
        <f t="shared" si="3"/>
        <v>2442888</v>
      </c>
      <c r="M57" s="8"/>
      <c r="N57" s="101"/>
      <c r="O57" s="104"/>
      <c r="P57" s="20"/>
      <c r="Q57" s="163">
        <f t="shared" si="1"/>
        <v>1613920</v>
      </c>
      <c r="R57" s="163">
        <f t="shared" si="2"/>
        <v>828967.99999999988</v>
      </c>
    </row>
    <row r="58" spans="1:18" s="21" customFormat="1" ht="50.25" customHeight="1">
      <c r="A58" s="33">
        <v>46</v>
      </c>
      <c r="B58" s="17" t="s">
        <v>445</v>
      </c>
      <c r="C58" s="16" t="s">
        <v>8</v>
      </c>
      <c r="D58" s="34">
        <v>1111.78</v>
      </c>
      <c r="E58" s="19"/>
      <c r="F58" s="19" t="s">
        <v>72</v>
      </c>
      <c r="G58" s="19"/>
      <c r="H58" s="16" t="s">
        <v>83</v>
      </c>
      <c r="I58" s="19">
        <v>22000</v>
      </c>
      <c r="J58" s="19">
        <v>11299.999999999998</v>
      </c>
      <c r="K58" s="7">
        <f t="shared" si="0"/>
        <v>33300</v>
      </c>
      <c r="L58" s="113">
        <f t="shared" si="3"/>
        <v>37022274</v>
      </c>
      <c r="M58" s="8"/>
      <c r="N58" s="101"/>
      <c r="O58" s="104"/>
      <c r="P58" s="20"/>
      <c r="Q58" s="163">
        <f t="shared" si="1"/>
        <v>24459160</v>
      </c>
      <c r="R58" s="163">
        <f t="shared" si="2"/>
        <v>12563113.999999998</v>
      </c>
    </row>
    <row r="59" spans="1:18" s="21" customFormat="1" ht="50.1" customHeight="1">
      <c r="A59" s="33">
        <v>47</v>
      </c>
      <c r="B59" s="17" t="s">
        <v>39</v>
      </c>
      <c r="C59" s="16" t="s">
        <v>60</v>
      </c>
      <c r="D59" s="34">
        <v>124.43899999999999</v>
      </c>
      <c r="E59" s="19" t="s">
        <v>446</v>
      </c>
      <c r="F59" s="19" t="s">
        <v>447</v>
      </c>
      <c r="G59" s="19"/>
      <c r="H59" s="16" t="s">
        <v>82</v>
      </c>
      <c r="I59" s="19">
        <v>50000</v>
      </c>
      <c r="J59" s="19">
        <v>50000</v>
      </c>
      <c r="K59" s="7">
        <f t="shared" si="0"/>
        <v>100000</v>
      </c>
      <c r="L59" s="113">
        <f t="shared" si="3"/>
        <v>12443900</v>
      </c>
      <c r="M59" s="8"/>
      <c r="N59" s="101"/>
      <c r="O59" s="104"/>
      <c r="P59" s="20"/>
      <c r="Q59" s="163">
        <f t="shared" si="1"/>
        <v>6221950</v>
      </c>
      <c r="R59" s="163">
        <f t="shared" si="2"/>
        <v>6221950</v>
      </c>
    </row>
    <row r="60" spans="1:18" s="32" customFormat="1" ht="39.9" customHeight="1">
      <c r="A60" s="24" t="s">
        <v>94</v>
      </c>
      <c r="B60" s="25" t="s">
        <v>46</v>
      </c>
      <c r="C60" s="26"/>
      <c r="D60" s="27"/>
      <c r="E60" s="28"/>
      <c r="F60" s="28"/>
      <c r="G60" s="28"/>
      <c r="H60" s="26"/>
      <c r="I60" s="26"/>
      <c r="J60" s="26"/>
      <c r="K60" s="26"/>
      <c r="L60" s="26"/>
      <c r="M60" s="30"/>
      <c r="N60" s="105"/>
      <c r="O60" s="106"/>
      <c r="P60" s="31"/>
      <c r="Q60" s="163">
        <f t="shared" si="1"/>
        <v>0</v>
      </c>
      <c r="R60" s="163">
        <f t="shared" si="2"/>
        <v>0</v>
      </c>
    </row>
    <row r="61" spans="1:18" s="21" customFormat="1" ht="50.1" customHeight="1">
      <c r="A61" s="35">
        <v>48</v>
      </c>
      <c r="B61" s="17" t="s">
        <v>363</v>
      </c>
      <c r="C61" s="16" t="s">
        <v>60</v>
      </c>
      <c r="D61" s="34">
        <v>56.008499999999998</v>
      </c>
      <c r="E61" s="19" t="s">
        <v>448</v>
      </c>
      <c r="F61" s="19" t="s">
        <v>449</v>
      </c>
      <c r="G61" s="19"/>
      <c r="H61" s="16" t="s">
        <v>82</v>
      </c>
      <c r="I61" s="19">
        <v>260000</v>
      </c>
      <c r="J61" s="19">
        <v>169499.99999999997</v>
      </c>
      <c r="K61" s="7">
        <f t="shared" si="0"/>
        <v>429500</v>
      </c>
      <c r="L61" s="113">
        <f t="shared" ref="L61:L91" si="4">K61*D61</f>
        <v>24055650.75</v>
      </c>
      <c r="M61" s="8"/>
      <c r="N61" s="101"/>
      <c r="O61" s="104"/>
      <c r="P61" s="20"/>
      <c r="Q61" s="163">
        <f t="shared" si="1"/>
        <v>14562210</v>
      </c>
      <c r="R61" s="163">
        <f t="shared" si="2"/>
        <v>9493440.7499999981</v>
      </c>
    </row>
    <row r="62" spans="1:18" s="21" customFormat="1" ht="50.1" customHeight="1">
      <c r="A62" s="35">
        <v>49</v>
      </c>
      <c r="B62" s="17" t="s">
        <v>364</v>
      </c>
      <c r="C62" s="16" t="s">
        <v>60</v>
      </c>
      <c r="D62" s="34">
        <v>274.79050000000001</v>
      </c>
      <c r="E62" s="19" t="s">
        <v>450</v>
      </c>
      <c r="F62" s="19" t="s">
        <v>451</v>
      </c>
      <c r="G62" s="19"/>
      <c r="H62" s="16" t="s">
        <v>82</v>
      </c>
      <c r="I62" s="19">
        <v>275000</v>
      </c>
      <c r="J62" s="19">
        <v>169499.99999999997</v>
      </c>
      <c r="K62" s="7">
        <f t="shared" si="0"/>
        <v>444500</v>
      </c>
      <c r="L62" s="113">
        <f t="shared" si="4"/>
        <v>122144377.25</v>
      </c>
      <c r="M62" s="8"/>
      <c r="N62" s="101"/>
      <c r="O62" s="104"/>
      <c r="P62" s="20"/>
      <c r="Q62" s="163">
        <f t="shared" si="1"/>
        <v>75567387.5</v>
      </c>
      <c r="R62" s="163">
        <f t="shared" si="2"/>
        <v>46576989.749999993</v>
      </c>
    </row>
    <row r="63" spans="1:18" s="21" customFormat="1" ht="50.1" customHeight="1">
      <c r="A63" s="35">
        <v>50</v>
      </c>
      <c r="B63" s="17" t="s">
        <v>365</v>
      </c>
      <c r="C63" s="16" t="s">
        <v>60</v>
      </c>
      <c r="D63" s="34">
        <v>40.984999999999999</v>
      </c>
      <c r="E63" s="19" t="s">
        <v>450</v>
      </c>
      <c r="F63" s="19" t="s">
        <v>449</v>
      </c>
      <c r="G63" s="19"/>
      <c r="H63" s="16" t="s">
        <v>82</v>
      </c>
      <c r="I63" s="19">
        <v>275000</v>
      </c>
      <c r="J63" s="19">
        <v>169499.99999999997</v>
      </c>
      <c r="K63" s="7">
        <f t="shared" si="0"/>
        <v>444500</v>
      </c>
      <c r="L63" s="113">
        <f t="shared" si="4"/>
        <v>18217832.5</v>
      </c>
      <c r="M63" s="8"/>
      <c r="N63" s="101"/>
      <c r="O63" s="104"/>
      <c r="P63" s="20"/>
      <c r="Q63" s="163">
        <f t="shared" si="1"/>
        <v>11270875</v>
      </c>
      <c r="R63" s="163">
        <f t="shared" si="2"/>
        <v>6946957.4999999991</v>
      </c>
    </row>
    <row r="64" spans="1:18" s="21" customFormat="1" ht="64.5" customHeight="1">
      <c r="A64" s="35">
        <v>51</v>
      </c>
      <c r="B64" s="17" t="s">
        <v>366</v>
      </c>
      <c r="C64" s="16" t="s">
        <v>60</v>
      </c>
      <c r="D64" s="34">
        <v>6.3788</v>
      </c>
      <c r="E64" s="19" t="s">
        <v>450</v>
      </c>
      <c r="F64" s="19" t="s">
        <v>451</v>
      </c>
      <c r="G64" s="19"/>
      <c r="H64" s="16" t="s">
        <v>82</v>
      </c>
      <c r="I64" s="19">
        <v>265000</v>
      </c>
      <c r="J64" s="19">
        <v>169499.99999999997</v>
      </c>
      <c r="K64" s="7">
        <f t="shared" si="0"/>
        <v>434500</v>
      </c>
      <c r="L64" s="113">
        <f t="shared" si="4"/>
        <v>2771588.6</v>
      </c>
      <c r="M64" s="8"/>
      <c r="N64" s="101"/>
      <c r="O64" s="104"/>
      <c r="P64" s="20"/>
      <c r="Q64" s="163">
        <f t="shared" si="1"/>
        <v>1690382</v>
      </c>
      <c r="R64" s="163">
        <f t="shared" si="2"/>
        <v>1081206.5999999999</v>
      </c>
    </row>
    <row r="65" spans="1:18" s="21" customFormat="1" ht="35.1" customHeight="1">
      <c r="A65" s="35">
        <v>52</v>
      </c>
      <c r="B65" s="17" t="s">
        <v>423</v>
      </c>
      <c r="C65" s="16" t="s">
        <v>60</v>
      </c>
      <c r="D65" s="34">
        <v>184.51599999999999</v>
      </c>
      <c r="E65" s="19"/>
      <c r="F65" s="16" t="s">
        <v>89</v>
      </c>
      <c r="G65" s="19"/>
      <c r="H65" s="16" t="s">
        <v>82</v>
      </c>
      <c r="I65" s="19">
        <v>28000</v>
      </c>
      <c r="J65" s="19">
        <v>22000</v>
      </c>
      <c r="K65" s="7">
        <f t="shared" si="0"/>
        <v>50000</v>
      </c>
      <c r="L65" s="113">
        <f t="shared" si="4"/>
        <v>9225800</v>
      </c>
      <c r="M65" s="8"/>
      <c r="N65" s="101"/>
      <c r="O65" s="104"/>
      <c r="P65" s="20"/>
      <c r="Q65" s="163">
        <f t="shared" si="1"/>
        <v>5166448</v>
      </c>
      <c r="R65" s="163">
        <f t="shared" si="2"/>
        <v>4059352</v>
      </c>
    </row>
    <row r="66" spans="1:18" s="21" customFormat="1" ht="35.1" customHeight="1">
      <c r="A66" s="35">
        <v>53</v>
      </c>
      <c r="B66" s="17" t="s">
        <v>42</v>
      </c>
      <c r="C66" s="16" t="s">
        <v>60</v>
      </c>
      <c r="D66" s="34">
        <v>189.55600000000001</v>
      </c>
      <c r="E66" s="19" t="s">
        <v>354</v>
      </c>
      <c r="F66" s="16" t="s">
        <v>73</v>
      </c>
      <c r="G66" s="19"/>
      <c r="H66" s="16" t="s">
        <v>82</v>
      </c>
      <c r="I66" s="19">
        <v>60000</v>
      </c>
      <c r="J66" s="19">
        <v>45000</v>
      </c>
      <c r="K66" s="7">
        <f t="shared" si="0"/>
        <v>105000</v>
      </c>
      <c r="L66" s="113">
        <f t="shared" si="4"/>
        <v>19903380</v>
      </c>
      <c r="M66" s="8"/>
      <c r="N66" s="101"/>
      <c r="O66" s="104"/>
      <c r="P66" s="20"/>
      <c r="Q66" s="163">
        <f t="shared" si="1"/>
        <v>11373360</v>
      </c>
      <c r="R66" s="163">
        <f t="shared" si="2"/>
        <v>8530020</v>
      </c>
    </row>
    <row r="67" spans="1:18" s="21" customFormat="1" ht="99" customHeight="1">
      <c r="A67" s="35">
        <v>54</v>
      </c>
      <c r="B67" s="17" t="s">
        <v>368</v>
      </c>
      <c r="C67" s="16" t="s">
        <v>60</v>
      </c>
      <c r="D67" s="34">
        <v>10.6408</v>
      </c>
      <c r="E67" s="16" t="s">
        <v>367</v>
      </c>
      <c r="F67" s="16" t="s">
        <v>87</v>
      </c>
      <c r="G67" s="19"/>
      <c r="H67" s="16"/>
      <c r="I67" s="19">
        <v>1300000</v>
      </c>
      <c r="J67" s="19">
        <v>338999.99999999994</v>
      </c>
      <c r="K67" s="7">
        <f t="shared" si="0"/>
        <v>1639000</v>
      </c>
      <c r="L67" s="113">
        <f t="shared" si="4"/>
        <v>17440271.199999999</v>
      </c>
      <c r="M67" s="8"/>
      <c r="N67" s="101"/>
      <c r="O67" s="104"/>
      <c r="P67" s="20"/>
      <c r="Q67" s="163">
        <f t="shared" si="1"/>
        <v>13833040</v>
      </c>
      <c r="R67" s="163">
        <f t="shared" si="2"/>
        <v>3607231.1999999997</v>
      </c>
    </row>
    <row r="68" spans="1:18" s="21" customFormat="1" ht="66.75" customHeight="1">
      <c r="A68" s="35">
        <v>55</v>
      </c>
      <c r="B68" s="17" t="s">
        <v>369</v>
      </c>
      <c r="C68" s="16" t="s">
        <v>60</v>
      </c>
      <c r="D68" s="34">
        <v>1.4079999999999999</v>
      </c>
      <c r="E68" s="16" t="s">
        <v>367</v>
      </c>
      <c r="F68" s="16" t="s">
        <v>88</v>
      </c>
      <c r="G68" s="19"/>
      <c r="H68" s="16"/>
      <c r="I68" s="19">
        <v>1300000</v>
      </c>
      <c r="J68" s="19">
        <v>338999.99999999994</v>
      </c>
      <c r="K68" s="7">
        <f t="shared" si="0"/>
        <v>1639000</v>
      </c>
      <c r="L68" s="113">
        <f t="shared" si="4"/>
        <v>2307712</v>
      </c>
      <c r="M68" s="8"/>
      <c r="N68" s="101"/>
      <c r="O68" s="104"/>
      <c r="P68" s="20"/>
      <c r="Q68" s="163">
        <f t="shared" si="1"/>
        <v>1830400</v>
      </c>
      <c r="R68" s="163">
        <f t="shared" si="2"/>
        <v>477311.99999999988</v>
      </c>
    </row>
    <row r="69" spans="1:18" s="21" customFormat="1" ht="93" customHeight="1">
      <c r="A69" s="35">
        <v>56</v>
      </c>
      <c r="B69" s="17" t="s">
        <v>452</v>
      </c>
      <c r="C69" s="16" t="s">
        <v>60</v>
      </c>
      <c r="D69" s="34">
        <v>108.50190000000001</v>
      </c>
      <c r="E69" s="19" t="s">
        <v>356</v>
      </c>
      <c r="F69" s="19" t="s">
        <v>346</v>
      </c>
      <c r="G69" s="19"/>
      <c r="H69" s="16"/>
      <c r="I69" s="19">
        <v>500000</v>
      </c>
      <c r="J69" s="19">
        <v>330000</v>
      </c>
      <c r="K69" s="7">
        <f t="shared" si="0"/>
        <v>830000</v>
      </c>
      <c r="L69" s="113">
        <f t="shared" si="4"/>
        <v>90056577</v>
      </c>
      <c r="M69" s="8"/>
      <c r="N69" s="101"/>
      <c r="O69" s="104"/>
      <c r="P69" s="20"/>
      <c r="Q69" s="163">
        <f t="shared" si="1"/>
        <v>54250950</v>
      </c>
      <c r="R69" s="163">
        <f t="shared" si="2"/>
        <v>35805627</v>
      </c>
    </row>
    <row r="70" spans="1:18" s="21" customFormat="1" ht="74.25" customHeight="1">
      <c r="A70" s="35">
        <v>57</v>
      </c>
      <c r="B70" s="17" t="s">
        <v>453</v>
      </c>
      <c r="C70" s="16" t="s">
        <v>60</v>
      </c>
      <c r="D70" s="34">
        <v>282.40660000000003</v>
      </c>
      <c r="E70" s="19" t="s">
        <v>357</v>
      </c>
      <c r="F70" s="19" t="s">
        <v>346</v>
      </c>
      <c r="G70" s="19"/>
      <c r="H70" s="16"/>
      <c r="I70" s="19">
        <v>500000</v>
      </c>
      <c r="J70" s="19">
        <v>330000</v>
      </c>
      <c r="K70" s="7">
        <f t="shared" si="0"/>
        <v>830000</v>
      </c>
      <c r="L70" s="113">
        <f t="shared" si="4"/>
        <v>234397478.00000003</v>
      </c>
      <c r="M70" s="8"/>
      <c r="N70" s="101"/>
      <c r="O70" s="104"/>
      <c r="P70" s="20"/>
      <c r="Q70" s="163">
        <f t="shared" si="1"/>
        <v>141203300</v>
      </c>
      <c r="R70" s="163">
        <f t="shared" si="2"/>
        <v>93194178.000000015</v>
      </c>
    </row>
    <row r="71" spans="1:18" s="21" customFormat="1" ht="50.1" customHeight="1">
      <c r="A71" s="35">
        <v>58</v>
      </c>
      <c r="B71" s="17" t="s">
        <v>347</v>
      </c>
      <c r="C71" s="16" t="s">
        <v>60</v>
      </c>
      <c r="D71" s="34">
        <v>167.11199999999999</v>
      </c>
      <c r="E71" s="19"/>
      <c r="F71" s="19" t="s">
        <v>72</v>
      </c>
      <c r="G71" s="19"/>
      <c r="H71" s="16" t="s">
        <v>83</v>
      </c>
      <c r="I71" s="19">
        <v>180000</v>
      </c>
      <c r="J71" s="19">
        <v>65000</v>
      </c>
      <c r="K71" s="7">
        <f t="shared" si="0"/>
        <v>245000</v>
      </c>
      <c r="L71" s="113">
        <f t="shared" si="4"/>
        <v>40942440</v>
      </c>
      <c r="M71" s="8"/>
      <c r="N71" s="101"/>
      <c r="O71" s="104"/>
      <c r="P71" s="20"/>
      <c r="Q71" s="163">
        <f t="shared" si="1"/>
        <v>30080160</v>
      </c>
      <c r="R71" s="163">
        <f t="shared" si="2"/>
        <v>10862280</v>
      </c>
    </row>
    <row r="72" spans="1:18" s="21" customFormat="1" ht="50.1" customHeight="1">
      <c r="A72" s="35">
        <v>59</v>
      </c>
      <c r="B72" s="17" t="s">
        <v>348</v>
      </c>
      <c r="C72" s="16" t="s">
        <v>60</v>
      </c>
      <c r="D72" s="34">
        <v>8.9499999999999993</v>
      </c>
      <c r="E72" s="19"/>
      <c r="F72" s="19" t="s">
        <v>72</v>
      </c>
      <c r="G72" s="19"/>
      <c r="H72" s="16" t="s">
        <v>83</v>
      </c>
      <c r="I72" s="19">
        <v>180000</v>
      </c>
      <c r="J72" s="19">
        <v>65000</v>
      </c>
      <c r="K72" s="7">
        <f t="shared" ref="K72:K135" si="5">I72+J72</f>
        <v>245000</v>
      </c>
      <c r="L72" s="113">
        <f t="shared" si="4"/>
        <v>2192750</v>
      </c>
      <c r="M72" s="8"/>
      <c r="N72" s="101"/>
      <c r="O72" s="104"/>
      <c r="P72" s="20"/>
      <c r="Q72" s="163">
        <f t="shared" ref="Q72:Q135" si="6">$D72*I72</f>
        <v>1610999.9999999998</v>
      </c>
      <c r="R72" s="163">
        <f t="shared" ref="R72:R135" si="7">$D72*J72</f>
        <v>581750</v>
      </c>
    </row>
    <row r="73" spans="1:18" s="21" customFormat="1" ht="35.1" customHeight="1">
      <c r="A73" s="35">
        <v>60</v>
      </c>
      <c r="B73" s="17" t="s">
        <v>49</v>
      </c>
      <c r="C73" s="16" t="s">
        <v>56</v>
      </c>
      <c r="D73" s="34">
        <v>103.4</v>
      </c>
      <c r="E73" s="19"/>
      <c r="F73" s="19"/>
      <c r="G73" s="19"/>
      <c r="H73" s="16"/>
      <c r="I73" s="19">
        <v>85000</v>
      </c>
      <c r="J73" s="19">
        <v>65000</v>
      </c>
      <c r="K73" s="7">
        <f t="shared" si="5"/>
        <v>150000</v>
      </c>
      <c r="L73" s="113">
        <f t="shared" si="4"/>
        <v>15510000</v>
      </c>
      <c r="M73" s="8"/>
      <c r="N73" s="101"/>
      <c r="O73" s="104"/>
      <c r="P73" s="20"/>
      <c r="Q73" s="163">
        <f t="shared" si="6"/>
        <v>8789000</v>
      </c>
      <c r="R73" s="163">
        <f t="shared" si="7"/>
        <v>6721000</v>
      </c>
    </row>
    <row r="74" spans="1:18" s="21" customFormat="1" ht="84" customHeight="1">
      <c r="A74" s="35">
        <v>61</v>
      </c>
      <c r="B74" s="17" t="s">
        <v>355</v>
      </c>
      <c r="C74" s="16" t="s">
        <v>60</v>
      </c>
      <c r="D74" s="34">
        <v>18.853000000000002</v>
      </c>
      <c r="E74" s="19"/>
      <c r="F74" s="19" t="s">
        <v>454</v>
      </c>
      <c r="G74" s="19"/>
      <c r="H74" s="16"/>
      <c r="I74" s="19">
        <v>1200000</v>
      </c>
      <c r="J74" s="19">
        <v>390000</v>
      </c>
      <c r="K74" s="7">
        <f t="shared" si="5"/>
        <v>1590000</v>
      </c>
      <c r="L74" s="113">
        <f t="shared" si="4"/>
        <v>29976270.000000004</v>
      </c>
      <c r="M74" s="8"/>
      <c r="N74" s="101"/>
      <c r="O74" s="104"/>
      <c r="P74" s="20"/>
      <c r="Q74" s="163">
        <f t="shared" si="6"/>
        <v>22623600</v>
      </c>
      <c r="R74" s="163">
        <f t="shared" si="7"/>
        <v>7352670.0000000009</v>
      </c>
    </row>
    <row r="75" spans="1:18" s="21" customFormat="1" ht="76.5" customHeight="1">
      <c r="A75" s="35">
        <v>62</v>
      </c>
      <c r="B75" s="17" t="s">
        <v>43</v>
      </c>
      <c r="C75" s="16" t="s">
        <v>60</v>
      </c>
      <c r="D75" s="34">
        <v>112.66200000000001</v>
      </c>
      <c r="E75" s="19"/>
      <c r="F75" s="19"/>
      <c r="G75" s="19"/>
      <c r="H75" s="16"/>
      <c r="I75" s="19">
        <v>45000</v>
      </c>
      <c r="J75" s="19">
        <v>100000</v>
      </c>
      <c r="K75" s="7">
        <f t="shared" si="5"/>
        <v>145000</v>
      </c>
      <c r="L75" s="113">
        <f t="shared" si="4"/>
        <v>16335990</v>
      </c>
      <c r="M75" s="8"/>
      <c r="N75" s="101"/>
      <c r="O75" s="104"/>
      <c r="P75" s="20"/>
      <c r="Q75" s="163">
        <f t="shared" si="6"/>
        <v>5069790</v>
      </c>
      <c r="R75" s="163">
        <f t="shared" si="7"/>
        <v>11266200</v>
      </c>
    </row>
    <row r="76" spans="1:18" s="21" customFormat="1" ht="62.25" customHeight="1">
      <c r="A76" s="35">
        <v>63</v>
      </c>
      <c r="B76" s="17" t="s">
        <v>16</v>
      </c>
      <c r="C76" s="16" t="s">
        <v>48</v>
      </c>
      <c r="D76" s="34">
        <v>2</v>
      </c>
      <c r="E76" s="19"/>
      <c r="F76" s="19"/>
      <c r="G76" s="19"/>
      <c r="H76" s="16"/>
      <c r="I76" s="19">
        <v>4800000</v>
      </c>
      <c r="J76" s="19">
        <v>280000</v>
      </c>
      <c r="K76" s="7">
        <f t="shared" si="5"/>
        <v>5080000</v>
      </c>
      <c r="L76" s="113">
        <f t="shared" si="4"/>
        <v>10160000</v>
      </c>
      <c r="M76" s="8"/>
      <c r="N76" s="101"/>
      <c r="O76" s="104"/>
      <c r="P76" s="20"/>
      <c r="Q76" s="163">
        <f t="shared" si="6"/>
        <v>9600000</v>
      </c>
      <c r="R76" s="163">
        <f t="shared" si="7"/>
        <v>560000</v>
      </c>
    </row>
    <row r="77" spans="1:18" s="21" customFormat="1" ht="35.1" customHeight="1">
      <c r="A77" s="35">
        <v>64</v>
      </c>
      <c r="B77" s="17" t="s">
        <v>7</v>
      </c>
      <c r="C77" s="16" t="s">
        <v>52</v>
      </c>
      <c r="D77" s="34">
        <v>2</v>
      </c>
      <c r="E77" s="19"/>
      <c r="F77" s="19"/>
      <c r="G77" s="19"/>
      <c r="H77" s="16"/>
      <c r="I77" s="19">
        <v>5900000</v>
      </c>
      <c r="J77" s="19">
        <v>280000</v>
      </c>
      <c r="K77" s="7">
        <f t="shared" si="5"/>
        <v>6180000</v>
      </c>
      <c r="L77" s="113">
        <f t="shared" si="4"/>
        <v>12360000</v>
      </c>
      <c r="M77" s="8"/>
      <c r="N77" s="101"/>
      <c r="O77" s="104"/>
      <c r="P77" s="20"/>
      <c r="Q77" s="163">
        <f t="shared" si="6"/>
        <v>11800000</v>
      </c>
      <c r="R77" s="163">
        <f t="shared" si="7"/>
        <v>560000</v>
      </c>
    </row>
    <row r="78" spans="1:18" s="21" customFormat="1" ht="97.5" customHeight="1">
      <c r="A78" s="35">
        <v>65</v>
      </c>
      <c r="B78" s="17" t="s">
        <v>455</v>
      </c>
      <c r="C78" s="16" t="s">
        <v>60</v>
      </c>
      <c r="D78" s="34">
        <v>4.32</v>
      </c>
      <c r="E78" s="19"/>
      <c r="F78" s="19" t="s">
        <v>74</v>
      </c>
      <c r="G78" s="19"/>
      <c r="H78" s="16"/>
      <c r="I78" s="19">
        <v>1700000</v>
      </c>
      <c r="J78" s="19">
        <v>840000</v>
      </c>
      <c r="K78" s="7">
        <f t="shared" si="5"/>
        <v>2540000</v>
      </c>
      <c r="L78" s="113">
        <f t="shared" si="4"/>
        <v>10972800</v>
      </c>
      <c r="M78" s="8"/>
      <c r="N78" s="101"/>
      <c r="O78" s="104"/>
      <c r="P78" s="20"/>
      <c r="Q78" s="163">
        <f t="shared" si="6"/>
        <v>7344000.0000000009</v>
      </c>
      <c r="R78" s="163">
        <f t="shared" si="7"/>
        <v>3628800.0000000005</v>
      </c>
    </row>
    <row r="79" spans="1:18" s="21" customFormat="1" ht="69.900000000000006" customHeight="1">
      <c r="A79" s="35">
        <v>66</v>
      </c>
      <c r="B79" s="17" t="s">
        <v>54</v>
      </c>
      <c r="C79" s="16" t="s">
        <v>60</v>
      </c>
      <c r="D79" s="34">
        <v>9.14</v>
      </c>
      <c r="E79" s="19"/>
      <c r="F79" s="19" t="s">
        <v>74</v>
      </c>
      <c r="G79" s="19"/>
      <c r="H79" s="16"/>
      <c r="I79" s="19">
        <v>1600000</v>
      </c>
      <c r="J79" s="19">
        <v>840000</v>
      </c>
      <c r="K79" s="7">
        <f t="shared" si="5"/>
        <v>2440000</v>
      </c>
      <c r="L79" s="113">
        <f t="shared" si="4"/>
        <v>22301600</v>
      </c>
      <c r="M79" s="8"/>
      <c r="N79" s="101"/>
      <c r="O79" s="104"/>
      <c r="P79" s="20"/>
      <c r="Q79" s="163">
        <f t="shared" si="6"/>
        <v>14624000</v>
      </c>
      <c r="R79" s="163">
        <f t="shared" si="7"/>
        <v>7677600.0000000009</v>
      </c>
    </row>
    <row r="80" spans="1:18" s="21" customFormat="1" ht="35.1" customHeight="1">
      <c r="A80" s="35">
        <v>67</v>
      </c>
      <c r="B80" s="17" t="s">
        <v>50</v>
      </c>
      <c r="C80" s="16" t="s">
        <v>52</v>
      </c>
      <c r="D80" s="34">
        <v>5</v>
      </c>
      <c r="E80" s="19"/>
      <c r="F80" s="19"/>
      <c r="G80" s="19"/>
      <c r="H80" s="16"/>
      <c r="I80" s="19">
        <v>250000</v>
      </c>
      <c r="J80" s="19">
        <v>160000</v>
      </c>
      <c r="K80" s="7">
        <f t="shared" si="5"/>
        <v>410000</v>
      </c>
      <c r="L80" s="113">
        <f t="shared" si="4"/>
        <v>2050000</v>
      </c>
      <c r="M80" s="8"/>
      <c r="N80" s="101"/>
      <c r="O80" s="104"/>
      <c r="P80" s="20"/>
      <c r="Q80" s="163">
        <f t="shared" si="6"/>
        <v>1250000</v>
      </c>
      <c r="R80" s="163">
        <f t="shared" si="7"/>
        <v>800000</v>
      </c>
    </row>
    <row r="81" spans="1:18" s="21" customFormat="1" ht="94.5" customHeight="1">
      <c r="A81" s="35">
        <v>68</v>
      </c>
      <c r="B81" s="17" t="s">
        <v>29</v>
      </c>
      <c r="C81" s="16" t="s">
        <v>60</v>
      </c>
      <c r="D81" s="34">
        <v>13.68</v>
      </c>
      <c r="E81" s="19"/>
      <c r="F81" s="19" t="s">
        <v>74</v>
      </c>
      <c r="G81" s="19"/>
      <c r="H81" s="16"/>
      <c r="I81" s="19">
        <v>1600000</v>
      </c>
      <c r="J81" s="19">
        <v>840000</v>
      </c>
      <c r="K81" s="7">
        <f t="shared" si="5"/>
        <v>2440000</v>
      </c>
      <c r="L81" s="113">
        <f t="shared" si="4"/>
        <v>33379200</v>
      </c>
      <c r="M81" s="8"/>
      <c r="N81" s="101"/>
      <c r="O81" s="104"/>
      <c r="P81" s="20"/>
      <c r="Q81" s="163">
        <f t="shared" si="6"/>
        <v>21888000</v>
      </c>
      <c r="R81" s="163">
        <f t="shared" si="7"/>
        <v>11491200</v>
      </c>
    </row>
    <row r="82" spans="1:18" s="21" customFormat="1" ht="50.1" customHeight="1">
      <c r="A82" s="35">
        <v>69</v>
      </c>
      <c r="B82" s="17" t="s">
        <v>57</v>
      </c>
      <c r="C82" s="16" t="s">
        <v>60</v>
      </c>
      <c r="D82" s="34">
        <v>2.34</v>
      </c>
      <c r="E82" s="19"/>
      <c r="F82" s="19"/>
      <c r="G82" s="19"/>
      <c r="H82" s="16"/>
      <c r="I82" s="19">
        <v>1700000</v>
      </c>
      <c r="J82" s="19">
        <v>840000</v>
      </c>
      <c r="K82" s="7">
        <f t="shared" si="5"/>
        <v>2540000</v>
      </c>
      <c r="L82" s="113">
        <f t="shared" si="4"/>
        <v>5943600</v>
      </c>
      <c r="M82" s="8"/>
      <c r="N82" s="101"/>
      <c r="O82" s="104"/>
      <c r="P82" s="20"/>
      <c r="Q82" s="163">
        <f t="shared" si="6"/>
        <v>3977999.9999999995</v>
      </c>
      <c r="R82" s="163">
        <f t="shared" si="7"/>
        <v>1965599.9999999998</v>
      </c>
    </row>
    <row r="83" spans="1:18" s="21" customFormat="1" ht="69.900000000000006" customHeight="1">
      <c r="A83" s="35">
        <v>70</v>
      </c>
      <c r="B83" s="17" t="s">
        <v>424</v>
      </c>
      <c r="C83" s="16" t="s">
        <v>60</v>
      </c>
      <c r="D83" s="34">
        <v>51.004199999999997</v>
      </c>
      <c r="E83" s="19"/>
      <c r="F83" s="19" t="s">
        <v>74</v>
      </c>
      <c r="G83" s="19"/>
      <c r="H83" s="16"/>
      <c r="I83" s="19">
        <v>1600000</v>
      </c>
      <c r="J83" s="19">
        <v>840000</v>
      </c>
      <c r="K83" s="7">
        <f t="shared" si="5"/>
        <v>2440000</v>
      </c>
      <c r="L83" s="113">
        <f t="shared" si="4"/>
        <v>124450248</v>
      </c>
      <c r="M83" s="8"/>
      <c r="N83" s="101"/>
      <c r="O83" s="104"/>
      <c r="P83" s="20"/>
      <c r="Q83" s="163">
        <f t="shared" si="6"/>
        <v>81606720</v>
      </c>
      <c r="R83" s="163">
        <f t="shared" si="7"/>
        <v>42843528</v>
      </c>
    </row>
    <row r="84" spans="1:18" s="21" customFormat="1" ht="69.900000000000006" customHeight="1">
      <c r="A84" s="35">
        <v>71</v>
      </c>
      <c r="B84" s="17" t="s">
        <v>425</v>
      </c>
      <c r="C84" s="16" t="s">
        <v>60</v>
      </c>
      <c r="D84" s="34">
        <v>26.417999999999999</v>
      </c>
      <c r="E84" s="19"/>
      <c r="F84" s="19" t="s">
        <v>74</v>
      </c>
      <c r="G84" s="19"/>
      <c r="H84" s="16"/>
      <c r="I84" s="19">
        <v>1600000</v>
      </c>
      <c r="J84" s="19">
        <v>840000</v>
      </c>
      <c r="K84" s="7">
        <f t="shared" si="5"/>
        <v>2440000</v>
      </c>
      <c r="L84" s="113">
        <f t="shared" si="4"/>
        <v>64459920</v>
      </c>
      <c r="M84" s="8"/>
      <c r="N84" s="101"/>
      <c r="O84" s="104"/>
      <c r="P84" s="20"/>
      <c r="Q84" s="163">
        <f t="shared" si="6"/>
        <v>42268800</v>
      </c>
      <c r="R84" s="163">
        <f t="shared" si="7"/>
        <v>22191120</v>
      </c>
    </row>
    <row r="85" spans="1:18" s="21" customFormat="1" ht="50.1" customHeight="1">
      <c r="A85" s="33">
        <v>72</v>
      </c>
      <c r="B85" s="17" t="s">
        <v>456</v>
      </c>
      <c r="C85" s="16" t="s">
        <v>60</v>
      </c>
      <c r="D85" s="34">
        <v>4.32</v>
      </c>
      <c r="E85" s="19"/>
      <c r="F85" s="19" t="s">
        <v>75</v>
      </c>
      <c r="G85" s="19"/>
      <c r="H85" s="16"/>
      <c r="I85" s="19">
        <v>1600000</v>
      </c>
      <c r="J85" s="19">
        <v>840000</v>
      </c>
      <c r="K85" s="7">
        <f t="shared" si="5"/>
        <v>2440000</v>
      </c>
      <c r="L85" s="113">
        <f t="shared" si="4"/>
        <v>10540800</v>
      </c>
      <c r="M85" s="8"/>
      <c r="N85" s="101"/>
      <c r="O85" s="104"/>
      <c r="P85" s="20"/>
      <c r="Q85" s="163">
        <f t="shared" si="6"/>
        <v>6912000</v>
      </c>
      <c r="R85" s="163">
        <f t="shared" si="7"/>
        <v>3628800.0000000005</v>
      </c>
    </row>
    <row r="86" spans="1:18" s="21" customFormat="1" ht="50.1" customHeight="1">
      <c r="A86" s="33">
        <v>73</v>
      </c>
      <c r="B86" s="17" t="s">
        <v>457</v>
      </c>
      <c r="C86" s="16" t="s">
        <v>60</v>
      </c>
      <c r="D86" s="34">
        <v>5.2</v>
      </c>
      <c r="E86" s="19"/>
      <c r="F86" s="19" t="s">
        <v>75</v>
      </c>
      <c r="G86" s="19"/>
      <c r="H86" s="16"/>
      <c r="I86" s="19">
        <v>1600000</v>
      </c>
      <c r="J86" s="19">
        <v>840000</v>
      </c>
      <c r="K86" s="7">
        <f t="shared" si="5"/>
        <v>2440000</v>
      </c>
      <c r="L86" s="113">
        <f t="shared" si="4"/>
        <v>12688000</v>
      </c>
      <c r="M86" s="8"/>
      <c r="N86" s="101"/>
      <c r="O86" s="104"/>
      <c r="P86" s="20"/>
      <c r="Q86" s="163">
        <f t="shared" si="6"/>
        <v>8320000</v>
      </c>
      <c r="R86" s="163">
        <f t="shared" si="7"/>
        <v>4368000</v>
      </c>
    </row>
    <row r="87" spans="1:18" s="21" customFormat="1" ht="126.75" customHeight="1">
      <c r="A87" s="33">
        <v>74</v>
      </c>
      <c r="B87" s="17" t="s">
        <v>86</v>
      </c>
      <c r="C87" s="16" t="s">
        <v>60</v>
      </c>
      <c r="D87" s="34">
        <v>293.41809999999998</v>
      </c>
      <c r="E87" s="19"/>
      <c r="F87" s="19"/>
      <c r="G87" s="19"/>
      <c r="H87" s="16" t="s">
        <v>82</v>
      </c>
      <c r="I87" s="19">
        <v>130000</v>
      </c>
      <c r="J87" s="19">
        <v>112999.99999999999</v>
      </c>
      <c r="K87" s="7">
        <f t="shared" si="5"/>
        <v>243000</v>
      </c>
      <c r="L87" s="113">
        <f t="shared" si="4"/>
        <v>71300598.299999997</v>
      </c>
      <c r="M87" s="8"/>
      <c r="N87" s="101"/>
      <c r="O87" s="104"/>
      <c r="P87" s="20"/>
      <c r="Q87" s="163">
        <f t="shared" si="6"/>
        <v>38144353</v>
      </c>
      <c r="R87" s="163">
        <f t="shared" si="7"/>
        <v>33156245.299999993</v>
      </c>
    </row>
    <row r="88" spans="1:18" s="21" customFormat="1" ht="50.1" customHeight="1">
      <c r="A88" s="33">
        <v>75</v>
      </c>
      <c r="B88" s="17" t="s">
        <v>350</v>
      </c>
      <c r="C88" s="16" t="s">
        <v>60</v>
      </c>
      <c r="D88" s="34">
        <v>244.65190000000001</v>
      </c>
      <c r="E88" s="19"/>
      <c r="F88" s="19" t="s">
        <v>72</v>
      </c>
      <c r="G88" s="19"/>
      <c r="H88" s="16" t="s">
        <v>83</v>
      </c>
      <c r="I88" s="19">
        <v>170000</v>
      </c>
      <c r="J88" s="19">
        <v>79099.999999999985</v>
      </c>
      <c r="K88" s="7">
        <f t="shared" si="5"/>
        <v>249100</v>
      </c>
      <c r="L88" s="113">
        <f t="shared" si="4"/>
        <v>60942788.290000007</v>
      </c>
      <c r="M88" s="8"/>
      <c r="N88" s="101"/>
      <c r="O88" s="104"/>
      <c r="P88" s="20"/>
      <c r="Q88" s="163">
        <f t="shared" si="6"/>
        <v>41590823</v>
      </c>
      <c r="R88" s="163">
        <f t="shared" si="7"/>
        <v>19351965.289999999</v>
      </c>
    </row>
    <row r="89" spans="1:18" s="21" customFormat="1" ht="56.25" customHeight="1">
      <c r="A89" s="33">
        <v>76</v>
      </c>
      <c r="B89" s="17" t="s">
        <v>358</v>
      </c>
      <c r="C89" s="16" t="s">
        <v>56</v>
      </c>
      <c r="D89" s="34">
        <v>50.8</v>
      </c>
      <c r="E89" s="19"/>
      <c r="F89" s="19"/>
      <c r="G89" s="19"/>
      <c r="H89" s="16" t="s">
        <v>83</v>
      </c>
      <c r="I89" s="19">
        <v>550000</v>
      </c>
      <c r="J89" s="19">
        <v>225999.99999999997</v>
      </c>
      <c r="K89" s="7">
        <f t="shared" si="5"/>
        <v>776000</v>
      </c>
      <c r="L89" s="113">
        <f t="shared" si="4"/>
        <v>39420800</v>
      </c>
      <c r="M89" s="8"/>
      <c r="N89" s="101"/>
      <c r="O89" s="104"/>
      <c r="P89" s="20"/>
      <c r="Q89" s="163">
        <f t="shared" si="6"/>
        <v>27940000</v>
      </c>
      <c r="R89" s="163">
        <f t="shared" si="7"/>
        <v>11480799.999999998</v>
      </c>
    </row>
    <row r="90" spans="1:18" s="21" customFormat="1" ht="50.1" customHeight="1">
      <c r="A90" s="33">
        <v>77</v>
      </c>
      <c r="B90" s="17" t="s">
        <v>349</v>
      </c>
      <c r="C90" s="16" t="s">
        <v>60</v>
      </c>
      <c r="D90" s="34">
        <v>203.4</v>
      </c>
      <c r="E90" s="19"/>
      <c r="F90" s="19" t="s">
        <v>72</v>
      </c>
      <c r="G90" s="19"/>
      <c r="H90" s="16" t="s">
        <v>83</v>
      </c>
      <c r="I90" s="19">
        <v>170000</v>
      </c>
      <c r="J90" s="19">
        <v>79099.999999999985</v>
      </c>
      <c r="K90" s="7">
        <f t="shared" si="5"/>
        <v>249100</v>
      </c>
      <c r="L90" s="113">
        <f t="shared" si="4"/>
        <v>50666940</v>
      </c>
      <c r="M90" s="8"/>
      <c r="N90" s="101"/>
      <c r="O90" s="104"/>
      <c r="P90" s="20"/>
      <c r="Q90" s="163">
        <f t="shared" si="6"/>
        <v>34578000</v>
      </c>
      <c r="R90" s="163">
        <f t="shared" si="7"/>
        <v>16088939.999999998</v>
      </c>
    </row>
    <row r="91" spans="1:18" s="21" customFormat="1" ht="35.1" customHeight="1">
      <c r="A91" s="33">
        <v>78</v>
      </c>
      <c r="B91" s="17" t="s">
        <v>458</v>
      </c>
      <c r="C91" s="16" t="s">
        <v>8</v>
      </c>
      <c r="D91" s="34">
        <v>34.61</v>
      </c>
      <c r="E91" s="19"/>
      <c r="F91" s="19"/>
      <c r="G91" s="19"/>
      <c r="H91" s="16" t="s">
        <v>82</v>
      </c>
      <c r="I91" s="19">
        <v>19000</v>
      </c>
      <c r="J91" s="19">
        <v>11299.999999999998</v>
      </c>
      <c r="K91" s="7">
        <f t="shared" si="5"/>
        <v>30300</v>
      </c>
      <c r="L91" s="113">
        <f t="shared" si="4"/>
        <v>1048683</v>
      </c>
      <c r="M91" s="8"/>
      <c r="N91" s="101"/>
      <c r="O91" s="104"/>
      <c r="P91" s="20"/>
      <c r="Q91" s="163">
        <f t="shared" si="6"/>
        <v>657590</v>
      </c>
      <c r="R91" s="163">
        <f t="shared" si="7"/>
        <v>391092.99999999994</v>
      </c>
    </row>
    <row r="92" spans="1:18" s="41" customFormat="1" ht="45" customHeight="1">
      <c r="A92" s="36" t="s">
        <v>360</v>
      </c>
      <c r="B92" s="37" t="s">
        <v>359</v>
      </c>
      <c r="C92" s="38"/>
      <c r="D92" s="39"/>
      <c r="E92" s="40"/>
      <c r="F92" s="40"/>
      <c r="G92" s="40"/>
      <c r="H92" s="38"/>
      <c r="I92" s="38"/>
      <c r="J92" s="38"/>
      <c r="K92" s="38"/>
      <c r="L92" s="38"/>
      <c r="M92" s="14"/>
      <c r="N92" s="99"/>
      <c r="O92" s="100"/>
      <c r="P92" s="15"/>
      <c r="Q92" s="163">
        <f t="shared" si="6"/>
        <v>0</v>
      </c>
      <c r="R92" s="163">
        <f t="shared" si="7"/>
        <v>0</v>
      </c>
    </row>
    <row r="93" spans="1:18" s="21" customFormat="1" ht="35.1" customHeight="1">
      <c r="A93" s="33">
        <v>79</v>
      </c>
      <c r="B93" s="17" t="s">
        <v>6</v>
      </c>
      <c r="C93" s="16" t="s">
        <v>31</v>
      </c>
      <c r="D93" s="34">
        <v>4.17</v>
      </c>
      <c r="E93" s="19"/>
      <c r="F93" s="19"/>
      <c r="G93" s="19"/>
      <c r="H93" s="16"/>
      <c r="I93" s="19">
        <v>0</v>
      </c>
      <c r="J93" s="19">
        <v>70000</v>
      </c>
      <c r="K93" s="7">
        <f t="shared" si="5"/>
        <v>70000</v>
      </c>
      <c r="L93" s="113">
        <f t="shared" ref="L93:L104" si="8">K93*D93</f>
        <v>291900</v>
      </c>
      <c r="M93" s="8"/>
      <c r="N93" s="101"/>
      <c r="O93" s="104"/>
      <c r="P93" s="20"/>
      <c r="Q93" s="163">
        <f t="shared" si="6"/>
        <v>0</v>
      </c>
      <c r="R93" s="163">
        <f t="shared" si="7"/>
        <v>291900</v>
      </c>
    </row>
    <row r="94" spans="1:18" s="21" customFormat="1" ht="35.1" customHeight="1">
      <c r="A94" s="33">
        <v>80</v>
      </c>
      <c r="B94" s="17" t="s">
        <v>19</v>
      </c>
      <c r="C94" s="16" t="s">
        <v>60</v>
      </c>
      <c r="D94" s="34">
        <v>8.1791999999999998</v>
      </c>
      <c r="E94" s="19"/>
      <c r="F94" s="19"/>
      <c r="G94" s="19"/>
      <c r="H94" s="16" t="s">
        <v>69</v>
      </c>
      <c r="I94" s="19">
        <v>100000</v>
      </c>
      <c r="J94" s="19">
        <v>112999.99999999999</v>
      </c>
      <c r="K94" s="7">
        <f t="shared" si="5"/>
        <v>213000</v>
      </c>
      <c r="L94" s="113">
        <f t="shared" si="8"/>
        <v>1742169.5999999999</v>
      </c>
      <c r="M94" s="8"/>
      <c r="N94" s="101"/>
      <c r="O94" s="104"/>
      <c r="P94" s="20"/>
      <c r="Q94" s="163">
        <f t="shared" si="6"/>
        <v>817920</v>
      </c>
      <c r="R94" s="163">
        <f t="shared" si="7"/>
        <v>924249.59999999986</v>
      </c>
    </row>
    <row r="95" spans="1:18" s="21" customFormat="1" ht="35.1" customHeight="1">
      <c r="A95" s="33">
        <v>81</v>
      </c>
      <c r="B95" s="17" t="s">
        <v>0</v>
      </c>
      <c r="C95" s="16" t="s">
        <v>31</v>
      </c>
      <c r="D95" s="34">
        <v>0.82540000000000002</v>
      </c>
      <c r="E95" s="19"/>
      <c r="F95" s="19"/>
      <c r="G95" s="19"/>
      <c r="H95" s="16" t="s">
        <v>70</v>
      </c>
      <c r="I95" s="19">
        <v>1417500</v>
      </c>
      <c r="J95" s="19">
        <v>338999.99999999994</v>
      </c>
      <c r="K95" s="7">
        <f t="shared" si="5"/>
        <v>1756500</v>
      </c>
      <c r="L95" s="113">
        <f t="shared" si="8"/>
        <v>1449815.1</v>
      </c>
      <c r="M95" s="8"/>
      <c r="N95" s="101"/>
      <c r="O95" s="104"/>
      <c r="P95" s="20"/>
      <c r="Q95" s="163">
        <f t="shared" si="6"/>
        <v>1170004.5</v>
      </c>
      <c r="R95" s="163">
        <f t="shared" si="7"/>
        <v>279810.59999999998</v>
      </c>
    </row>
    <row r="96" spans="1:18" s="21" customFormat="1" ht="56.25" customHeight="1">
      <c r="A96" s="33">
        <v>82</v>
      </c>
      <c r="B96" s="17" t="s">
        <v>5</v>
      </c>
      <c r="C96" s="16" t="s">
        <v>31</v>
      </c>
      <c r="D96" s="34">
        <v>1.161</v>
      </c>
      <c r="E96" s="19"/>
      <c r="F96" s="19" t="s">
        <v>97</v>
      </c>
      <c r="G96" s="19"/>
      <c r="H96" s="16"/>
      <c r="I96" s="19">
        <v>1050000</v>
      </c>
      <c r="J96" s="19">
        <v>1242999.9999999998</v>
      </c>
      <c r="K96" s="7">
        <f t="shared" si="5"/>
        <v>2293000</v>
      </c>
      <c r="L96" s="113">
        <f t="shared" si="8"/>
        <v>2662173</v>
      </c>
      <c r="M96" s="8"/>
      <c r="N96" s="101"/>
      <c r="O96" s="104"/>
      <c r="P96" s="20"/>
      <c r="Q96" s="163">
        <f t="shared" si="6"/>
        <v>1219050</v>
      </c>
      <c r="R96" s="163">
        <f t="shared" si="7"/>
        <v>1443122.9999999998</v>
      </c>
    </row>
    <row r="97" spans="1:18" s="21" customFormat="1" ht="62.25" customHeight="1">
      <c r="A97" s="33">
        <v>83</v>
      </c>
      <c r="B97" s="17" t="s">
        <v>53</v>
      </c>
      <c r="C97" s="16" t="s">
        <v>31</v>
      </c>
      <c r="D97" s="34">
        <v>1.8720000000000001</v>
      </c>
      <c r="E97" s="19"/>
      <c r="F97" s="19" t="s">
        <v>97</v>
      </c>
      <c r="G97" s="19"/>
      <c r="H97" s="16"/>
      <c r="I97" s="19">
        <v>1050000</v>
      </c>
      <c r="J97" s="19">
        <v>1242999.9999999998</v>
      </c>
      <c r="K97" s="7">
        <f t="shared" si="5"/>
        <v>2293000</v>
      </c>
      <c r="L97" s="113">
        <f t="shared" si="8"/>
        <v>4292496</v>
      </c>
      <c r="M97" s="8"/>
      <c r="N97" s="101"/>
      <c r="O97" s="104"/>
      <c r="P97" s="20"/>
      <c r="Q97" s="163">
        <f t="shared" si="6"/>
        <v>1965600</v>
      </c>
      <c r="R97" s="163">
        <f t="shared" si="7"/>
        <v>2326895.9999999995</v>
      </c>
    </row>
    <row r="98" spans="1:18" s="21" customFormat="1" ht="39" customHeight="1">
      <c r="A98" s="33">
        <v>84</v>
      </c>
      <c r="B98" s="17" t="s">
        <v>4</v>
      </c>
      <c r="C98" s="16" t="s">
        <v>60</v>
      </c>
      <c r="D98" s="34">
        <v>23.219200000000001</v>
      </c>
      <c r="E98" s="19"/>
      <c r="F98" s="19"/>
      <c r="G98" s="19"/>
      <c r="H98" s="16"/>
      <c r="I98" s="19">
        <v>63000</v>
      </c>
      <c r="J98" s="19">
        <v>157125</v>
      </c>
      <c r="K98" s="7">
        <f t="shared" si="5"/>
        <v>220125</v>
      </c>
      <c r="L98" s="113">
        <f t="shared" si="8"/>
        <v>5111126.4000000004</v>
      </c>
      <c r="M98" s="8"/>
      <c r="N98" s="101"/>
      <c r="O98" s="104"/>
      <c r="P98" s="20"/>
      <c r="Q98" s="163">
        <f t="shared" si="6"/>
        <v>1462809.6000000001</v>
      </c>
      <c r="R98" s="163">
        <f t="shared" si="7"/>
        <v>3648316.8000000003</v>
      </c>
    </row>
    <row r="99" spans="1:18" s="21" customFormat="1" ht="74.25" customHeight="1">
      <c r="A99" s="33">
        <v>85</v>
      </c>
      <c r="B99" s="17" t="s">
        <v>18</v>
      </c>
      <c r="C99" s="16" t="s">
        <v>31</v>
      </c>
      <c r="D99" s="34">
        <v>0.14510000000000001</v>
      </c>
      <c r="E99" s="19"/>
      <c r="F99" s="19"/>
      <c r="G99" s="19"/>
      <c r="H99" s="16" t="s">
        <v>70</v>
      </c>
      <c r="I99" s="19">
        <v>1732500</v>
      </c>
      <c r="J99" s="19">
        <v>706249.99999999988</v>
      </c>
      <c r="K99" s="7">
        <f t="shared" si="5"/>
        <v>2438750</v>
      </c>
      <c r="L99" s="113">
        <f t="shared" si="8"/>
        <v>353862.625</v>
      </c>
      <c r="M99" s="8"/>
      <c r="N99" s="101"/>
      <c r="O99" s="104"/>
      <c r="P99" s="20"/>
      <c r="Q99" s="163">
        <f t="shared" si="6"/>
        <v>251385.75</v>
      </c>
      <c r="R99" s="163">
        <f t="shared" si="7"/>
        <v>102476.87499999999</v>
      </c>
    </row>
    <row r="100" spans="1:18" s="21" customFormat="1" ht="97.5" customHeight="1">
      <c r="A100" s="35">
        <v>86</v>
      </c>
      <c r="B100" s="17" t="s">
        <v>370</v>
      </c>
      <c r="C100" s="16" t="s">
        <v>60</v>
      </c>
      <c r="D100" s="34">
        <v>0.10199999999999999</v>
      </c>
      <c r="E100" s="16" t="s">
        <v>372</v>
      </c>
      <c r="F100" s="16" t="s">
        <v>88</v>
      </c>
      <c r="G100" s="19"/>
      <c r="H100" s="16"/>
      <c r="I100" s="19">
        <v>1300000</v>
      </c>
      <c r="J100" s="19">
        <v>338999.99999999994</v>
      </c>
      <c r="K100" s="7">
        <f t="shared" si="5"/>
        <v>1639000</v>
      </c>
      <c r="L100" s="113">
        <f t="shared" si="8"/>
        <v>167178</v>
      </c>
      <c r="M100" s="8"/>
      <c r="N100" s="101"/>
      <c r="O100" s="104"/>
      <c r="P100" s="20"/>
      <c r="Q100" s="163">
        <f t="shared" si="6"/>
        <v>132600</v>
      </c>
      <c r="R100" s="163">
        <f t="shared" si="7"/>
        <v>34577.999999999993</v>
      </c>
    </row>
    <row r="101" spans="1:18" s="21" customFormat="1" ht="74.25" customHeight="1">
      <c r="A101" s="35">
        <v>87</v>
      </c>
      <c r="B101" s="17" t="s">
        <v>371</v>
      </c>
      <c r="C101" s="16" t="s">
        <v>60</v>
      </c>
      <c r="D101" s="34">
        <v>11.6096</v>
      </c>
      <c r="E101" s="16" t="s">
        <v>372</v>
      </c>
      <c r="F101" s="19"/>
      <c r="G101" s="19"/>
      <c r="H101" s="16" t="s">
        <v>82</v>
      </c>
      <c r="I101" s="19">
        <v>265000</v>
      </c>
      <c r="J101" s="19">
        <v>229500</v>
      </c>
      <c r="K101" s="7">
        <f t="shared" si="5"/>
        <v>494500</v>
      </c>
      <c r="L101" s="113">
        <f t="shared" si="8"/>
        <v>5740947.2000000002</v>
      </c>
      <c r="M101" s="8"/>
      <c r="N101" s="101"/>
      <c r="O101" s="104"/>
      <c r="P101" s="20"/>
      <c r="Q101" s="163">
        <f t="shared" si="6"/>
        <v>3076544</v>
      </c>
      <c r="R101" s="163">
        <f t="shared" si="7"/>
        <v>2664403.2000000002</v>
      </c>
    </row>
    <row r="102" spans="1:18" s="21" customFormat="1" ht="61.5" customHeight="1">
      <c r="A102" s="35">
        <v>88</v>
      </c>
      <c r="B102" s="17" t="s">
        <v>459</v>
      </c>
      <c r="C102" s="16" t="s">
        <v>31</v>
      </c>
      <c r="D102" s="34">
        <v>6.9657999999999998</v>
      </c>
      <c r="E102" s="19"/>
      <c r="F102" s="19"/>
      <c r="G102" s="19"/>
      <c r="H102" s="16"/>
      <c r="I102" s="19">
        <v>500000</v>
      </c>
      <c r="J102" s="19">
        <v>100000</v>
      </c>
      <c r="K102" s="7">
        <f t="shared" si="5"/>
        <v>600000</v>
      </c>
      <c r="L102" s="113">
        <f t="shared" si="8"/>
        <v>4179480</v>
      </c>
      <c r="M102" s="8"/>
      <c r="N102" s="101"/>
      <c r="O102" s="104"/>
      <c r="P102" s="20"/>
      <c r="Q102" s="163">
        <f t="shared" si="6"/>
        <v>3482900</v>
      </c>
      <c r="R102" s="163">
        <f t="shared" si="7"/>
        <v>696580</v>
      </c>
    </row>
    <row r="103" spans="1:18" s="21" customFormat="1" ht="35.1" customHeight="1">
      <c r="A103" s="33">
        <v>89</v>
      </c>
      <c r="B103" s="17" t="s">
        <v>26</v>
      </c>
      <c r="C103" s="16" t="s">
        <v>33</v>
      </c>
      <c r="D103" s="34">
        <v>8</v>
      </c>
      <c r="E103" s="19"/>
      <c r="F103" s="19"/>
      <c r="G103" s="19"/>
      <c r="H103" s="16"/>
      <c r="I103" s="19">
        <v>500000</v>
      </c>
      <c r="J103" s="19">
        <v>400000</v>
      </c>
      <c r="K103" s="7">
        <f t="shared" si="5"/>
        <v>900000</v>
      </c>
      <c r="L103" s="113">
        <f t="shared" si="8"/>
        <v>7200000</v>
      </c>
      <c r="M103" s="8"/>
      <c r="N103" s="101"/>
      <c r="O103" s="104"/>
      <c r="P103" s="20"/>
      <c r="Q103" s="163">
        <f t="shared" si="6"/>
        <v>4000000</v>
      </c>
      <c r="R103" s="163">
        <f t="shared" si="7"/>
        <v>3200000</v>
      </c>
    </row>
    <row r="104" spans="1:18" s="21" customFormat="1" ht="35.1" customHeight="1">
      <c r="A104" s="33">
        <v>90</v>
      </c>
      <c r="B104" s="17" t="s">
        <v>61</v>
      </c>
      <c r="C104" s="16" t="s">
        <v>33</v>
      </c>
      <c r="D104" s="34">
        <v>8</v>
      </c>
      <c r="E104" s="19"/>
      <c r="F104" s="19"/>
      <c r="G104" s="19"/>
      <c r="H104" s="16"/>
      <c r="I104" s="19">
        <v>500000</v>
      </c>
      <c r="J104" s="19">
        <v>400000</v>
      </c>
      <c r="K104" s="7">
        <f t="shared" si="5"/>
        <v>900000</v>
      </c>
      <c r="L104" s="113">
        <f t="shared" si="8"/>
        <v>7200000</v>
      </c>
      <c r="M104" s="8"/>
      <c r="N104" s="101"/>
      <c r="O104" s="104"/>
      <c r="P104" s="20"/>
      <c r="Q104" s="163">
        <f t="shared" si="6"/>
        <v>4000000</v>
      </c>
      <c r="R104" s="163">
        <f t="shared" si="7"/>
        <v>3200000</v>
      </c>
    </row>
    <row r="105" spans="1:18" s="41" customFormat="1" ht="45" customHeight="1">
      <c r="A105" s="36" t="s">
        <v>460</v>
      </c>
      <c r="B105" s="11" t="s">
        <v>461</v>
      </c>
      <c r="C105" s="11"/>
      <c r="D105" s="23"/>
      <c r="E105" s="11"/>
      <c r="F105" s="11"/>
      <c r="G105" s="11"/>
      <c r="H105" s="11"/>
      <c r="I105" s="11"/>
      <c r="J105" s="11"/>
      <c r="K105" s="11"/>
      <c r="L105" s="11"/>
      <c r="M105" s="14"/>
      <c r="N105" s="99"/>
      <c r="O105" s="100"/>
      <c r="P105" s="15"/>
      <c r="Q105" s="163">
        <f t="shared" si="6"/>
        <v>0</v>
      </c>
      <c r="R105" s="163">
        <f t="shared" si="7"/>
        <v>0</v>
      </c>
    </row>
    <row r="106" spans="1:18" s="32" customFormat="1" ht="39.9" customHeight="1">
      <c r="A106" s="24" t="s">
        <v>90</v>
      </c>
      <c r="B106" s="25" t="s">
        <v>91</v>
      </c>
      <c r="C106" s="42"/>
      <c r="D106" s="43"/>
      <c r="E106" s="44"/>
      <c r="F106" s="44"/>
      <c r="G106" s="44"/>
      <c r="H106" s="42"/>
      <c r="I106" s="42"/>
      <c r="J106" s="42"/>
      <c r="K106" s="42"/>
      <c r="L106" s="42"/>
      <c r="M106" s="30"/>
      <c r="N106" s="105"/>
      <c r="O106" s="106"/>
      <c r="P106" s="31"/>
      <c r="Q106" s="163">
        <f t="shared" si="6"/>
        <v>0</v>
      </c>
      <c r="R106" s="163">
        <f t="shared" si="7"/>
        <v>0</v>
      </c>
    </row>
    <row r="107" spans="1:18" s="21" customFormat="1" ht="165" customHeight="1">
      <c r="A107" s="33">
        <v>91</v>
      </c>
      <c r="B107" s="17" t="s">
        <v>92</v>
      </c>
      <c r="C107" s="16" t="s">
        <v>65</v>
      </c>
      <c r="D107" s="34">
        <v>1</v>
      </c>
      <c r="E107" s="19"/>
      <c r="F107" s="19"/>
      <c r="G107" s="19"/>
      <c r="H107" s="16" t="s">
        <v>340</v>
      </c>
      <c r="I107" s="19">
        <v>0</v>
      </c>
      <c r="J107" s="19">
        <v>28249999.999999996</v>
      </c>
      <c r="K107" s="7">
        <f t="shared" si="5"/>
        <v>28249999.999999996</v>
      </c>
      <c r="L107" s="113">
        <f>K107*D107</f>
        <v>28249999.999999996</v>
      </c>
      <c r="M107" s="8"/>
      <c r="N107" s="101"/>
      <c r="O107" s="104"/>
      <c r="P107" s="20"/>
      <c r="Q107" s="163">
        <f t="shared" si="6"/>
        <v>0</v>
      </c>
      <c r="R107" s="163">
        <f t="shared" si="7"/>
        <v>28249999.999999996</v>
      </c>
    </row>
    <row r="108" spans="1:18" s="21" customFormat="1" ht="80.25" customHeight="1">
      <c r="A108" s="33">
        <v>92</v>
      </c>
      <c r="B108" s="17" t="s">
        <v>93</v>
      </c>
      <c r="C108" s="16" t="s">
        <v>65</v>
      </c>
      <c r="D108" s="34">
        <v>1</v>
      </c>
      <c r="E108" s="19"/>
      <c r="F108" s="19"/>
      <c r="G108" s="19"/>
      <c r="H108" s="16"/>
      <c r="I108" s="19">
        <v>0</v>
      </c>
      <c r="J108" s="19">
        <v>13559999.999999998</v>
      </c>
      <c r="K108" s="7">
        <f t="shared" si="5"/>
        <v>13559999.999999998</v>
      </c>
      <c r="L108" s="113">
        <f>K108*D108</f>
        <v>13559999.999999998</v>
      </c>
      <c r="M108" s="8"/>
      <c r="N108" s="101"/>
      <c r="O108" s="104"/>
      <c r="P108" s="20"/>
      <c r="Q108" s="163">
        <f t="shared" si="6"/>
        <v>0</v>
      </c>
      <c r="R108" s="163">
        <f t="shared" si="7"/>
        <v>13559999.999999998</v>
      </c>
    </row>
    <row r="109" spans="1:18" s="32" customFormat="1" ht="39.9" customHeight="1">
      <c r="A109" s="24" t="s">
        <v>94</v>
      </c>
      <c r="B109" s="25" t="s">
        <v>95</v>
      </c>
      <c r="C109" s="42"/>
      <c r="D109" s="43"/>
      <c r="E109" s="44"/>
      <c r="F109" s="44"/>
      <c r="G109" s="44"/>
      <c r="H109" s="42"/>
      <c r="I109" s="42"/>
      <c r="J109" s="42"/>
      <c r="K109" s="42"/>
      <c r="L109" s="42"/>
      <c r="M109" s="30"/>
      <c r="N109" s="105"/>
      <c r="O109" s="106"/>
      <c r="P109" s="31"/>
      <c r="Q109" s="163">
        <f t="shared" si="6"/>
        <v>0</v>
      </c>
      <c r="R109" s="163">
        <f t="shared" si="7"/>
        <v>0</v>
      </c>
    </row>
    <row r="110" spans="1:18" s="21" customFormat="1" ht="390.6" customHeight="1">
      <c r="A110" s="33" t="s">
        <v>27</v>
      </c>
      <c r="B110" s="17" t="s">
        <v>96</v>
      </c>
      <c r="C110" s="16"/>
      <c r="D110" s="34"/>
      <c r="E110" s="19"/>
      <c r="F110" s="19"/>
      <c r="G110" s="19"/>
      <c r="H110" s="16"/>
      <c r="I110" s="19">
        <v>0</v>
      </c>
      <c r="J110" s="19">
        <v>0</v>
      </c>
      <c r="K110" s="7">
        <f t="shared" si="5"/>
        <v>0</v>
      </c>
      <c r="L110" s="113">
        <f t="shared" ref="L110:L124" si="9">K110*D110</f>
        <v>0</v>
      </c>
      <c r="M110" s="114"/>
      <c r="N110" s="101"/>
      <c r="O110" s="107"/>
      <c r="P110" s="20"/>
      <c r="Q110" s="163">
        <f t="shared" si="6"/>
        <v>0</v>
      </c>
      <c r="R110" s="163">
        <f t="shared" si="7"/>
        <v>0</v>
      </c>
    </row>
    <row r="111" spans="1:18" s="21" customFormat="1" ht="35.1" customHeight="1">
      <c r="A111" s="33"/>
      <c r="B111" s="45" t="s">
        <v>15</v>
      </c>
      <c r="C111" s="16"/>
      <c r="D111" s="34"/>
      <c r="E111" s="19"/>
      <c r="F111" s="19"/>
      <c r="G111" s="19"/>
      <c r="H111" s="16"/>
      <c r="I111" s="19">
        <v>0</v>
      </c>
      <c r="J111" s="19">
        <v>0</v>
      </c>
      <c r="K111" s="7">
        <f t="shared" si="5"/>
        <v>0</v>
      </c>
      <c r="L111" s="113">
        <f t="shared" si="9"/>
        <v>0</v>
      </c>
      <c r="M111" s="8"/>
      <c r="N111" s="101"/>
      <c r="O111" s="104"/>
      <c r="P111" s="20"/>
      <c r="Q111" s="163">
        <f t="shared" si="6"/>
        <v>0</v>
      </c>
      <c r="R111" s="163">
        <f t="shared" si="7"/>
        <v>0</v>
      </c>
    </row>
    <row r="112" spans="1:18" s="21" customFormat="1" ht="81.75" customHeight="1">
      <c r="A112" s="33">
        <v>93</v>
      </c>
      <c r="B112" s="17" t="s">
        <v>462</v>
      </c>
      <c r="C112" s="16" t="s">
        <v>8</v>
      </c>
      <c r="D112" s="34">
        <v>503.36</v>
      </c>
      <c r="E112" s="19"/>
      <c r="F112" s="19" t="s">
        <v>72</v>
      </c>
      <c r="G112" s="19"/>
      <c r="H112" s="16" t="s">
        <v>83</v>
      </c>
      <c r="I112" s="19">
        <v>22000</v>
      </c>
      <c r="J112" s="19">
        <v>11299.999999999998</v>
      </c>
      <c r="K112" s="7">
        <f t="shared" si="5"/>
        <v>33300</v>
      </c>
      <c r="L112" s="113">
        <f t="shared" si="9"/>
        <v>16761888</v>
      </c>
      <c r="M112" s="8"/>
      <c r="N112" s="101"/>
      <c r="O112" s="104"/>
      <c r="P112" s="20"/>
      <c r="Q112" s="163">
        <f t="shared" si="6"/>
        <v>11073920</v>
      </c>
      <c r="R112" s="163">
        <f t="shared" si="7"/>
        <v>5687967.9999999991</v>
      </c>
    </row>
    <row r="113" spans="1:18" s="21" customFormat="1" ht="79.5" customHeight="1">
      <c r="A113" s="33">
        <v>94</v>
      </c>
      <c r="B113" s="17" t="s">
        <v>463</v>
      </c>
      <c r="C113" s="16" t="s">
        <v>60</v>
      </c>
      <c r="D113" s="34">
        <v>67.06</v>
      </c>
      <c r="E113" s="19"/>
      <c r="F113" s="19" t="s">
        <v>72</v>
      </c>
      <c r="G113" s="19"/>
      <c r="H113" s="16" t="s">
        <v>83</v>
      </c>
      <c r="I113" s="19">
        <v>220000</v>
      </c>
      <c r="J113" s="19">
        <v>100000</v>
      </c>
      <c r="K113" s="7">
        <f t="shared" si="5"/>
        <v>320000</v>
      </c>
      <c r="L113" s="113">
        <f t="shared" si="9"/>
        <v>21459200</v>
      </c>
      <c r="M113" s="8"/>
      <c r="N113" s="101"/>
      <c r="O113" s="104"/>
      <c r="P113" s="20"/>
      <c r="Q113" s="163">
        <f t="shared" si="6"/>
        <v>14753200</v>
      </c>
      <c r="R113" s="163">
        <f t="shared" si="7"/>
        <v>6706000</v>
      </c>
    </row>
    <row r="114" spans="1:18" s="21" customFormat="1" ht="84" customHeight="1">
      <c r="A114" s="33">
        <v>95</v>
      </c>
      <c r="B114" s="17" t="s">
        <v>464</v>
      </c>
      <c r="C114" s="16" t="s">
        <v>60</v>
      </c>
      <c r="D114" s="34">
        <v>82.94</v>
      </c>
      <c r="E114" s="19"/>
      <c r="F114" s="19" t="s">
        <v>72</v>
      </c>
      <c r="G114" s="19"/>
      <c r="H114" s="16" t="s">
        <v>83</v>
      </c>
      <c r="I114" s="19">
        <v>220000</v>
      </c>
      <c r="J114" s="19">
        <v>100000</v>
      </c>
      <c r="K114" s="7">
        <f t="shared" si="5"/>
        <v>320000</v>
      </c>
      <c r="L114" s="113">
        <f t="shared" si="9"/>
        <v>26540800</v>
      </c>
      <c r="M114" s="8"/>
      <c r="N114" s="101"/>
      <c r="O114" s="104"/>
      <c r="P114" s="20"/>
      <c r="Q114" s="163">
        <f t="shared" si="6"/>
        <v>18246800</v>
      </c>
      <c r="R114" s="163">
        <f t="shared" si="7"/>
        <v>8294000</v>
      </c>
    </row>
    <row r="115" spans="1:18" s="21" customFormat="1" ht="63.75" customHeight="1">
      <c r="A115" s="33">
        <v>96</v>
      </c>
      <c r="B115" s="46" t="s">
        <v>351</v>
      </c>
      <c r="C115" s="16" t="s">
        <v>60</v>
      </c>
      <c r="D115" s="34">
        <v>60</v>
      </c>
      <c r="E115" s="19"/>
      <c r="F115" s="19" t="s">
        <v>72</v>
      </c>
      <c r="G115" s="19"/>
      <c r="H115" s="16" t="s">
        <v>83</v>
      </c>
      <c r="I115" s="19">
        <v>220000</v>
      </c>
      <c r="J115" s="19">
        <v>100000</v>
      </c>
      <c r="K115" s="7">
        <f t="shared" si="5"/>
        <v>320000</v>
      </c>
      <c r="L115" s="113">
        <f t="shared" si="9"/>
        <v>19200000</v>
      </c>
      <c r="M115" s="8"/>
      <c r="N115" s="101"/>
      <c r="O115" s="104"/>
      <c r="P115" s="20"/>
      <c r="Q115" s="163">
        <f t="shared" si="6"/>
        <v>13200000</v>
      </c>
      <c r="R115" s="163">
        <f t="shared" si="7"/>
        <v>6000000</v>
      </c>
    </row>
    <row r="116" spans="1:18" s="21" customFormat="1" ht="35.1" customHeight="1">
      <c r="A116" s="33">
        <v>97</v>
      </c>
      <c r="B116" s="46" t="s">
        <v>361</v>
      </c>
      <c r="C116" s="16" t="s">
        <v>56</v>
      </c>
      <c r="D116" s="34">
        <v>138.80000000000001</v>
      </c>
      <c r="E116" s="19"/>
      <c r="F116" s="19" t="s">
        <v>81</v>
      </c>
      <c r="G116" s="19"/>
      <c r="H116" s="16" t="s">
        <v>83</v>
      </c>
      <c r="I116" s="19">
        <v>160000</v>
      </c>
      <c r="J116" s="19">
        <v>100000</v>
      </c>
      <c r="K116" s="7">
        <f t="shared" si="5"/>
        <v>260000</v>
      </c>
      <c r="L116" s="113">
        <f t="shared" si="9"/>
        <v>36088000</v>
      </c>
      <c r="M116" s="8"/>
      <c r="N116" s="101"/>
      <c r="O116" s="104"/>
      <c r="P116" s="20"/>
      <c r="Q116" s="163">
        <f t="shared" si="6"/>
        <v>22208000</v>
      </c>
      <c r="R116" s="163">
        <f t="shared" si="7"/>
        <v>13880000.000000002</v>
      </c>
    </row>
    <row r="117" spans="1:18" s="21" customFormat="1" ht="144" customHeight="1">
      <c r="A117" s="33"/>
      <c r="B117" s="45" t="s">
        <v>38</v>
      </c>
      <c r="C117" s="16"/>
      <c r="D117" s="34"/>
      <c r="E117" s="19"/>
      <c r="F117" s="19"/>
      <c r="G117" s="19"/>
      <c r="H117" s="16"/>
      <c r="I117" s="19">
        <v>0</v>
      </c>
      <c r="J117" s="19">
        <v>0</v>
      </c>
      <c r="K117" s="7">
        <f t="shared" si="5"/>
        <v>0</v>
      </c>
      <c r="L117" s="113">
        <f t="shared" si="9"/>
        <v>0</v>
      </c>
      <c r="M117" s="8"/>
      <c r="N117" s="101"/>
      <c r="O117" s="104"/>
      <c r="P117" s="20"/>
      <c r="Q117" s="163">
        <f t="shared" si="6"/>
        <v>0</v>
      </c>
      <c r="R117" s="163">
        <f t="shared" si="7"/>
        <v>0</v>
      </c>
    </row>
    <row r="118" spans="1:18" s="21" customFormat="1" ht="84" customHeight="1">
      <c r="A118" s="33">
        <v>98</v>
      </c>
      <c r="B118" s="17" t="s">
        <v>23</v>
      </c>
      <c r="C118" s="16" t="s">
        <v>60</v>
      </c>
      <c r="D118" s="34">
        <v>1.4177999999999999</v>
      </c>
      <c r="E118" s="19"/>
      <c r="F118" s="19"/>
      <c r="G118" s="19"/>
      <c r="H118" s="16"/>
      <c r="I118" s="19">
        <v>2250000</v>
      </c>
      <c r="J118" s="19">
        <v>1700000</v>
      </c>
      <c r="K118" s="7">
        <f t="shared" si="5"/>
        <v>3950000</v>
      </c>
      <c r="L118" s="113">
        <f t="shared" si="9"/>
        <v>5600310</v>
      </c>
      <c r="M118" s="8"/>
      <c r="N118" s="101"/>
      <c r="O118" s="104"/>
      <c r="P118" s="20"/>
      <c r="Q118" s="163">
        <f t="shared" si="6"/>
        <v>3190050</v>
      </c>
      <c r="R118" s="163">
        <f t="shared" si="7"/>
        <v>2410260</v>
      </c>
    </row>
    <row r="119" spans="1:18" s="21" customFormat="1" ht="99" customHeight="1">
      <c r="A119" s="33">
        <v>99</v>
      </c>
      <c r="B119" s="17" t="s">
        <v>44</v>
      </c>
      <c r="C119" s="16" t="s">
        <v>60</v>
      </c>
      <c r="D119" s="34">
        <v>0.6</v>
      </c>
      <c r="E119" s="19"/>
      <c r="F119" s="19"/>
      <c r="G119" s="19"/>
      <c r="H119" s="16"/>
      <c r="I119" s="19">
        <v>2250000</v>
      </c>
      <c r="J119" s="19">
        <v>1700000</v>
      </c>
      <c r="K119" s="7">
        <f t="shared" si="5"/>
        <v>3950000</v>
      </c>
      <c r="L119" s="113">
        <f t="shared" si="9"/>
        <v>2370000</v>
      </c>
      <c r="M119" s="8"/>
      <c r="N119" s="101"/>
      <c r="O119" s="104"/>
      <c r="P119" s="20"/>
      <c r="Q119" s="163">
        <f t="shared" si="6"/>
        <v>1350000</v>
      </c>
      <c r="R119" s="163">
        <f t="shared" si="7"/>
        <v>1020000</v>
      </c>
    </row>
    <row r="120" spans="1:18" s="21" customFormat="1" ht="69.75" customHeight="1">
      <c r="A120" s="33">
        <v>100</v>
      </c>
      <c r="B120" s="17" t="s">
        <v>11</v>
      </c>
      <c r="C120" s="16" t="s">
        <v>60</v>
      </c>
      <c r="D120" s="34">
        <v>0.52800000000000002</v>
      </c>
      <c r="E120" s="19"/>
      <c r="F120" s="19"/>
      <c r="G120" s="19"/>
      <c r="H120" s="16"/>
      <c r="I120" s="19">
        <v>2250000</v>
      </c>
      <c r="J120" s="19">
        <v>1700000</v>
      </c>
      <c r="K120" s="7">
        <f t="shared" si="5"/>
        <v>3950000</v>
      </c>
      <c r="L120" s="113">
        <f t="shared" si="9"/>
        <v>2085600</v>
      </c>
      <c r="M120" s="8"/>
      <c r="N120" s="101"/>
      <c r="O120" s="104"/>
      <c r="P120" s="20"/>
      <c r="Q120" s="163">
        <f t="shared" si="6"/>
        <v>1188000</v>
      </c>
      <c r="R120" s="163">
        <f t="shared" si="7"/>
        <v>897600</v>
      </c>
    </row>
    <row r="121" spans="1:18" s="21" customFormat="1" ht="67.5" customHeight="1">
      <c r="A121" s="33">
        <v>101</v>
      </c>
      <c r="B121" s="17" t="s">
        <v>465</v>
      </c>
      <c r="C121" s="16" t="s">
        <v>60</v>
      </c>
      <c r="D121" s="34">
        <v>7.72</v>
      </c>
      <c r="E121" s="19"/>
      <c r="F121" s="19"/>
      <c r="G121" s="19"/>
      <c r="H121" s="16"/>
      <c r="I121" s="19">
        <v>2250000</v>
      </c>
      <c r="J121" s="19">
        <v>1700000</v>
      </c>
      <c r="K121" s="7">
        <f t="shared" si="5"/>
        <v>3950000</v>
      </c>
      <c r="L121" s="113">
        <f t="shared" si="9"/>
        <v>30494000</v>
      </c>
      <c r="M121" s="8"/>
      <c r="N121" s="101"/>
      <c r="O121" s="104"/>
      <c r="P121" s="20"/>
      <c r="Q121" s="163">
        <f t="shared" si="6"/>
        <v>17370000</v>
      </c>
      <c r="R121" s="163">
        <f t="shared" si="7"/>
        <v>13124000</v>
      </c>
    </row>
    <row r="122" spans="1:18" s="21" customFormat="1" ht="107.25" customHeight="1">
      <c r="A122" s="33">
        <v>102</v>
      </c>
      <c r="B122" s="17" t="s">
        <v>466</v>
      </c>
      <c r="C122" s="16" t="s">
        <v>60</v>
      </c>
      <c r="D122" s="34">
        <v>12.9885</v>
      </c>
      <c r="E122" s="19"/>
      <c r="F122" s="19"/>
      <c r="G122" s="19"/>
      <c r="H122" s="16"/>
      <c r="I122" s="19">
        <v>2250000</v>
      </c>
      <c r="J122" s="19">
        <v>1700000</v>
      </c>
      <c r="K122" s="7">
        <f t="shared" si="5"/>
        <v>3950000</v>
      </c>
      <c r="L122" s="113">
        <f t="shared" si="9"/>
        <v>51304575</v>
      </c>
      <c r="M122" s="8"/>
      <c r="N122" s="101"/>
      <c r="O122" s="104"/>
      <c r="P122" s="20"/>
      <c r="Q122" s="163">
        <f t="shared" si="6"/>
        <v>29224125</v>
      </c>
      <c r="R122" s="163">
        <f t="shared" si="7"/>
        <v>22080450</v>
      </c>
    </row>
    <row r="123" spans="1:18" s="21" customFormat="1" ht="119.25" customHeight="1">
      <c r="A123" s="33">
        <v>103</v>
      </c>
      <c r="B123" s="17" t="s">
        <v>467</v>
      </c>
      <c r="C123" s="16" t="s">
        <v>60</v>
      </c>
      <c r="D123" s="34">
        <v>2.7749999999999999</v>
      </c>
      <c r="E123" s="19"/>
      <c r="F123" s="19"/>
      <c r="G123" s="19"/>
      <c r="H123" s="16"/>
      <c r="I123" s="19">
        <v>2250000</v>
      </c>
      <c r="J123" s="19">
        <v>1700000</v>
      </c>
      <c r="K123" s="7">
        <f t="shared" si="5"/>
        <v>3950000</v>
      </c>
      <c r="L123" s="113">
        <f t="shared" si="9"/>
        <v>10961250</v>
      </c>
      <c r="M123" s="8"/>
      <c r="N123" s="101"/>
      <c r="O123" s="104"/>
      <c r="P123" s="20"/>
      <c r="Q123" s="163">
        <f t="shared" si="6"/>
        <v>6243750</v>
      </c>
      <c r="R123" s="163">
        <f t="shared" si="7"/>
        <v>4717500</v>
      </c>
    </row>
    <row r="124" spans="1:18" s="21" customFormat="1" ht="199.5" customHeight="1">
      <c r="A124" s="33">
        <v>104</v>
      </c>
      <c r="B124" s="17" t="s">
        <v>47</v>
      </c>
      <c r="C124" s="16" t="s">
        <v>55</v>
      </c>
      <c r="D124" s="34">
        <v>14</v>
      </c>
      <c r="E124" s="19"/>
      <c r="F124" s="19"/>
      <c r="G124" s="19"/>
      <c r="H124" s="16"/>
      <c r="I124" s="19">
        <v>3200000</v>
      </c>
      <c r="J124" s="19">
        <v>800000</v>
      </c>
      <c r="K124" s="7">
        <f t="shared" si="5"/>
        <v>4000000</v>
      </c>
      <c r="L124" s="113">
        <f t="shared" si="9"/>
        <v>56000000</v>
      </c>
      <c r="M124" s="8"/>
      <c r="N124" s="101"/>
      <c r="O124" s="104"/>
      <c r="P124" s="20"/>
      <c r="Q124" s="163">
        <f t="shared" si="6"/>
        <v>44800000</v>
      </c>
      <c r="R124" s="163">
        <f t="shared" si="7"/>
        <v>11200000</v>
      </c>
    </row>
    <row r="125" spans="1:18" s="47" customFormat="1" ht="45" customHeight="1">
      <c r="A125" s="10" t="s">
        <v>98</v>
      </c>
      <c r="B125" s="11" t="s">
        <v>99</v>
      </c>
      <c r="C125" s="11"/>
      <c r="D125" s="23"/>
      <c r="E125" s="11"/>
      <c r="F125" s="11"/>
      <c r="G125" s="11"/>
      <c r="H125" s="11"/>
      <c r="I125" s="13"/>
      <c r="J125" s="14"/>
      <c r="K125" s="14"/>
      <c r="L125" s="14"/>
      <c r="M125" s="14"/>
      <c r="N125" s="99"/>
      <c r="O125" s="100"/>
      <c r="P125" s="15"/>
      <c r="Q125" s="163">
        <f t="shared" si="6"/>
        <v>0</v>
      </c>
      <c r="R125" s="163">
        <f t="shared" si="7"/>
        <v>0</v>
      </c>
    </row>
    <row r="126" spans="1:18" s="49" customFormat="1" ht="39.9" customHeight="1">
      <c r="A126" s="42" t="s">
        <v>90</v>
      </c>
      <c r="B126" s="48" t="s">
        <v>468</v>
      </c>
      <c r="C126" s="26"/>
      <c r="D126" s="27"/>
      <c r="E126" s="28"/>
      <c r="F126" s="28"/>
      <c r="G126" s="28"/>
      <c r="H126" s="28"/>
      <c r="I126" s="29"/>
      <c r="J126" s="30"/>
      <c r="K126" s="30"/>
      <c r="L126" s="30"/>
      <c r="M126" s="30"/>
      <c r="N126" s="105"/>
      <c r="O126" s="106"/>
      <c r="P126" s="31"/>
      <c r="Q126" s="163">
        <f t="shared" si="6"/>
        <v>0</v>
      </c>
      <c r="R126" s="163">
        <f t="shared" si="7"/>
        <v>0</v>
      </c>
    </row>
    <row r="127" spans="1:18" s="59" customFormat="1" ht="39.9" customHeight="1">
      <c r="A127" s="50"/>
      <c r="B127" s="51" t="s">
        <v>100</v>
      </c>
      <c r="C127" s="52"/>
      <c r="D127" s="53"/>
      <c r="E127" s="54"/>
      <c r="F127" s="55"/>
      <c r="G127" s="52"/>
      <c r="H127" s="56"/>
      <c r="I127" s="57"/>
      <c r="J127" s="58"/>
      <c r="K127" s="58"/>
      <c r="L127" s="58"/>
      <c r="M127" s="58"/>
      <c r="N127" s="108"/>
      <c r="O127" s="109"/>
      <c r="Q127" s="163">
        <f t="shared" si="6"/>
        <v>0</v>
      </c>
      <c r="R127" s="163">
        <f t="shared" si="7"/>
        <v>0</v>
      </c>
    </row>
    <row r="128" spans="1:18" s="21" customFormat="1" ht="35.1" customHeight="1">
      <c r="A128" s="60">
        <v>1</v>
      </c>
      <c r="B128" s="61" t="s">
        <v>101</v>
      </c>
      <c r="C128" s="62" t="s">
        <v>102</v>
      </c>
      <c r="D128" s="34">
        <v>1</v>
      </c>
      <c r="E128" s="19" t="s">
        <v>103</v>
      </c>
      <c r="F128" s="63" t="s">
        <v>104</v>
      </c>
      <c r="G128" s="60" t="s">
        <v>105</v>
      </c>
      <c r="H128" s="19"/>
      <c r="I128" s="19">
        <v>1350000</v>
      </c>
      <c r="J128" s="19">
        <v>330000</v>
      </c>
      <c r="K128" s="7">
        <f t="shared" si="5"/>
        <v>1680000</v>
      </c>
      <c r="L128" s="113">
        <f t="shared" ref="L128:L145" si="10">K128*D128</f>
        <v>1680000</v>
      </c>
      <c r="M128" s="8"/>
      <c r="N128" s="101"/>
      <c r="O128" s="104"/>
      <c r="P128" s="20"/>
      <c r="Q128" s="163">
        <f t="shared" si="6"/>
        <v>1350000</v>
      </c>
      <c r="R128" s="163">
        <f t="shared" si="7"/>
        <v>330000</v>
      </c>
    </row>
    <row r="129" spans="1:18" s="21" customFormat="1" ht="50.1" customHeight="1">
      <c r="A129" s="60">
        <v>2</v>
      </c>
      <c r="B129" s="61" t="s">
        <v>106</v>
      </c>
      <c r="C129" s="62" t="s">
        <v>102</v>
      </c>
      <c r="D129" s="34">
        <v>3</v>
      </c>
      <c r="E129" s="19" t="s">
        <v>107</v>
      </c>
      <c r="F129" s="63" t="s">
        <v>108</v>
      </c>
      <c r="G129" s="60" t="s">
        <v>109</v>
      </c>
      <c r="H129" s="19"/>
      <c r="I129" s="19">
        <v>135000</v>
      </c>
      <c r="J129" s="19">
        <v>38000</v>
      </c>
      <c r="K129" s="7">
        <f t="shared" si="5"/>
        <v>173000</v>
      </c>
      <c r="L129" s="113">
        <f t="shared" si="10"/>
        <v>519000</v>
      </c>
      <c r="M129" s="8"/>
      <c r="N129" s="101"/>
      <c r="O129" s="104"/>
      <c r="P129" s="20"/>
      <c r="Q129" s="163">
        <f t="shared" si="6"/>
        <v>405000</v>
      </c>
      <c r="R129" s="163">
        <f t="shared" si="7"/>
        <v>114000</v>
      </c>
    </row>
    <row r="130" spans="1:18" s="21" customFormat="1" ht="50.1" customHeight="1">
      <c r="A130" s="60">
        <v>3</v>
      </c>
      <c r="B130" s="61" t="s">
        <v>110</v>
      </c>
      <c r="C130" s="62" t="s">
        <v>102</v>
      </c>
      <c r="D130" s="34">
        <v>6</v>
      </c>
      <c r="E130" s="19" t="s">
        <v>111</v>
      </c>
      <c r="F130" s="63" t="s">
        <v>112</v>
      </c>
      <c r="G130" s="60" t="s">
        <v>113</v>
      </c>
      <c r="H130" s="19"/>
      <c r="I130" s="19">
        <v>82000</v>
      </c>
      <c r="J130" s="19">
        <v>33000</v>
      </c>
      <c r="K130" s="7">
        <f t="shared" si="5"/>
        <v>115000</v>
      </c>
      <c r="L130" s="113">
        <f t="shared" si="10"/>
        <v>690000</v>
      </c>
      <c r="M130" s="8"/>
      <c r="N130" s="101"/>
      <c r="O130" s="104"/>
      <c r="P130" s="20"/>
      <c r="Q130" s="163">
        <f t="shared" si="6"/>
        <v>492000</v>
      </c>
      <c r="R130" s="163">
        <f t="shared" si="7"/>
        <v>198000</v>
      </c>
    </row>
    <row r="131" spans="1:18" s="21" customFormat="1" ht="50.1" customHeight="1">
      <c r="A131" s="60">
        <v>4</v>
      </c>
      <c r="B131" s="61" t="s">
        <v>114</v>
      </c>
      <c r="C131" s="62" t="s">
        <v>102</v>
      </c>
      <c r="D131" s="34">
        <v>4</v>
      </c>
      <c r="E131" s="19" t="s">
        <v>115</v>
      </c>
      <c r="F131" s="63" t="s">
        <v>116</v>
      </c>
      <c r="G131" s="60" t="s">
        <v>117</v>
      </c>
      <c r="H131" s="19"/>
      <c r="I131" s="19">
        <v>0</v>
      </c>
      <c r="J131" s="19">
        <v>150000</v>
      </c>
      <c r="K131" s="7">
        <f t="shared" si="5"/>
        <v>150000</v>
      </c>
      <c r="L131" s="113">
        <f t="shared" si="10"/>
        <v>600000</v>
      </c>
      <c r="M131" s="8"/>
      <c r="N131" s="101"/>
      <c r="O131" s="104"/>
      <c r="P131" s="20"/>
      <c r="Q131" s="163">
        <f t="shared" si="6"/>
        <v>0</v>
      </c>
      <c r="R131" s="163">
        <f t="shared" si="7"/>
        <v>600000</v>
      </c>
    </row>
    <row r="132" spans="1:18" s="21" customFormat="1" ht="35.1" customHeight="1">
      <c r="A132" s="60">
        <v>5</v>
      </c>
      <c r="B132" s="61" t="s">
        <v>118</v>
      </c>
      <c r="C132" s="62" t="s">
        <v>102</v>
      </c>
      <c r="D132" s="34">
        <v>4</v>
      </c>
      <c r="E132" s="19" t="s">
        <v>119</v>
      </c>
      <c r="F132" s="63" t="s">
        <v>120</v>
      </c>
      <c r="G132" s="60" t="s">
        <v>105</v>
      </c>
      <c r="H132" s="64"/>
      <c r="I132" s="19">
        <v>920000</v>
      </c>
      <c r="J132" s="19">
        <v>300000</v>
      </c>
      <c r="K132" s="7">
        <f t="shared" si="5"/>
        <v>1220000</v>
      </c>
      <c r="L132" s="113">
        <f t="shared" si="10"/>
        <v>4880000</v>
      </c>
      <c r="M132" s="8"/>
      <c r="N132" s="101"/>
      <c r="O132" s="104"/>
      <c r="P132" s="20"/>
      <c r="Q132" s="163">
        <f t="shared" si="6"/>
        <v>3680000</v>
      </c>
      <c r="R132" s="163">
        <f t="shared" si="7"/>
        <v>1200000</v>
      </c>
    </row>
    <row r="133" spans="1:18" s="21" customFormat="1" ht="35.1" customHeight="1">
      <c r="A133" s="60">
        <v>6</v>
      </c>
      <c r="B133" s="61" t="s">
        <v>121</v>
      </c>
      <c r="C133" s="62" t="s">
        <v>102</v>
      </c>
      <c r="D133" s="34">
        <v>3</v>
      </c>
      <c r="E133" s="19" t="s">
        <v>122</v>
      </c>
      <c r="F133" s="63" t="s">
        <v>120</v>
      </c>
      <c r="G133" s="60" t="s">
        <v>105</v>
      </c>
      <c r="H133" s="64"/>
      <c r="I133" s="19">
        <v>590000</v>
      </c>
      <c r="J133" s="19">
        <v>90000</v>
      </c>
      <c r="K133" s="7">
        <f t="shared" si="5"/>
        <v>680000</v>
      </c>
      <c r="L133" s="113">
        <f t="shared" si="10"/>
        <v>2040000</v>
      </c>
      <c r="M133" s="8"/>
      <c r="N133" s="101"/>
      <c r="O133" s="104"/>
      <c r="P133" s="20"/>
      <c r="Q133" s="163">
        <f t="shared" si="6"/>
        <v>1770000</v>
      </c>
      <c r="R133" s="163">
        <f t="shared" si="7"/>
        <v>270000</v>
      </c>
    </row>
    <row r="134" spans="1:18" s="21" customFormat="1" ht="35.1" customHeight="1">
      <c r="A134" s="60">
        <v>7</v>
      </c>
      <c r="B134" s="61" t="s">
        <v>123</v>
      </c>
      <c r="C134" s="62" t="s">
        <v>102</v>
      </c>
      <c r="D134" s="34">
        <v>1</v>
      </c>
      <c r="E134" s="19" t="s">
        <v>103</v>
      </c>
      <c r="F134" s="63" t="s">
        <v>104</v>
      </c>
      <c r="G134" s="60" t="s">
        <v>105</v>
      </c>
      <c r="H134" s="63"/>
      <c r="I134" s="19">
        <v>1650000</v>
      </c>
      <c r="J134" s="19">
        <v>500000</v>
      </c>
      <c r="K134" s="7">
        <f t="shared" si="5"/>
        <v>2150000</v>
      </c>
      <c r="L134" s="113">
        <f t="shared" si="10"/>
        <v>2150000</v>
      </c>
      <c r="M134" s="8"/>
      <c r="N134" s="101"/>
      <c r="O134" s="104"/>
      <c r="P134" s="20"/>
      <c r="Q134" s="163">
        <f t="shared" si="6"/>
        <v>1650000</v>
      </c>
      <c r="R134" s="163">
        <f t="shared" si="7"/>
        <v>500000</v>
      </c>
    </row>
    <row r="135" spans="1:18" s="21" customFormat="1" ht="35.1" customHeight="1">
      <c r="A135" s="60">
        <v>8</v>
      </c>
      <c r="B135" s="61" t="s">
        <v>124</v>
      </c>
      <c r="C135" s="62" t="s">
        <v>125</v>
      </c>
      <c r="D135" s="34">
        <v>1</v>
      </c>
      <c r="E135" s="19" t="s">
        <v>126</v>
      </c>
      <c r="F135" s="63" t="s">
        <v>127</v>
      </c>
      <c r="G135" s="60" t="s">
        <v>117</v>
      </c>
      <c r="H135" s="63"/>
      <c r="I135" s="19">
        <v>1300000</v>
      </c>
      <c r="J135" s="19">
        <v>120000</v>
      </c>
      <c r="K135" s="7">
        <f t="shared" si="5"/>
        <v>1420000</v>
      </c>
      <c r="L135" s="113">
        <f t="shared" si="10"/>
        <v>1420000</v>
      </c>
      <c r="M135" s="8"/>
      <c r="N135" s="101"/>
      <c r="O135" s="104"/>
      <c r="P135" s="20"/>
      <c r="Q135" s="163">
        <f t="shared" si="6"/>
        <v>1300000</v>
      </c>
      <c r="R135" s="163">
        <f t="shared" si="7"/>
        <v>120000</v>
      </c>
    </row>
    <row r="136" spans="1:18" s="21" customFormat="1" ht="52.5" customHeight="1">
      <c r="A136" s="60">
        <v>9</v>
      </c>
      <c r="B136" s="61" t="s">
        <v>128</v>
      </c>
      <c r="C136" s="62" t="s">
        <v>125</v>
      </c>
      <c r="D136" s="34">
        <v>1</v>
      </c>
      <c r="E136" s="19" t="s">
        <v>129</v>
      </c>
      <c r="F136" s="63" t="s">
        <v>130</v>
      </c>
      <c r="G136" s="60" t="s">
        <v>131</v>
      </c>
      <c r="H136" s="64"/>
      <c r="I136" s="19">
        <v>1100000</v>
      </c>
      <c r="J136" s="19">
        <v>250000</v>
      </c>
      <c r="K136" s="7">
        <f t="shared" ref="K136:K199" si="11">I136+J136</f>
        <v>1350000</v>
      </c>
      <c r="L136" s="113">
        <f t="shared" si="10"/>
        <v>1350000</v>
      </c>
      <c r="M136" s="8"/>
      <c r="N136" s="101"/>
      <c r="O136" s="104"/>
      <c r="P136" s="20"/>
      <c r="Q136" s="163">
        <f t="shared" ref="Q136:Q199" si="12">$D136*I136</f>
        <v>1100000</v>
      </c>
      <c r="R136" s="163">
        <f t="shared" ref="R136:R199" si="13">$D136*J136</f>
        <v>250000</v>
      </c>
    </row>
    <row r="137" spans="1:18" s="21" customFormat="1" ht="48.75" customHeight="1">
      <c r="A137" s="60">
        <v>10</v>
      </c>
      <c r="B137" s="61" t="s">
        <v>132</v>
      </c>
      <c r="C137" s="62" t="s">
        <v>125</v>
      </c>
      <c r="D137" s="34">
        <v>1</v>
      </c>
      <c r="E137" s="19" t="s">
        <v>133</v>
      </c>
      <c r="F137" s="63" t="s">
        <v>130</v>
      </c>
      <c r="G137" s="60" t="s">
        <v>131</v>
      </c>
      <c r="H137" s="64"/>
      <c r="I137" s="19">
        <v>2150000</v>
      </c>
      <c r="J137" s="19">
        <v>250000</v>
      </c>
      <c r="K137" s="7">
        <f t="shared" si="11"/>
        <v>2400000</v>
      </c>
      <c r="L137" s="113">
        <f t="shared" si="10"/>
        <v>2400000</v>
      </c>
      <c r="M137" s="8"/>
      <c r="N137" s="101"/>
      <c r="O137" s="104"/>
      <c r="P137" s="20"/>
      <c r="Q137" s="163">
        <f t="shared" si="12"/>
        <v>2150000</v>
      </c>
      <c r="R137" s="163">
        <f t="shared" si="13"/>
        <v>250000</v>
      </c>
    </row>
    <row r="138" spans="1:18" s="21" customFormat="1" ht="44.25" customHeight="1">
      <c r="A138" s="60">
        <v>11</v>
      </c>
      <c r="B138" s="61" t="s">
        <v>134</v>
      </c>
      <c r="C138" s="62" t="s">
        <v>125</v>
      </c>
      <c r="D138" s="34">
        <v>1</v>
      </c>
      <c r="E138" s="19" t="s">
        <v>135</v>
      </c>
      <c r="F138" s="63" t="s">
        <v>130</v>
      </c>
      <c r="G138" s="60" t="s">
        <v>131</v>
      </c>
      <c r="H138" s="64"/>
      <c r="I138" s="19">
        <v>2569000</v>
      </c>
      <c r="J138" s="19">
        <v>250000</v>
      </c>
      <c r="K138" s="7">
        <f t="shared" si="11"/>
        <v>2819000</v>
      </c>
      <c r="L138" s="113">
        <f t="shared" si="10"/>
        <v>2819000</v>
      </c>
      <c r="M138" s="8"/>
      <c r="N138" s="101"/>
      <c r="O138" s="104"/>
      <c r="P138" s="20"/>
      <c r="Q138" s="163">
        <f t="shared" si="12"/>
        <v>2569000</v>
      </c>
      <c r="R138" s="163">
        <f t="shared" si="13"/>
        <v>250000</v>
      </c>
    </row>
    <row r="139" spans="1:18" s="21" customFormat="1" ht="35.1" customHeight="1">
      <c r="A139" s="60">
        <v>12</v>
      </c>
      <c r="B139" s="61" t="s">
        <v>136</v>
      </c>
      <c r="C139" s="62" t="s">
        <v>102</v>
      </c>
      <c r="D139" s="34">
        <v>2</v>
      </c>
      <c r="E139" s="19" t="s">
        <v>103</v>
      </c>
      <c r="F139" s="63" t="s">
        <v>104</v>
      </c>
      <c r="G139" s="60" t="s">
        <v>105</v>
      </c>
      <c r="H139" s="64"/>
      <c r="I139" s="19">
        <v>1350000</v>
      </c>
      <c r="J139" s="19">
        <v>250000</v>
      </c>
      <c r="K139" s="7">
        <f t="shared" si="11"/>
        <v>1600000</v>
      </c>
      <c r="L139" s="113">
        <f t="shared" si="10"/>
        <v>3200000</v>
      </c>
      <c r="M139" s="8"/>
      <c r="N139" s="101"/>
      <c r="O139" s="104"/>
      <c r="P139" s="20"/>
      <c r="Q139" s="163">
        <f t="shared" si="12"/>
        <v>2700000</v>
      </c>
      <c r="R139" s="163">
        <f t="shared" si="13"/>
        <v>500000</v>
      </c>
    </row>
    <row r="140" spans="1:18" s="49" customFormat="1" ht="35.1" customHeight="1">
      <c r="A140" s="60">
        <v>13</v>
      </c>
      <c r="B140" s="61" t="s">
        <v>137</v>
      </c>
      <c r="C140" s="62" t="s">
        <v>102</v>
      </c>
      <c r="D140" s="34">
        <v>4</v>
      </c>
      <c r="E140" s="19" t="s">
        <v>138</v>
      </c>
      <c r="F140" s="63" t="s">
        <v>104</v>
      </c>
      <c r="G140" s="60" t="s">
        <v>105</v>
      </c>
      <c r="H140" s="64"/>
      <c r="I140" s="19">
        <v>850000</v>
      </c>
      <c r="J140" s="19">
        <v>250000</v>
      </c>
      <c r="K140" s="7">
        <f t="shared" si="11"/>
        <v>1100000</v>
      </c>
      <c r="L140" s="113">
        <f t="shared" si="10"/>
        <v>4400000</v>
      </c>
      <c r="M140" s="8"/>
      <c r="N140" s="101"/>
      <c r="O140" s="104"/>
      <c r="P140" s="20"/>
      <c r="Q140" s="163">
        <f t="shared" si="12"/>
        <v>3400000</v>
      </c>
      <c r="R140" s="163">
        <f t="shared" si="13"/>
        <v>1000000</v>
      </c>
    </row>
    <row r="141" spans="1:18" s="66" customFormat="1" ht="35.1" customHeight="1">
      <c r="A141" s="60">
        <v>14</v>
      </c>
      <c r="B141" s="61" t="s">
        <v>139</v>
      </c>
      <c r="C141" s="62" t="s">
        <v>102</v>
      </c>
      <c r="D141" s="34">
        <v>3</v>
      </c>
      <c r="E141" s="19" t="s">
        <v>140</v>
      </c>
      <c r="F141" s="63" t="s">
        <v>104</v>
      </c>
      <c r="G141" s="60" t="s">
        <v>105</v>
      </c>
      <c r="H141" s="64"/>
      <c r="I141" s="19">
        <v>100120</v>
      </c>
      <c r="J141" s="19">
        <v>25000</v>
      </c>
      <c r="K141" s="7">
        <f t="shared" si="11"/>
        <v>125120</v>
      </c>
      <c r="L141" s="113">
        <f t="shared" si="10"/>
        <v>375360</v>
      </c>
      <c r="M141" s="8"/>
      <c r="N141" s="101"/>
      <c r="O141" s="104"/>
      <c r="P141" s="65"/>
      <c r="Q141" s="163">
        <f t="shared" si="12"/>
        <v>300360</v>
      </c>
      <c r="R141" s="163">
        <f t="shared" si="13"/>
        <v>75000</v>
      </c>
    </row>
    <row r="142" spans="1:18" s="21" customFormat="1" ht="35.1" customHeight="1">
      <c r="A142" s="60">
        <v>15</v>
      </c>
      <c r="B142" s="61" t="s">
        <v>141</v>
      </c>
      <c r="C142" s="62" t="s">
        <v>102</v>
      </c>
      <c r="D142" s="34">
        <v>2</v>
      </c>
      <c r="E142" s="19" t="s">
        <v>142</v>
      </c>
      <c r="F142" s="63" t="s">
        <v>104</v>
      </c>
      <c r="G142" s="60" t="s">
        <v>105</v>
      </c>
      <c r="H142" s="64"/>
      <c r="I142" s="19">
        <v>88000</v>
      </c>
      <c r="J142" s="19">
        <v>21000</v>
      </c>
      <c r="K142" s="7">
        <f t="shared" si="11"/>
        <v>109000</v>
      </c>
      <c r="L142" s="113">
        <f t="shared" si="10"/>
        <v>218000</v>
      </c>
      <c r="M142" s="8"/>
      <c r="N142" s="101"/>
      <c r="O142" s="104"/>
      <c r="P142" s="20"/>
      <c r="Q142" s="163">
        <f t="shared" si="12"/>
        <v>176000</v>
      </c>
      <c r="R142" s="163">
        <f t="shared" si="13"/>
        <v>42000</v>
      </c>
    </row>
    <row r="143" spans="1:18" s="21" customFormat="1" ht="35.1" customHeight="1">
      <c r="A143" s="60">
        <v>16</v>
      </c>
      <c r="B143" s="61" t="s">
        <v>143</v>
      </c>
      <c r="C143" s="62" t="s">
        <v>102</v>
      </c>
      <c r="D143" s="34">
        <v>1</v>
      </c>
      <c r="E143" s="19" t="s">
        <v>144</v>
      </c>
      <c r="F143" s="63" t="s">
        <v>104</v>
      </c>
      <c r="G143" s="60" t="s">
        <v>105</v>
      </c>
      <c r="H143" s="64"/>
      <c r="I143" s="19">
        <v>88000</v>
      </c>
      <c r="J143" s="19">
        <v>21000</v>
      </c>
      <c r="K143" s="7">
        <f t="shared" si="11"/>
        <v>109000</v>
      </c>
      <c r="L143" s="113">
        <f t="shared" si="10"/>
        <v>109000</v>
      </c>
      <c r="M143" s="8"/>
      <c r="N143" s="101"/>
      <c r="O143" s="104"/>
      <c r="P143" s="20"/>
      <c r="Q143" s="163">
        <f t="shared" si="12"/>
        <v>88000</v>
      </c>
      <c r="R143" s="163">
        <f t="shared" si="13"/>
        <v>21000</v>
      </c>
    </row>
    <row r="144" spans="1:18" s="21" customFormat="1" ht="35.1" customHeight="1">
      <c r="A144" s="60">
        <v>17</v>
      </c>
      <c r="B144" s="61" t="s">
        <v>334</v>
      </c>
      <c r="C144" s="62" t="s">
        <v>102</v>
      </c>
      <c r="D144" s="34">
        <v>1</v>
      </c>
      <c r="E144" s="19" t="s">
        <v>333</v>
      </c>
      <c r="F144" s="63" t="s">
        <v>104</v>
      </c>
      <c r="G144" s="60" t="s">
        <v>105</v>
      </c>
      <c r="H144" s="64"/>
      <c r="I144" s="19">
        <v>2100000</v>
      </c>
      <c r="J144" s="19">
        <v>0</v>
      </c>
      <c r="K144" s="7">
        <f t="shared" si="11"/>
        <v>2100000</v>
      </c>
      <c r="L144" s="113">
        <f t="shared" si="10"/>
        <v>2100000</v>
      </c>
      <c r="M144" s="8"/>
      <c r="N144" s="101"/>
      <c r="O144" s="104"/>
      <c r="P144" s="20"/>
      <c r="Q144" s="163">
        <f t="shared" si="12"/>
        <v>2100000</v>
      </c>
      <c r="R144" s="163">
        <f t="shared" si="13"/>
        <v>0</v>
      </c>
    </row>
    <row r="145" spans="1:18" s="21" customFormat="1" ht="54.75" customHeight="1">
      <c r="A145" s="60">
        <v>18</v>
      </c>
      <c r="B145" s="61" t="s">
        <v>145</v>
      </c>
      <c r="C145" s="62" t="s">
        <v>146</v>
      </c>
      <c r="D145" s="34">
        <v>1</v>
      </c>
      <c r="E145" s="19"/>
      <c r="F145" s="63"/>
      <c r="G145" s="60" t="s">
        <v>113</v>
      </c>
      <c r="H145" s="63"/>
      <c r="I145" s="19">
        <v>5000000</v>
      </c>
      <c r="J145" s="19">
        <v>1000000</v>
      </c>
      <c r="K145" s="7">
        <f t="shared" si="11"/>
        <v>6000000</v>
      </c>
      <c r="L145" s="113">
        <f t="shared" si="10"/>
        <v>6000000</v>
      </c>
      <c r="M145" s="8"/>
      <c r="N145" s="101"/>
      <c r="O145" s="104"/>
      <c r="P145" s="20"/>
      <c r="Q145" s="163">
        <f t="shared" si="12"/>
        <v>5000000</v>
      </c>
      <c r="R145" s="163">
        <f t="shared" si="13"/>
        <v>1000000</v>
      </c>
    </row>
    <row r="146" spans="1:18" s="59" customFormat="1" ht="39.9" customHeight="1">
      <c r="A146" s="50"/>
      <c r="B146" s="51" t="s">
        <v>147</v>
      </c>
      <c r="C146" s="52"/>
      <c r="D146" s="53"/>
      <c r="E146" s="54"/>
      <c r="F146" s="55"/>
      <c r="G146" s="52"/>
      <c r="H146" s="56"/>
      <c r="I146" s="56"/>
      <c r="J146" s="56"/>
      <c r="K146" s="56"/>
      <c r="L146" s="56"/>
      <c r="M146" s="58"/>
      <c r="N146" s="108"/>
      <c r="O146" s="109"/>
      <c r="Q146" s="163">
        <f t="shared" si="12"/>
        <v>0</v>
      </c>
      <c r="R146" s="163">
        <f t="shared" si="13"/>
        <v>0</v>
      </c>
    </row>
    <row r="147" spans="1:18" s="20" customFormat="1" ht="35.1" customHeight="1">
      <c r="A147" s="60">
        <v>1</v>
      </c>
      <c r="B147" s="67" t="s">
        <v>148</v>
      </c>
      <c r="C147" s="60" t="s">
        <v>55</v>
      </c>
      <c r="D147" s="34">
        <v>1</v>
      </c>
      <c r="E147" s="19"/>
      <c r="F147" s="63" t="s">
        <v>173</v>
      </c>
      <c r="G147" s="63" t="s">
        <v>113</v>
      </c>
      <c r="H147" s="16" t="s">
        <v>82</v>
      </c>
      <c r="I147" s="19">
        <v>235000</v>
      </c>
      <c r="J147" s="19">
        <v>100000</v>
      </c>
      <c r="K147" s="7">
        <f t="shared" si="11"/>
        <v>335000</v>
      </c>
      <c r="L147" s="113">
        <f>K147*D147</f>
        <v>335000</v>
      </c>
      <c r="M147" s="9"/>
      <c r="N147" s="101"/>
      <c r="O147" s="110"/>
      <c r="Q147" s="163">
        <f t="shared" si="12"/>
        <v>235000</v>
      </c>
      <c r="R147" s="163">
        <f t="shared" si="13"/>
        <v>100000</v>
      </c>
    </row>
    <row r="148" spans="1:18" s="20" customFormat="1" ht="35.1" customHeight="1">
      <c r="A148" s="60">
        <v>2</v>
      </c>
      <c r="B148" s="67" t="s">
        <v>150</v>
      </c>
      <c r="C148" s="60" t="s">
        <v>56</v>
      </c>
      <c r="D148" s="34">
        <v>11.520000000000001</v>
      </c>
      <c r="E148" s="19"/>
      <c r="F148" s="63" t="s">
        <v>81</v>
      </c>
      <c r="G148" s="63" t="s">
        <v>113</v>
      </c>
      <c r="H148" s="16" t="s">
        <v>83</v>
      </c>
      <c r="I148" s="19">
        <v>6000</v>
      </c>
      <c r="J148" s="19">
        <v>4000</v>
      </c>
      <c r="K148" s="7">
        <f t="shared" si="11"/>
        <v>10000</v>
      </c>
      <c r="L148" s="113">
        <f>K148*D148</f>
        <v>115200.00000000001</v>
      </c>
      <c r="M148" s="9"/>
      <c r="N148" s="101"/>
      <c r="O148" s="110"/>
      <c r="Q148" s="163">
        <f t="shared" si="12"/>
        <v>69120.000000000015</v>
      </c>
      <c r="R148" s="163">
        <f t="shared" si="13"/>
        <v>46080.000000000007</v>
      </c>
    </row>
    <row r="149" spans="1:18" s="20" customFormat="1" ht="35.1" customHeight="1">
      <c r="A149" s="60">
        <v>3</v>
      </c>
      <c r="B149" s="67" t="s">
        <v>151</v>
      </c>
      <c r="C149" s="60" t="s">
        <v>56</v>
      </c>
      <c r="D149" s="34">
        <v>82.8</v>
      </c>
      <c r="E149" s="19"/>
      <c r="F149" s="63" t="s">
        <v>81</v>
      </c>
      <c r="G149" s="63" t="s">
        <v>113</v>
      </c>
      <c r="H149" s="16" t="s">
        <v>83</v>
      </c>
      <c r="I149" s="19">
        <v>22570</v>
      </c>
      <c r="J149" s="19">
        <v>7500</v>
      </c>
      <c r="K149" s="7">
        <f t="shared" si="11"/>
        <v>30070</v>
      </c>
      <c r="L149" s="113">
        <f>K149*D149</f>
        <v>2489796</v>
      </c>
      <c r="M149" s="9"/>
      <c r="N149" s="101"/>
      <c r="O149" s="110"/>
      <c r="Q149" s="163">
        <f t="shared" si="12"/>
        <v>1868796</v>
      </c>
      <c r="R149" s="163">
        <f t="shared" si="13"/>
        <v>621000</v>
      </c>
    </row>
    <row r="150" spans="1:18" s="20" customFormat="1" ht="35.1" customHeight="1">
      <c r="A150" s="60">
        <v>4</v>
      </c>
      <c r="B150" s="67" t="s">
        <v>152</v>
      </c>
      <c r="C150" s="60" t="s">
        <v>56</v>
      </c>
      <c r="D150" s="34">
        <v>282.95999999999998</v>
      </c>
      <c r="E150" s="19"/>
      <c r="F150" s="19" t="s">
        <v>469</v>
      </c>
      <c r="G150" s="63" t="s">
        <v>113</v>
      </c>
      <c r="H150" s="16" t="s">
        <v>82</v>
      </c>
      <c r="I150" s="19">
        <v>25200</v>
      </c>
      <c r="J150" s="19">
        <v>10000</v>
      </c>
      <c r="K150" s="7">
        <f t="shared" si="11"/>
        <v>35200</v>
      </c>
      <c r="L150" s="113">
        <f>K150*D150</f>
        <v>9960192</v>
      </c>
      <c r="M150" s="9"/>
      <c r="N150" s="101"/>
      <c r="O150" s="110"/>
      <c r="Q150" s="163">
        <f t="shared" si="12"/>
        <v>7130591.9999999991</v>
      </c>
      <c r="R150" s="163">
        <f t="shared" si="13"/>
        <v>2829600</v>
      </c>
    </row>
    <row r="151" spans="1:18" s="59" customFormat="1" ht="39.9" customHeight="1">
      <c r="A151" s="50"/>
      <c r="B151" s="51" t="s">
        <v>153</v>
      </c>
      <c r="C151" s="52"/>
      <c r="D151" s="53"/>
      <c r="E151" s="54"/>
      <c r="F151" s="55"/>
      <c r="G151" s="52"/>
      <c r="H151" s="56"/>
      <c r="I151" s="56"/>
      <c r="J151" s="56"/>
      <c r="K151" s="56"/>
      <c r="L151" s="56"/>
      <c r="M151" s="58"/>
      <c r="N151" s="108"/>
      <c r="O151" s="109"/>
      <c r="Q151" s="163">
        <f t="shared" si="12"/>
        <v>0</v>
      </c>
      <c r="R151" s="163">
        <f t="shared" si="13"/>
        <v>0</v>
      </c>
    </row>
    <row r="152" spans="1:18" s="20" customFormat="1" ht="35.1" customHeight="1">
      <c r="A152" s="60">
        <v>1</v>
      </c>
      <c r="B152" s="68" t="s">
        <v>154</v>
      </c>
      <c r="C152" s="62" t="s">
        <v>56</v>
      </c>
      <c r="D152" s="34">
        <v>82</v>
      </c>
      <c r="E152" s="69"/>
      <c r="F152" s="63" t="s">
        <v>81</v>
      </c>
      <c r="G152" s="63" t="s">
        <v>113</v>
      </c>
      <c r="H152" s="16" t="s">
        <v>83</v>
      </c>
      <c r="I152" s="19">
        <v>25000</v>
      </c>
      <c r="J152" s="19">
        <v>15000</v>
      </c>
      <c r="K152" s="7">
        <f t="shared" si="11"/>
        <v>40000</v>
      </c>
      <c r="L152" s="113">
        <f t="shared" ref="L152:L164" si="14">K152*D152</f>
        <v>3280000</v>
      </c>
      <c r="M152" s="9"/>
      <c r="N152" s="101"/>
      <c r="O152" s="110"/>
      <c r="Q152" s="163">
        <f t="shared" si="12"/>
        <v>2050000</v>
      </c>
      <c r="R152" s="163">
        <f t="shared" si="13"/>
        <v>1230000</v>
      </c>
    </row>
    <row r="153" spans="1:18" s="20" customFormat="1" ht="35.1" customHeight="1">
      <c r="A153" s="60">
        <v>2</v>
      </c>
      <c r="B153" s="17" t="s">
        <v>374</v>
      </c>
      <c r="C153" s="62" t="s">
        <v>56</v>
      </c>
      <c r="D153" s="34">
        <v>30</v>
      </c>
      <c r="E153" s="69"/>
      <c r="F153" s="63" t="s">
        <v>373</v>
      </c>
      <c r="G153" s="63" t="s">
        <v>113</v>
      </c>
      <c r="H153" s="70"/>
      <c r="I153" s="19">
        <v>30000</v>
      </c>
      <c r="J153" s="19">
        <v>15000</v>
      </c>
      <c r="K153" s="7">
        <f t="shared" si="11"/>
        <v>45000</v>
      </c>
      <c r="L153" s="113">
        <f t="shared" si="14"/>
        <v>1350000</v>
      </c>
      <c r="M153" s="9"/>
      <c r="N153" s="101"/>
      <c r="O153" s="110"/>
      <c r="Q153" s="163">
        <f t="shared" si="12"/>
        <v>900000</v>
      </c>
      <c r="R153" s="163">
        <f t="shared" si="13"/>
        <v>450000</v>
      </c>
    </row>
    <row r="154" spans="1:18" s="49" customFormat="1" ht="35.1" customHeight="1">
      <c r="A154" s="60">
        <v>3</v>
      </c>
      <c r="B154" s="68" t="s">
        <v>155</v>
      </c>
      <c r="C154" s="62" t="s">
        <v>56</v>
      </c>
      <c r="D154" s="34">
        <v>20</v>
      </c>
      <c r="E154" s="19"/>
      <c r="F154" s="19" t="s">
        <v>469</v>
      </c>
      <c r="G154" s="60" t="s">
        <v>113</v>
      </c>
      <c r="H154" s="16" t="s">
        <v>82</v>
      </c>
      <c r="I154" s="19">
        <v>22000</v>
      </c>
      <c r="J154" s="19">
        <v>15000</v>
      </c>
      <c r="K154" s="7">
        <f t="shared" si="11"/>
        <v>37000</v>
      </c>
      <c r="L154" s="113">
        <f t="shared" si="14"/>
        <v>740000</v>
      </c>
      <c r="M154" s="9"/>
      <c r="N154" s="101"/>
      <c r="O154" s="110"/>
      <c r="P154" s="20"/>
      <c r="Q154" s="163">
        <f t="shared" si="12"/>
        <v>440000</v>
      </c>
      <c r="R154" s="163">
        <f t="shared" si="13"/>
        <v>300000</v>
      </c>
    </row>
    <row r="155" spans="1:18" s="66" customFormat="1" ht="35.1" customHeight="1">
      <c r="A155" s="60">
        <v>4</v>
      </c>
      <c r="B155" s="68" t="s">
        <v>156</v>
      </c>
      <c r="C155" s="62" t="s">
        <v>56</v>
      </c>
      <c r="D155" s="34">
        <v>62</v>
      </c>
      <c r="E155" s="19"/>
      <c r="F155" s="19" t="s">
        <v>469</v>
      </c>
      <c r="G155" s="60" t="s">
        <v>113</v>
      </c>
      <c r="H155" s="16" t="s">
        <v>82</v>
      </c>
      <c r="I155" s="19">
        <v>35000</v>
      </c>
      <c r="J155" s="19">
        <v>15000</v>
      </c>
      <c r="K155" s="7">
        <f t="shared" si="11"/>
        <v>50000</v>
      </c>
      <c r="L155" s="113">
        <f t="shared" si="14"/>
        <v>3100000</v>
      </c>
      <c r="M155" s="9"/>
      <c r="N155" s="101"/>
      <c r="O155" s="110"/>
      <c r="P155" s="65"/>
      <c r="Q155" s="163">
        <f t="shared" si="12"/>
        <v>2170000</v>
      </c>
      <c r="R155" s="163">
        <f t="shared" si="13"/>
        <v>930000</v>
      </c>
    </row>
    <row r="156" spans="1:18" s="21" customFormat="1" ht="35.1" customHeight="1">
      <c r="A156" s="60">
        <v>5</v>
      </c>
      <c r="B156" s="68" t="s">
        <v>157</v>
      </c>
      <c r="C156" s="62" t="s">
        <v>56</v>
      </c>
      <c r="D156" s="34">
        <v>30</v>
      </c>
      <c r="E156" s="19"/>
      <c r="F156" s="19" t="s">
        <v>469</v>
      </c>
      <c r="G156" s="60" t="s">
        <v>113</v>
      </c>
      <c r="H156" s="16" t="s">
        <v>82</v>
      </c>
      <c r="I156" s="19">
        <v>50120</v>
      </c>
      <c r="J156" s="19">
        <v>15000</v>
      </c>
      <c r="K156" s="7">
        <f t="shared" si="11"/>
        <v>65120</v>
      </c>
      <c r="L156" s="113">
        <f t="shared" si="14"/>
        <v>1953600</v>
      </c>
      <c r="M156" s="8"/>
      <c r="N156" s="101"/>
      <c r="O156" s="104"/>
      <c r="P156" s="20"/>
      <c r="Q156" s="163">
        <f t="shared" si="12"/>
        <v>1503600</v>
      </c>
      <c r="R156" s="163">
        <f t="shared" si="13"/>
        <v>450000</v>
      </c>
    </row>
    <row r="157" spans="1:18" s="21" customFormat="1" ht="35.1" customHeight="1">
      <c r="A157" s="60">
        <v>6</v>
      </c>
      <c r="B157" s="68" t="s">
        <v>158</v>
      </c>
      <c r="C157" s="62" t="s">
        <v>56</v>
      </c>
      <c r="D157" s="34">
        <v>41</v>
      </c>
      <c r="E157" s="19"/>
      <c r="F157" s="19" t="s">
        <v>469</v>
      </c>
      <c r="G157" s="60" t="s">
        <v>113</v>
      </c>
      <c r="H157" s="16" t="s">
        <v>82</v>
      </c>
      <c r="I157" s="19">
        <v>31500</v>
      </c>
      <c r="J157" s="19">
        <v>25000</v>
      </c>
      <c r="K157" s="7">
        <f t="shared" si="11"/>
        <v>56500</v>
      </c>
      <c r="L157" s="113">
        <f t="shared" si="14"/>
        <v>2316500</v>
      </c>
      <c r="M157" s="8"/>
      <c r="N157" s="101"/>
      <c r="O157" s="104"/>
      <c r="P157" s="20"/>
      <c r="Q157" s="163">
        <f t="shared" si="12"/>
        <v>1291500</v>
      </c>
      <c r="R157" s="163">
        <f t="shared" si="13"/>
        <v>1025000</v>
      </c>
    </row>
    <row r="158" spans="1:18" s="21" customFormat="1" ht="35.1" customHeight="1">
      <c r="A158" s="60">
        <v>7</v>
      </c>
      <c r="B158" s="68" t="s">
        <v>159</v>
      </c>
      <c r="C158" s="62" t="s">
        <v>56</v>
      </c>
      <c r="D158" s="34">
        <v>245</v>
      </c>
      <c r="E158" s="19"/>
      <c r="F158" s="19" t="s">
        <v>469</v>
      </c>
      <c r="G158" s="60" t="s">
        <v>113</v>
      </c>
      <c r="H158" s="16" t="s">
        <v>82</v>
      </c>
      <c r="I158" s="19">
        <v>180000</v>
      </c>
      <c r="J158" s="19">
        <v>32000</v>
      </c>
      <c r="K158" s="7">
        <f t="shared" si="11"/>
        <v>212000</v>
      </c>
      <c r="L158" s="113">
        <f t="shared" si="14"/>
        <v>51940000</v>
      </c>
      <c r="M158" s="8"/>
      <c r="N158" s="101"/>
      <c r="O158" s="104"/>
      <c r="P158" s="20"/>
      <c r="Q158" s="163">
        <f t="shared" si="12"/>
        <v>44100000</v>
      </c>
      <c r="R158" s="163">
        <f t="shared" si="13"/>
        <v>7840000</v>
      </c>
    </row>
    <row r="159" spans="1:18" s="21" customFormat="1" ht="35.1" customHeight="1">
      <c r="A159" s="60">
        <v>8</v>
      </c>
      <c r="B159" s="68" t="s">
        <v>160</v>
      </c>
      <c r="C159" s="62" t="s">
        <v>56</v>
      </c>
      <c r="D159" s="34">
        <v>137</v>
      </c>
      <c r="E159" s="19"/>
      <c r="F159" s="19" t="s">
        <v>469</v>
      </c>
      <c r="G159" s="60" t="s">
        <v>113</v>
      </c>
      <c r="H159" s="16" t="s">
        <v>82</v>
      </c>
      <c r="I159" s="19">
        <v>450000</v>
      </c>
      <c r="J159" s="19">
        <v>32000</v>
      </c>
      <c r="K159" s="7">
        <f t="shared" si="11"/>
        <v>482000</v>
      </c>
      <c r="L159" s="113">
        <f t="shared" si="14"/>
        <v>66034000</v>
      </c>
      <c r="M159" s="8"/>
      <c r="N159" s="101"/>
      <c r="O159" s="104"/>
      <c r="P159" s="20"/>
      <c r="Q159" s="163">
        <f t="shared" si="12"/>
        <v>61650000</v>
      </c>
      <c r="R159" s="163">
        <f t="shared" si="13"/>
        <v>4384000</v>
      </c>
    </row>
    <row r="160" spans="1:18" s="20" customFormat="1" ht="35.1" customHeight="1">
      <c r="A160" s="60">
        <v>9</v>
      </c>
      <c r="B160" s="67" t="s">
        <v>161</v>
      </c>
      <c r="C160" s="60" t="s">
        <v>162</v>
      </c>
      <c r="D160" s="34">
        <v>2</v>
      </c>
      <c r="E160" s="69"/>
      <c r="F160" s="63"/>
      <c r="G160" s="60" t="s">
        <v>113</v>
      </c>
      <c r="H160" s="70" t="s">
        <v>377</v>
      </c>
      <c r="I160" s="19">
        <v>350000</v>
      </c>
      <c r="J160" s="19">
        <v>100000</v>
      </c>
      <c r="K160" s="7">
        <f t="shared" si="11"/>
        <v>450000</v>
      </c>
      <c r="L160" s="113">
        <f t="shared" si="14"/>
        <v>900000</v>
      </c>
      <c r="M160" s="9"/>
      <c r="N160" s="101"/>
      <c r="O160" s="110"/>
      <c r="Q160" s="163">
        <f t="shared" si="12"/>
        <v>700000</v>
      </c>
      <c r="R160" s="163">
        <f t="shared" si="13"/>
        <v>200000</v>
      </c>
    </row>
    <row r="161" spans="1:18" s="20" customFormat="1" ht="35.1" customHeight="1">
      <c r="A161" s="60">
        <v>10</v>
      </c>
      <c r="B161" s="67" t="s">
        <v>163</v>
      </c>
      <c r="C161" s="60" t="s">
        <v>164</v>
      </c>
      <c r="D161" s="34">
        <v>2</v>
      </c>
      <c r="E161" s="69"/>
      <c r="F161" s="63" t="s">
        <v>375</v>
      </c>
      <c r="G161" s="60" t="s">
        <v>376</v>
      </c>
      <c r="H161" s="70"/>
      <c r="I161" s="19">
        <v>605000</v>
      </c>
      <c r="J161" s="19">
        <v>145000</v>
      </c>
      <c r="K161" s="7">
        <f t="shared" si="11"/>
        <v>750000</v>
      </c>
      <c r="L161" s="113">
        <f t="shared" si="14"/>
        <v>1500000</v>
      </c>
      <c r="M161" s="9"/>
      <c r="N161" s="101"/>
      <c r="O161" s="110"/>
      <c r="Q161" s="163">
        <f t="shared" si="12"/>
        <v>1210000</v>
      </c>
      <c r="R161" s="163">
        <f t="shared" si="13"/>
        <v>290000</v>
      </c>
    </row>
    <row r="162" spans="1:18" s="21" customFormat="1" ht="35.1" customHeight="1">
      <c r="A162" s="60">
        <v>11</v>
      </c>
      <c r="B162" s="67" t="s">
        <v>165</v>
      </c>
      <c r="C162" s="60" t="s">
        <v>55</v>
      </c>
      <c r="D162" s="34">
        <v>2</v>
      </c>
      <c r="E162" s="69"/>
      <c r="F162" s="63"/>
      <c r="G162" s="60" t="s">
        <v>113</v>
      </c>
      <c r="H162" s="70"/>
      <c r="I162" s="19">
        <v>0</v>
      </c>
      <c r="J162" s="19">
        <v>5000000</v>
      </c>
      <c r="K162" s="7">
        <f t="shared" si="11"/>
        <v>5000000</v>
      </c>
      <c r="L162" s="113">
        <f t="shared" si="14"/>
        <v>10000000</v>
      </c>
      <c r="M162" s="8"/>
      <c r="N162" s="101"/>
      <c r="O162" s="104"/>
      <c r="P162" s="20"/>
      <c r="Q162" s="163">
        <f t="shared" si="12"/>
        <v>0</v>
      </c>
      <c r="R162" s="163">
        <f t="shared" si="13"/>
        <v>10000000</v>
      </c>
    </row>
    <row r="163" spans="1:18" s="21" customFormat="1" ht="35.1" customHeight="1">
      <c r="A163" s="60">
        <v>12</v>
      </c>
      <c r="B163" s="67" t="s">
        <v>166</v>
      </c>
      <c r="C163" s="60" t="s">
        <v>56</v>
      </c>
      <c r="D163" s="34">
        <v>60</v>
      </c>
      <c r="E163" s="19"/>
      <c r="F163" s="19" t="s">
        <v>469</v>
      </c>
      <c r="G163" s="60" t="s">
        <v>113</v>
      </c>
      <c r="H163" s="16" t="s">
        <v>82</v>
      </c>
      <c r="I163" s="19">
        <v>355000</v>
      </c>
      <c r="J163" s="19">
        <v>45000</v>
      </c>
      <c r="K163" s="7">
        <f t="shared" si="11"/>
        <v>400000</v>
      </c>
      <c r="L163" s="113">
        <f t="shared" si="14"/>
        <v>24000000</v>
      </c>
      <c r="M163" s="8"/>
      <c r="N163" s="101"/>
      <c r="O163" s="104"/>
      <c r="P163" s="20"/>
      <c r="Q163" s="163">
        <f t="shared" si="12"/>
        <v>21300000</v>
      </c>
      <c r="R163" s="163">
        <f t="shared" si="13"/>
        <v>2700000</v>
      </c>
    </row>
    <row r="164" spans="1:18" s="21" customFormat="1" ht="48.75" customHeight="1">
      <c r="A164" s="60">
        <v>13</v>
      </c>
      <c r="B164" s="68" t="s">
        <v>470</v>
      </c>
      <c r="C164" s="62" t="s">
        <v>167</v>
      </c>
      <c r="D164" s="34">
        <v>1</v>
      </c>
      <c r="E164" s="69"/>
      <c r="F164" s="63"/>
      <c r="G164" s="60" t="s">
        <v>113</v>
      </c>
      <c r="H164" s="16" t="s">
        <v>82</v>
      </c>
      <c r="I164" s="19">
        <v>4000000</v>
      </c>
      <c r="J164" s="19">
        <v>1000000</v>
      </c>
      <c r="K164" s="7">
        <f t="shared" si="11"/>
        <v>5000000</v>
      </c>
      <c r="L164" s="113">
        <f t="shared" si="14"/>
        <v>5000000</v>
      </c>
      <c r="M164" s="8"/>
      <c r="N164" s="101"/>
      <c r="O164" s="104"/>
      <c r="P164" s="20"/>
      <c r="Q164" s="163">
        <f t="shared" si="12"/>
        <v>4000000</v>
      </c>
      <c r="R164" s="163">
        <f t="shared" si="13"/>
        <v>1000000</v>
      </c>
    </row>
    <row r="165" spans="1:18" s="59" customFormat="1" ht="39.9" customHeight="1">
      <c r="A165" s="50"/>
      <c r="B165" s="51" t="s">
        <v>168</v>
      </c>
      <c r="C165" s="52"/>
      <c r="D165" s="53"/>
      <c r="E165" s="54"/>
      <c r="F165" s="55"/>
      <c r="G165" s="52"/>
      <c r="H165" s="56"/>
      <c r="I165" s="56"/>
      <c r="J165" s="56"/>
      <c r="K165" s="56"/>
      <c r="L165" s="56"/>
      <c r="M165" s="58"/>
      <c r="N165" s="108"/>
      <c r="O165" s="109"/>
      <c r="Q165" s="163">
        <f t="shared" si="12"/>
        <v>0</v>
      </c>
      <c r="R165" s="163">
        <f t="shared" si="13"/>
        <v>0</v>
      </c>
    </row>
    <row r="166" spans="1:18" s="21" customFormat="1" ht="35.1" customHeight="1">
      <c r="A166" s="60">
        <v>1</v>
      </c>
      <c r="B166" s="71" t="s">
        <v>169</v>
      </c>
      <c r="C166" s="60" t="s">
        <v>56</v>
      </c>
      <c r="D166" s="34">
        <v>300</v>
      </c>
      <c r="E166" s="72"/>
      <c r="F166" s="19" t="s">
        <v>170</v>
      </c>
      <c r="G166" s="60" t="s">
        <v>376</v>
      </c>
      <c r="H166" s="63"/>
      <c r="I166" s="19">
        <v>16900</v>
      </c>
      <c r="J166" s="19">
        <v>10000</v>
      </c>
      <c r="K166" s="7">
        <f t="shared" si="11"/>
        <v>26900</v>
      </c>
      <c r="L166" s="113">
        <f>K166*D166</f>
        <v>8070000</v>
      </c>
      <c r="M166" s="8"/>
      <c r="N166" s="101"/>
      <c r="O166" s="104"/>
      <c r="P166" s="20"/>
      <c r="Q166" s="163">
        <f t="shared" si="12"/>
        <v>5070000</v>
      </c>
      <c r="R166" s="163">
        <f t="shared" si="13"/>
        <v>3000000</v>
      </c>
    </row>
    <row r="167" spans="1:18" s="21" customFormat="1" ht="35.1" customHeight="1">
      <c r="A167" s="60">
        <v>2</v>
      </c>
      <c r="B167" s="67" t="s">
        <v>171</v>
      </c>
      <c r="C167" s="60" t="s">
        <v>102</v>
      </c>
      <c r="D167" s="34">
        <v>9</v>
      </c>
      <c r="E167" s="19" t="s">
        <v>172</v>
      </c>
      <c r="F167" s="63" t="s">
        <v>173</v>
      </c>
      <c r="G167" s="60" t="s">
        <v>113</v>
      </c>
      <c r="H167" s="16" t="s">
        <v>82</v>
      </c>
      <c r="I167" s="19">
        <v>157300</v>
      </c>
      <c r="J167" s="19">
        <v>120000</v>
      </c>
      <c r="K167" s="7">
        <f t="shared" si="11"/>
        <v>277300</v>
      </c>
      <c r="L167" s="113">
        <f>K167*D167</f>
        <v>2495700</v>
      </c>
      <c r="M167" s="8"/>
      <c r="N167" s="101"/>
      <c r="O167" s="104"/>
      <c r="P167" s="20"/>
      <c r="Q167" s="163">
        <f t="shared" si="12"/>
        <v>1415700</v>
      </c>
      <c r="R167" s="163">
        <f t="shared" si="13"/>
        <v>1080000</v>
      </c>
    </row>
    <row r="168" spans="1:18" s="66" customFormat="1" ht="35.1" customHeight="1">
      <c r="A168" s="60">
        <v>3</v>
      </c>
      <c r="B168" s="67" t="s">
        <v>151</v>
      </c>
      <c r="C168" s="60" t="s">
        <v>56</v>
      </c>
      <c r="D168" s="34">
        <v>245</v>
      </c>
      <c r="E168" s="19"/>
      <c r="F168" s="19" t="s">
        <v>81</v>
      </c>
      <c r="G168" s="60" t="s">
        <v>113</v>
      </c>
      <c r="H168" s="16" t="s">
        <v>83</v>
      </c>
      <c r="I168" s="19">
        <v>22570</v>
      </c>
      <c r="J168" s="19">
        <v>7500</v>
      </c>
      <c r="K168" s="7">
        <f t="shared" si="11"/>
        <v>30070</v>
      </c>
      <c r="L168" s="113">
        <f>K168*D168</f>
        <v>7367150</v>
      </c>
      <c r="M168" s="8"/>
      <c r="N168" s="101"/>
      <c r="O168" s="104"/>
      <c r="P168" s="65"/>
      <c r="Q168" s="163">
        <f t="shared" si="12"/>
        <v>5529650</v>
      </c>
      <c r="R168" s="163">
        <f t="shared" si="13"/>
        <v>1837500</v>
      </c>
    </row>
    <row r="169" spans="1:18" s="32" customFormat="1" ht="39.9" customHeight="1">
      <c r="A169" s="73" t="s">
        <v>94</v>
      </c>
      <c r="B169" s="74" t="s">
        <v>471</v>
      </c>
      <c r="C169" s="73"/>
      <c r="D169" s="27"/>
      <c r="E169" s="28"/>
      <c r="F169" s="75"/>
      <c r="G169" s="76"/>
      <c r="H169" s="75"/>
      <c r="I169" s="75"/>
      <c r="J169" s="75"/>
      <c r="K169" s="75"/>
      <c r="L169" s="75"/>
      <c r="M169" s="30"/>
      <c r="N169" s="105"/>
      <c r="O169" s="106"/>
      <c r="P169" s="31"/>
      <c r="Q169" s="163">
        <f t="shared" si="12"/>
        <v>0</v>
      </c>
      <c r="R169" s="163">
        <f t="shared" si="13"/>
        <v>0</v>
      </c>
    </row>
    <row r="170" spans="1:18" s="59" customFormat="1" ht="39.9" customHeight="1">
      <c r="A170" s="50"/>
      <c r="B170" s="51" t="s">
        <v>174</v>
      </c>
      <c r="C170" s="52"/>
      <c r="D170" s="53"/>
      <c r="E170" s="54"/>
      <c r="F170" s="55"/>
      <c r="G170" s="52"/>
      <c r="H170" s="56"/>
      <c r="I170" s="56"/>
      <c r="J170" s="56"/>
      <c r="K170" s="56"/>
      <c r="L170" s="56"/>
      <c r="M170" s="58"/>
      <c r="N170" s="108"/>
      <c r="O170" s="109"/>
      <c r="Q170" s="163">
        <f t="shared" si="12"/>
        <v>0</v>
      </c>
      <c r="R170" s="163">
        <f t="shared" si="13"/>
        <v>0</v>
      </c>
    </row>
    <row r="171" spans="1:18" s="21" customFormat="1" ht="35.1" customHeight="1">
      <c r="A171" s="77"/>
      <c r="B171" s="78" t="s">
        <v>175</v>
      </c>
      <c r="C171" s="60" t="s">
        <v>176</v>
      </c>
      <c r="D171" s="34"/>
      <c r="E171" s="19"/>
      <c r="F171" s="63"/>
      <c r="G171" s="60"/>
      <c r="H171" s="22"/>
      <c r="I171" s="22"/>
      <c r="J171" s="22"/>
      <c r="K171" s="22"/>
      <c r="L171" s="22"/>
      <c r="M171" s="8"/>
      <c r="N171" s="101"/>
      <c r="O171" s="104"/>
      <c r="P171" s="20"/>
      <c r="Q171" s="163">
        <f t="shared" si="12"/>
        <v>0</v>
      </c>
      <c r="R171" s="163">
        <f t="shared" si="13"/>
        <v>0</v>
      </c>
    </row>
    <row r="172" spans="1:18" s="21" customFormat="1" ht="50.1" customHeight="1">
      <c r="A172" s="60">
        <v>1</v>
      </c>
      <c r="B172" s="71" t="s">
        <v>177</v>
      </c>
      <c r="C172" s="60" t="s">
        <v>102</v>
      </c>
      <c r="D172" s="34">
        <v>1</v>
      </c>
      <c r="E172" s="19" t="s">
        <v>178</v>
      </c>
      <c r="F172" s="63" t="s">
        <v>104</v>
      </c>
      <c r="G172" s="19" t="s">
        <v>105</v>
      </c>
      <c r="H172" s="79"/>
      <c r="I172" s="19">
        <v>1150000</v>
      </c>
      <c r="J172" s="19">
        <v>330000</v>
      </c>
      <c r="K172" s="7">
        <f t="shared" si="11"/>
        <v>1480000</v>
      </c>
      <c r="L172" s="113">
        <f t="shared" ref="L172:L183" si="15">K172*D172</f>
        <v>1480000</v>
      </c>
      <c r="M172" s="8"/>
      <c r="N172" s="101"/>
      <c r="O172" s="104"/>
      <c r="P172" s="20"/>
      <c r="Q172" s="163">
        <f t="shared" si="12"/>
        <v>1150000</v>
      </c>
      <c r="R172" s="163">
        <f t="shared" si="13"/>
        <v>330000</v>
      </c>
    </row>
    <row r="173" spans="1:18" s="21" customFormat="1" ht="50.1" customHeight="1">
      <c r="A173" s="60">
        <v>2</v>
      </c>
      <c r="B173" s="71" t="s">
        <v>106</v>
      </c>
      <c r="C173" s="60" t="s">
        <v>102</v>
      </c>
      <c r="D173" s="34">
        <v>1</v>
      </c>
      <c r="E173" s="19" t="s">
        <v>107</v>
      </c>
      <c r="F173" s="63" t="s">
        <v>108</v>
      </c>
      <c r="G173" s="19" t="s">
        <v>109</v>
      </c>
      <c r="H173" s="63"/>
      <c r="I173" s="19">
        <v>135000</v>
      </c>
      <c r="J173" s="19">
        <v>38000</v>
      </c>
      <c r="K173" s="7">
        <f t="shared" si="11"/>
        <v>173000</v>
      </c>
      <c r="L173" s="113">
        <f t="shared" si="15"/>
        <v>173000</v>
      </c>
      <c r="M173" s="8"/>
      <c r="N173" s="101"/>
      <c r="O173" s="104"/>
      <c r="P173" s="20"/>
      <c r="Q173" s="163">
        <f t="shared" si="12"/>
        <v>135000</v>
      </c>
      <c r="R173" s="163">
        <f t="shared" si="13"/>
        <v>38000</v>
      </c>
    </row>
    <row r="174" spans="1:18" s="21" customFormat="1" ht="50.1" customHeight="1">
      <c r="A174" s="60">
        <v>3</v>
      </c>
      <c r="B174" s="71" t="s">
        <v>110</v>
      </c>
      <c r="C174" s="60" t="s">
        <v>102</v>
      </c>
      <c r="D174" s="34">
        <v>6</v>
      </c>
      <c r="E174" s="19" t="s">
        <v>179</v>
      </c>
      <c r="F174" s="63" t="s">
        <v>112</v>
      </c>
      <c r="G174" s="19" t="s">
        <v>113</v>
      </c>
      <c r="H174" s="63"/>
      <c r="I174" s="19">
        <v>82000</v>
      </c>
      <c r="J174" s="19">
        <v>33000</v>
      </c>
      <c r="K174" s="7">
        <f t="shared" si="11"/>
        <v>115000</v>
      </c>
      <c r="L174" s="113">
        <f t="shared" si="15"/>
        <v>690000</v>
      </c>
      <c r="M174" s="8"/>
      <c r="N174" s="101"/>
      <c r="O174" s="104"/>
      <c r="P174" s="20"/>
      <c r="Q174" s="163">
        <f t="shared" si="12"/>
        <v>492000</v>
      </c>
      <c r="R174" s="163">
        <f t="shared" si="13"/>
        <v>198000</v>
      </c>
    </row>
    <row r="175" spans="1:18" s="66" customFormat="1" ht="35.1" customHeight="1">
      <c r="A175" s="60">
        <v>4</v>
      </c>
      <c r="B175" s="71" t="s">
        <v>180</v>
      </c>
      <c r="C175" s="60" t="s">
        <v>102</v>
      </c>
      <c r="D175" s="34">
        <v>1</v>
      </c>
      <c r="E175" s="19" t="s">
        <v>122</v>
      </c>
      <c r="F175" s="63" t="s">
        <v>120</v>
      </c>
      <c r="G175" s="19" t="s">
        <v>181</v>
      </c>
      <c r="H175" s="63"/>
      <c r="I175" s="19">
        <v>498000</v>
      </c>
      <c r="J175" s="19">
        <v>90000</v>
      </c>
      <c r="K175" s="7">
        <f t="shared" si="11"/>
        <v>588000</v>
      </c>
      <c r="L175" s="113">
        <f t="shared" si="15"/>
        <v>588000</v>
      </c>
      <c r="M175" s="8"/>
      <c r="N175" s="101"/>
      <c r="O175" s="104"/>
      <c r="P175" s="65"/>
      <c r="Q175" s="163">
        <f t="shared" si="12"/>
        <v>498000</v>
      </c>
      <c r="R175" s="163">
        <f t="shared" si="13"/>
        <v>90000</v>
      </c>
    </row>
    <row r="176" spans="1:18" s="21" customFormat="1" ht="35.1" customHeight="1">
      <c r="A176" s="60">
        <v>5</v>
      </c>
      <c r="B176" s="71" t="s">
        <v>182</v>
      </c>
      <c r="C176" s="60" t="s">
        <v>125</v>
      </c>
      <c r="D176" s="34">
        <v>1</v>
      </c>
      <c r="E176" s="19" t="s">
        <v>183</v>
      </c>
      <c r="F176" s="63" t="s">
        <v>184</v>
      </c>
      <c r="G176" s="19" t="s">
        <v>185</v>
      </c>
      <c r="H176" s="79"/>
      <c r="I176" s="19">
        <v>625000</v>
      </c>
      <c r="J176" s="19">
        <v>0</v>
      </c>
      <c r="K176" s="7">
        <f t="shared" si="11"/>
        <v>625000</v>
      </c>
      <c r="L176" s="113">
        <f t="shared" si="15"/>
        <v>625000</v>
      </c>
      <c r="M176" s="8"/>
      <c r="N176" s="101"/>
      <c r="O176" s="104"/>
      <c r="P176" s="20"/>
      <c r="Q176" s="163">
        <f t="shared" si="12"/>
        <v>625000</v>
      </c>
      <c r="R176" s="163">
        <f t="shared" si="13"/>
        <v>0</v>
      </c>
    </row>
    <row r="177" spans="1:18" s="21" customFormat="1" ht="35.1" customHeight="1">
      <c r="A177" s="60">
        <v>6</v>
      </c>
      <c r="B177" s="71" t="s">
        <v>186</v>
      </c>
      <c r="C177" s="60" t="s">
        <v>125</v>
      </c>
      <c r="D177" s="34">
        <v>1</v>
      </c>
      <c r="E177" s="19" t="s">
        <v>183</v>
      </c>
      <c r="F177" s="63" t="s">
        <v>184</v>
      </c>
      <c r="G177" s="19" t="s">
        <v>185</v>
      </c>
      <c r="H177" s="79"/>
      <c r="I177" s="19">
        <v>495000</v>
      </c>
      <c r="J177" s="19">
        <v>0</v>
      </c>
      <c r="K177" s="7">
        <f t="shared" si="11"/>
        <v>495000</v>
      </c>
      <c r="L177" s="113">
        <f t="shared" si="15"/>
        <v>495000</v>
      </c>
      <c r="M177" s="8"/>
      <c r="N177" s="101"/>
      <c r="O177" s="104"/>
      <c r="P177" s="20"/>
      <c r="Q177" s="163">
        <f t="shared" si="12"/>
        <v>495000</v>
      </c>
      <c r="R177" s="163">
        <f t="shared" si="13"/>
        <v>0</v>
      </c>
    </row>
    <row r="178" spans="1:18" s="21" customFormat="1" ht="35.1" customHeight="1">
      <c r="A178" s="60">
        <v>7</v>
      </c>
      <c r="B178" s="71" t="s">
        <v>187</v>
      </c>
      <c r="C178" s="60" t="s">
        <v>102</v>
      </c>
      <c r="D178" s="34">
        <v>4</v>
      </c>
      <c r="E178" s="19" t="s">
        <v>188</v>
      </c>
      <c r="F178" s="63" t="s">
        <v>104</v>
      </c>
      <c r="G178" s="19" t="s">
        <v>105</v>
      </c>
      <c r="H178" s="79"/>
      <c r="I178" s="19">
        <v>350000</v>
      </c>
      <c r="J178" s="19">
        <v>30000</v>
      </c>
      <c r="K178" s="7">
        <f t="shared" si="11"/>
        <v>380000</v>
      </c>
      <c r="L178" s="113">
        <f t="shared" si="15"/>
        <v>1520000</v>
      </c>
      <c r="M178" s="8"/>
      <c r="N178" s="101"/>
      <c r="O178" s="104"/>
      <c r="P178" s="20"/>
      <c r="Q178" s="163">
        <f t="shared" si="12"/>
        <v>1400000</v>
      </c>
      <c r="R178" s="163">
        <f t="shared" si="13"/>
        <v>120000</v>
      </c>
    </row>
    <row r="179" spans="1:18" s="21" customFormat="1" ht="35.1" customHeight="1">
      <c r="A179" s="60">
        <v>8</v>
      </c>
      <c r="B179" s="71" t="s">
        <v>189</v>
      </c>
      <c r="C179" s="60" t="s">
        <v>102</v>
      </c>
      <c r="D179" s="34">
        <v>2</v>
      </c>
      <c r="E179" s="19" t="s">
        <v>190</v>
      </c>
      <c r="F179" s="63" t="s">
        <v>104</v>
      </c>
      <c r="G179" s="19" t="s">
        <v>105</v>
      </c>
      <c r="H179" s="80"/>
      <c r="I179" s="19">
        <v>450000</v>
      </c>
      <c r="J179" s="19">
        <v>30000</v>
      </c>
      <c r="K179" s="7">
        <f t="shared" si="11"/>
        <v>480000</v>
      </c>
      <c r="L179" s="113">
        <f t="shared" si="15"/>
        <v>960000</v>
      </c>
      <c r="M179" s="8"/>
      <c r="N179" s="101"/>
      <c r="O179" s="104"/>
      <c r="P179" s="20"/>
      <c r="Q179" s="163">
        <f t="shared" si="12"/>
        <v>900000</v>
      </c>
      <c r="R179" s="163">
        <f t="shared" si="13"/>
        <v>60000</v>
      </c>
    </row>
    <row r="180" spans="1:18" s="21" customFormat="1" ht="35.1" customHeight="1">
      <c r="A180" s="60">
        <v>9</v>
      </c>
      <c r="B180" s="71" t="s">
        <v>191</v>
      </c>
      <c r="C180" s="60" t="s">
        <v>102</v>
      </c>
      <c r="D180" s="34">
        <v>2</v>
      </c>
      <c r="E180" s="19" t="s">
        <v>192</v>
      </c>
      <c r="F180" s="63" t="s">
        <v>104</v>
      </c>
      <c r="G180" s="19" t="s">
        <v>105</v>
      </c>
      <c r="H180" s="63"/>
      <c r="I180" s="19">
        <v>120000</v>
      </c>
      <c r="J180" s="19">
        <v>30000</v>
      </c>
      <c r="K180" s="7">
        <f t="shared" si="11"/>
        <v>150000</v>
      </c>
      <c r="L180" s="113">
        <f t="shared" si="15"/>
        <v>300000</v>
      </c>
      <c r="M180" s="8"/>
      <c r="N180" s="101"/>
      <c r="O180" s="104"/>
      <c r="P180" s="20"/>
      <c r="Q180" s="163">
        <f t="shared" si="12"/>
        <v>240000</v>
      </c>
      <c r="R180" s="163">
        <f t="shared" si="13"/>
        <v>60000</v>
      </c>
    </row>
    <row r="181" spans="1:18" s="21" customFormat="1" ht="35.1" customHeight="1">
      <c r="A181" s="60">
        <v>10</v>
      </c>
      <c r="B181" s="71" t="s">
        <v>193</v>
      </c>
      <c r="C181" s="60" t="s">
        <v>102</v>
      </c>
      <c r="D181" s="34">
        <v>1</v>
      </c>
      <c r="E181" s="19" t="s">
        <v>194</v>
      </c>
      <c r="F181" s="63" t="s">
        <v>104</v>
      </c>
      <c r="G181" s="19" t="s">
        <v>105</v>
      </c>
      <c r="H181" s="63"/>
      <c r="I181" s="19">
        <v>88000</v>
      </c>
      <c r="J181" s="19">
        <v>21000</v>
      </c>
      <c r="K181" s="7">
        <f t="shared" si="11"/>
        <v>109000</v>
      </c>
      <c r="L181" s="113">
        <f t="shared" si="15"/>
        <v>109000</v>
      </c>
      <c r="M181" s="8"/>
      <c r="N181" s="101"/>
      <c r="O181" s="104"/>
      <c r="P181" s="20"/>
      <c r="Q181" s="163">
        <f t="shared" si="12"/>
        <v>88000</v>
      </c>
      <c r="R181" s="163">
        <f t="shared" si="13"/>
        <v>21000</v>
      </c>
    </row>
    <row r="182" spans="1:18" s="21" customFormat="1" ht="35.1" customHeight="1">
      <c r="A182" s="60">
        <v>11</v>
      </c>
      <c r="B182" s="71" t="s">
        <v>195</v>
      </c>
      <c r="C182" s="60" t="s">
        <v>102</v>
      </c>
      <c r="D182" s="34">
        <v>3</v>
      </c>
      <c r="E182" s="19" t="s">
        <v>196</v>
      </c>
      <c r="F182" s="63" t="s">
        <v>104</v>
      </c>
      <c r="G182" s="63" t="s">
        <v>105</v>
      </c>
      <c r="H182" s="63"/>
      <c r="I182" s="19">
        <v>88000</v>
      </c>
      <c r="J182" s="19">
        <v>21000</v>
      </c>
      <c r="K182" s="7">
        <f t="shared" si="11"/>
        <v>109000</v>
      </c>
      <c r="L182" s="113">
        <f t="shared" si="15"/>
        <v>327000</v>
      </c>
      <c r="M182" s="8"/>
      <c r="N182" s="101"/>
      <c r="O182" s="104"/>
      <c r="P182" s="20"/>
      <c r="Q182" s="163">
        <f t="shared" si="12"/>
        <v>264000</v>
      </c>
      <c r="R182" s="163">
        <f t="shared" si="13"/>
        <v>63000</v>
      </c>
    </row>
    <row r="183" spans="1:18" s="21" customFormat="1" ht="54.75" customHeight="1">
      <c r="A183" s="60">
        <v>12</v>
      </c>
      <c r="B183" s="71" t="s">
        <v>197</v>
      </c>
      <c r="C183" s="60" t="s">
        <v>146</v>
      </c>
      <c r="D183" s="34">
        <v>1</v>
      </c>
      <c r="E183" s="19"/>
      <c r="F183" s="63"/>
      <c r="G183" s="60" t="s">
        <v>113</v>
      </c>
      <c r="H183" s="63"/>
      <c r="I183" s="19">
        <v>5000000</v>
      </c>
      <c r="J183" s="19">
        <v>1200000</v>
      </c>
      <c r="K183" s="7">
        <f t="shared" si="11"/>
        <v>6200000</v>
      </c>
      <c r="L183" s="113">
        <f t="shared" si="15"/>
        <v>6200000</v>
      </c>
      <c r="M183" s="8"/>
      <c r="N183" s="101"/>
      <c r="O183" s="104"/>
      <c r="P183" s="20"/>
      <c r="Q183" s="163">
        <f t="shared" si="12"/>
        <v>5000000</v>
      </c>
      <c r="R183" s="163">
        <f t="shared" si="13"/>
        <v>1200000</v>
      </c>
    </row>
    <row r="184" spans="1:18" s="59" customFormat="1" ht="39.9" customHeight="1">
      <c r="A184" s="50"/>
      <c r="B184" s="51" t="s">
        <v>147</v>
      </c>
      <c r="C184" s="52"/>
      <c r="D184" s="53"/>
      <c r="E184" s="54"/>
      <c r="F184" s="55"/>
      <c r="G184" s="52"/>
      <c r="H184" s="56"/>
      <c r="I184" s="56"/>
      <c r="J184" s="56"/>
      <c r="K184" s="56"/>
      <c r="L184" s="56"/>
      <c r="M184" s="58"/>
      <c r="N184" s="108"/>
      <c r="O184" s="109"/>
      <c r="Q184" s="163">
        <f t="shared" si="12"/>
        <v>0</v>
      </c>
      <c r="R184" s="163">
        <f t="shared" si="13"/>
        <v>0</v>
      </c>
    </row>
    <row r="185" spans="1:18" s="21" customFormat="1" ht="50.1" customHeight="1">
      <c r="A185" s="60">
        <v>1</v>
      </c>
      <c r="B185" s="67" t="s">
        <v>198</v>
      </c>
      <c r="C185" s="60" t="s">
        <v>52</v>
      </c>
      <c r="D185" s="34">
        <v>37</v>
      </c>
      <c r="E185" s="19" t="s">
        <v>472</v>
      </c>
      <c r="F185" s="63" t="s">
        <v>199</v>
      </c>
      <c r="G185" s="19" t="s">
        <v>113</v>
      </c>
      <c r="H185" s="16" t="s">
        <v>82</v>
      </c>
      <c r="I185" s="19">
        <v>950000</v>
      </c>
      <c r="J185" s="19">
        <v>226000</v>
      </c>
      <c r="K185" s="7">
        <f t="shared" si="11"/>
        <v>1176000</v>
      </c>
      <c r="L185" s="113">
        <f t="shared" ref="L185:L190" si="16">K185*D185</f>
        <v>43512000</v>
      </c>
      <c r="M185" s="8"/>
      <c r="N185" s="101"/>
      <c r="O185" s="104"/>
      <c r="P185" s="20"/>
      <c r="Q185" s="163">
        <f t="shared" si="12"/>
        <v>35150000</v>
      </c>
      <c r="R185" s="163">
        <f t="shared" si="13"/>
        <v>8362000</v>
      </c>
    </row>
    <row r="186" spans="1:18" s="66" customFormat="1" ht="35.1" customHeight="1">
      <c r="A186" s="60">
        <v>2</v>
      </c>
      <c r="B186" s="67" t="s">
        <v>200</v>
      </c>
      <c r="C186" s="60" t="s">
        <v>52</v>
      </c>
      <c r="D186" s="34">
        <v>3</v>
      </c>
      <c r="E186" s="19" t="s">
        <v>201</v>
      </c>
      <c r="F186" s="63" t="s">
        <v>202</v>
      </c>
      <c r="G186" s="19" t="s">
        <v>113</v>
      </c>
      <c r="H186" s="16" t="s">
        <v>82</v>
      </c>
      <c r="I186" s="19">
        <v>1005000</v>
      </c>
      <c r="J186" s="19">
        <v>100000</v>
      </c>
      <c r="K186" s="7">
        <f t="shared" si="11"/>
        <v>1105000</v>
      </c>
      <c r="L186" s="113">
        <f t="shared" si="16"/>
        <v>3315000</v>
      </c>
      <c r="M186" s="8"/>
      <c r="N186" s="101"/>
      <c r="O186" s="104"/>
      <c r="P186" s="65"/>
      <c r="Q186" s="163">
        <f t="shared" si="12"/>
        <v>3015000</v>
      </c>
      <c r="R186" s="163">
        <f t="shared" si="13"/>
        <v>300000</v>
      </c>
    </row>
    <row r="187" spans="1:18" s="21" customFormat="1" ht="35.1" customHeight="1">
      <c r="A187" s="60">
        <v>3</v>
      </c>
      <c r="B187" s="67" t="s">
        <v>203</v>
      </c>
      <c r="C187" s="60" t="s">
        <v>52</v>
      </c>
      <c r="D187" s="34">
        <v>2</v>
      </c>
      <c r="E187" s="19" t="s">
        <v>204</v>
      </c>
      <c r="F187" s="63" t="s">
        <v>202</v>
      </c>
      <c r="G187" s="19" t="s">
        <v>113</v>
      </c>
      <c r="H187" s="16" t="s">
        <v>82</v>
      </c>
      <c r="I187" s="19">
        <v>885000</v>
      </c>
      <c r="J187" s="19">
        <v>100000</v>
      </c>
      <c r="K187" s="7">
        <f t="shared" si="11"/>
        <v>985000</v>
      </c>
      <c r="L187" s="113">
        <f t="shared" si="16"/>
        <v>1970000</v>
      </c>
      <c r="M187" s="8"/>
      <c r="N187" s="101"/>
      <c r="O187" s="104"/>
      <c r="P187" s="20"/>
      <c r="Q187" s="163">
        <f t="shared" si="12"/>
        <v>1770000</v>
      </c>
      <c r="R187" s="163">
        <f t="shared" si="13"/>
        <v>200000</v>
      </c>
    </row>
    <row r="188" spans="1:18" s="21" customFormat="1" ht="46.5" customHeight="1">
      <c r="A188" s="60">
        <v>5</v>
      </c>
      <c r="B188" s="67" t="s">
        <v>205</v>
      </c>
      <c r="C188" s="60" t="s">
        <v>56</v>
      </c>
      <c r="D188" s="34">
        <v>731.16</v>
      </c>
      <c r="E188" s="19" t="s">
        <v>206</v>
      </c>
      <c r="F188" s="63" t="s">
        <v>469</v>
      </c>
      <c r="G188" s="19" t="s">
        <v>113</v>
      </c>
      <c r="H188" s="16" t="s">
        <v>82</v>
      </c>
      <c r="I188" s="19">
        <v>11000</v>
      </c>
      <c r="J188" s="19">
        <v>10000</v>
      </c>
      <c r="K188" s="7">
        <f t="shared" si="11"/>
        <v>21000</v>
      </c>
      <c r="L188" s="113">
        <f t="shared" si="16"/>
        <v>15354360</v>
      </c>
      <c r="M188" s="8"/>
      <c r="N188" s="101"/>
      <c r="O188" s="104"/>
      <c r="P188" s="20"/>
      <c r="Q188" s="163">
        <f t="shared" si="12"/>
        <v>8042760</v>
      </c>
      <c r="R188" s="163">
        <f t="shared" si="13"/>
        <v>7311600</v>
      </c>
    </row>
    <row r="189" spans="1:18" s="21" customFormat="1" ht="35.1" customHeight="1">
      <c r="A189" s="60">
        <v>6</v>
      </c>
      <c r="B189" s="67" t="s">
        <v>207</v>
      </c>
      <c r="C189" s="60" t="s">
        <v>56</v>
      </c>
      <c r="D189" s="34">
        <v>201.59999999999997</v>
      </c>
      <c r="E189" s="19"/>
      <c r="F189" s="19" t="s">
        <v>81</v>
      </c>
      <c r="G189" s="60" t="s">
        <v>113</v>
      </c>
      <c r="H189" s="16" t="s">
        <v>83</v>
      </c>
      <c r="I189" s="19">
        <v>22570</v>
      </c>
      <c r="J189" s="19">
        <v>7500</v>
      </c>
      <c r="K189" s="7">
        <f t="shared" si="11"/>
        <v>30070</v>
      </c>
      <c r="L189" s="113">
        <f t="shared" si="16"/>
        <v>6062111.9999999991</v>
      </c>
      <c r="M189" s="8"/>
      <c r="N189" s="101"/>
      <c r="O189" s="104"/>
      <c r="P189" s="20"/>
      <c r="Q189" s="163">
        <f t="shared" si="12"/>
        <v>4550111.9999999991</v>
      </c>
      <c r="R189" s="163">
        <f t="shared" si="13"/>
        <v>1511999.9999999998</v>
      </c>
    </row>
    <row r="190" spans="1:18" s="32" customFormat="1" ht="35.1" customHeight="1">
      <c r="A190" s="60">
        <v>7</v>
      </c>
      <c r="B190" s="67" t="s">
        <v>208</v>
      </c>
      <c r="C190" s="60" t="s">
        <v>56</v>
      </c>
      <c r="D190" s="34">
        <v>42.12</v>
      </c>
      <c r="E190" s="19"/>
      <c r="F190" s="19" t="s">
        <v>81</v>
      </c>
      <c r="G190" s="60" t="s">
        <v>113</v>
      </c>
      <c r="H190" s="16" t="s">
        <v>83</v>
      </c>
      <c r="I190" s="19">
        <v>6000</v>
      </c>
      <c r="J190" s="19">
        <v>4000</v>
      </c>
      <c r="K190" s="7">
        <f t="shared" si="11"/>
        <v>10000</v>
      </c>
      <c r="L190" s="113">
        <f t="shared" si="16"/>
        <v>421200</v>
      </c>
      <c r="M190" s="8"/>
      <c r="N190" s="101"/>
      <c r="O190" s="104"/>
      <c r="P190" s="20"/>
      <c r="Q190" s="163">
        <f t="shared" si="12"/>
        <v>252719.99999999997</v>
      </c>
      <c r="R190" s="163">
        <f t="shared" si="13"/>
        <v>168480</v>
      </c>
    </row>
    <row r="191" spans="1:18" s="59" customFormat="1" ht="39.9" customHeight="1">
      <c r="A191" s="50"/>
      <c r="B191" s="51" t="s">
        <v>153</v>
      </c>
      <c r="C191" s="52"/>
      <c r="D191" s="53"/>
      <c r="E191" s="54"/>
      <c r="F191" s="55"/>
      <c r="G191" s="52"/>
      <c r="H191" s="56"/>
      <c r="I191" s="56"/>
      <c r="J191" s="56"/>
      <c r="K191" s="56"/>
      <c r="L191" s="56"/>
      <c r="M191" s="58"/>
      <c r="N191" s="108"/>
      <c r="O191" s="109"/>
      <c r="Q191" s="163">
        <f t="shared" si="12"/>
        <v>0</v>
      </c>
      <c r="R191" s="163">
        <f t="shared" si="13"/>
        <v>0</v>
      </c>
    </row>
    <row r="192" spans="1:18" s="21" customFormat="1" ht="35.1" customHeight="1">
      <c r="A192" s="60">
        <v>1</v>
      </c>
      <c r="B192" s="67" t="s">
        <v>209</v>
      </c>
      <c r="C192" s="60" t="s">
        <v>52</v>
      </c>
      <c r="D192" s="34">
        <v>18</v>
      </c>
      <c r="E192" s="19"/>
      <c r="F192" s="19" t="s">
        <v>149</v>
      </c>
      <c r="G192" s="60" t="s">
        <v>113</v>
      </c>
      <c r="H192" s="16" t="s">
        <v>82</v>
      </c>
      <c r="I192" s="19">
        <v>120000</v>
      </c>
      <c r="J192" s="19">
        <v>100000</v>
      </c>
      <c r="K192" s="7">
        <f t="shared" si="11"/>
        <v>220000</v>
      </c>
      <c r="L192" s="113">
        <f>K192*D192</f>
        <v>3960000</v>
      </c>
      <c r="M192" s="8"/>
      <c r="N192" s="101"/>
      <c r="O192" s="104"/>
      <c r="P192" s="20"/>
      <c r="Q192" s="163">
        <f t="shared" si="12"/>
        <v>2160000</v>
      </c>
      <c r="R192" s="163">
        <f t="shared" si="13"/>
        <v>1800000</v>
      </c>
    </row>
    <row r="193" spans="1:18" s="21" customFormat="1" ht="35.1" customHeight="1">
      <c r="A193" s="60">
        <v>2</v>
      </c>
      <c r="B193" s="67" t="s">
        <v>151</v>
      </c>
      <c r="C193" s="60" t="s">
        <v>56</v>
      </c>
      <c r="D193" s="34">
        <v>125.27999999999999</v>
      </c>
      <c r="E193" s="19"/>
      <c r="F193" s="19" t="s">
        <v>81</v>
      </c>
      <c r="G193" s="60" t="s">
        <v>113</v>
      </c>
      <c r="H193" s="16" t="s">
        <v>83</v>
      </c>
      <c r="I193" s="19">
        <v>22570</v>
      </c>
      <c r="J193" s="19">
        <v>7500</v>
      </c>
      <c r="K193" s="7">
        <f t="shared" si="11"/>
        <v>30070</v>
      </c>
      <c r="L193" s="113">
        <f>K193*D193</f>
        <v>3767169.5999999996</v>
      </c>
      <c r="M193" s="8"/>
      <c r="N193" s="101"/>
      <c r="O193" s="104"/>
      <c r="P193" s="20"/>
      <c r="Q193" s="163">
        <f t="shared" si="12"/>
        <v>2827569.5999999996</v>
      </c>
      <c r="R193" s="163">
        <f t="shared" si="13"/>
        <v>939599.99999999988</v>
      </c>
    </row>
    <row r="194" spans="1:18" s="21" customFormat="1" ht="35.1" customHeight="1">
      <c r="A194" s="60">
        <v>3</v>
      </c>
      <c r="B194" s="67" t="s">
        <v>210</v>
      </c>
      <c r="C194" s="60" t="s">
        <v>56</v>
      </c>
      <c r="D194" s="34">
        <v>120.24</v>
      </c>
      <c r="E194" s="19"/>
      <c r="F194" s="19" t="s">
        <v>469</v>
      </c>
      <c r="G194" s="60" t="s">
        <v>113</v>
      </c>
      <c r="H194" s="16" t="s">
        <v>82</v>
      </c>
      <c r="I194" s="19">
        <v>100000</v>
      </c>
      <c r="J194" s="19">
        <v>28000</v>
      </c>
      <c r="K194" s="7">
        <f t="shared" si="11"/>
        <v>128000</v>
      </c>
      <c r="L194" s="113">
        <f>K194*D194</f>
        <v>15390720</v>
      </c>
      <c r="M194" s="8"/>
      <c r="N194" s="101"/>
      <c r="O194" s="104"/>
      <c r="P194" s="20"/>
      <c r="Q194" s="163">
        <f t="shared" si="12"/>
        <v>12024000</v>
      </c>
      <c r="R194" s="163">
        <f t="shared" si="13"/>
        <v>3366720</v>
      </c>
    </row>
    <row r="195" spans="1:18" s="21" customFormat="1" ht="35.1" customHeight="1">
      <c r="A195" s="60">
        <v>4</v>
      </c>
      <c r="B195" s="67" t="s">
        <v>211</v>
      </c>
      <c r="C195" s="60" t="s">
        <v>56</v>
      </c>
      <c r="D195" s="34">
        <v>256.67999999999995</v>
      </c>
      <c r="E195" s="19"/>
      <c r="F195" s="19" t="s">
        <v>469</v>
      </c>
      <c r="G195" s="60" t="s">
        <v>113</v>
      </c>
      <c r="H195" s="16" t="s">
        <v>82</v>
      </c>
      <c r="I195" s="19">
        <v>32200</v>
      </c>
      <c r="J195" s="19">
        <v>10000</v>
      </c>
      <c r="K195" s="7">
        <f t="shared" si="11"/>
        <v>42200</v>
      </c>
      <c r="L195" s="113">
        <f>K195*D195</f>
        <v>10831895.999999998</v>
      </c>
      <c r="M195" s="8"/>
      <c r="N195" s="101"/>
      <c r="O195" s="104"/>
      <c r="P195" s="20"/>
      <c r="Q195" s="163">
        <f t="shared" si="12"/>
        <v>8265095.9999999981</v>
      </c>
      <c r="R195" s="163">
        <f t="shared" si="13"/>
        <v>2566799.9999999995</v>
      </c>
    </row>
    <row r="196" spans="1:18" s="59" customFormat="1" ht="39.9" customHeight="1">
      <c r="A196" s="50"/>
      <c r="B196" s="51" t="s">
        <v>212</v>
      </c>
      <c r="C196" s="52"/>
      <c r="D196" s="53"/>
      <c r="E196" s="54"/>
      <c r="F196" s="55"/>
      <c r="G196" s="52"/>
      <c r="H196" s="56"/>
      <c r="I196" s="56"/>
      <c r="J196" s="56"/>
      <c r="K196" s="56"/>
      <c r="L196" s="56"/>
      <c r="M196" s="58"/>
      <c r="N196" s="108"/>
      <c r="O196" s="109"/>
      <c r="Q196" s="163">
        <f t="shared" si="12"/>
        <v>0</v>
      </c>
      <c r="R196" s="163">
        <f t="shared" si="13"/>
        <v>0</v>
      </c>
    </row>
    <row r="197" spans="1:18" s="21" customFormat="1" ht="50.1" customHeight="1">
      <c r="A197" s="60">
        <v>1</v>
      </c>
      <c r="B197" s="22" t="s">
        <v>214</v>
      </c>
      <c r="C197" s="60" t="s">
        <v>55</v>
      </c>
      <c r="D197" s="34">
        <v>4</v>
      </c>
      <c r="E197" s="19" t="s">
        <v>362</v>
      </c>
      <c r="F197" s="63" t="s">
        <v>215</v>
      </c>
      <c r="G197" s="60" t="s">
        <v>216</v>
      </c>
      <c r="H197" s="63"/>
      <c r="I197" s="19">
        <v>39900000</v>
      </c>
      <c r="J197" s="19">
        <v>1250000</v>
      </c>
      <c r="K197" s="7">
        <f t="shared" si="11"/>
        <v>41150000</v>
      </c>
      <c r="L197" s="113">
        <f t="shared" ref="L197:L205" si="17">K197*D197</f>
        <v>164600000</v>
      </c>
      <c r="M197" s="8"/>
      <c r="N197" s="101"/>
      <c r="O197" s="104"/>
      <c r="P197" s="20"/>
      <c r="Q197" s="163">
        <f t="shared" si="12"/>
        <v>159600000</v>
      </c>
      <c r="R197" s="163">
        <f t="shared" si="13"/>
        <v>5000000</v>
      </c>
    </row>
    <row r="198" spans="1:18" s="21" customFormat="1" ht="50.1" customHeight="1">
      <c r="A198" s="60">
        <v>2</v>
      </c>
      <c r="B198" s="67" t="s">
        <v>217</v>
      </c>
      <c r="C198" s="60" t="s">
        <v>56</v>
      </c>
      <c r="D198" s="34">
        <v>112.464</v>
      </c>
      <c r="E198" s="19"/>
      <c r="F198" s="63" t="s">
        <v>473</v>
      </c>
      <c r="G198" s="63" t="s">
        <v>474</v>
      </c>
      <c r="H198" s="70"/>
      <c r="I198" s="19">
        <v>135000</v>
      </c>
      <c r="J198" s="19">
        <v>89000</v>
      </c>
      <c r="K198" s="7">
        <f t="shared" si="11"/>
        <v>224000</v>
      </c>
      <c r="L198" s="113">
        <f t="shared" si="17"/>
        <v>25191936</v>
      </c>
      <c r="M198" s="8"/>
      <c r="N198" s="101"/>
      <c r="O198" s="104"/>
      <c r="P198" s="20"/>
      <c r="Q198" s="163">
        <f t="shared" si="12"/>
        <v>15182640</v>
      </c>
      <c r="R198" s="163">
        <f t="shared" si="13"/>
        <v>10009296</v>
      </c>
    </row>
    <row r="199" spans="1:18" s="21" customFormat="1" ht="50.1" customHeight="1">
      <c r="A199" s="60">
        <v>3</v>
      </c>
      <c r="B199" s="67" t="s">
        <v>218</v>
      </c>
      <c r="C199" s="60" t="s">
        <v>56</v>
      </c>
      <c r="D199" s="34">
        <v>112.464</v>
      </c>
      <c r="E199" s="19"/>
      <c r="F199" s="63" t="s">
        <v>473</v>
      </c>
      <c r="G199" s="63" t="s">
        <v>474</v>
      </c>
      <c r="H199" s="70"/>
      <c r="I199" s="19">
        <v>260000</v>
      </c>
      <c r="J199" s="19">
        <v>145000</v>
      </c>
      <c r="K199" s="7">
        <f t="shared" si="11"/>
        <v>405000</v>
      </c>
      <c r="L199" s="113">
        <f t="shared" si="17"/>
        <v>45547920</v>
      </c>
      <c r="M199" s="8"/>
      <c r="N199" s="101"/>
      <c r="O199" s="104"/>
      <c r="P199" s="20"/>
      <c r="Q199" s="163">
        <f t="shared" si="12"/>
        <v>29240640</v>
      </c>
      <c r="R199" s="163">
        <f t="shared" si="13"/>
        <v>16307280</v>
      </c>
    </row>
    <row r="200" spans="1:18" s="21" customFormat="1" ht="50.1" customHeight="1">
      <c r="A200" s="60">
        <v>4</v>
      </c>
      <c r="B200" s="67" t="s">
        <v>219</v>
      </c>
      <c r="C200" s="60" t="s">
        <v>56</v>
      </c>
      <c r="D200" s="34">
        <v>19.2</v>
      </c>
      <c r="E200" s="19"/>
      <c r="F200" s="63" t="s">
        <v>475</v>
      </c>
      <c r="G200" s="63" t="s">
        <v>474</v>
      </c>
      <c r="H200" s="70" t="s">
        <v>352</v>
      </c>
      <c r="I200" s="19">
        <v>88000</v>
      </c>
      <c r="J200" s="19">
        <v>50000</v>
      </c>
      <c r="K200" s="7">
        <f t="shared" ref="K200:K263" si="18">I200+J200</f>
        <v>138000</v>
      </c>
      <c r="L200" s="113">
        <f t="shared" si="17"/>
        <v>2649600</v>
      </c>
      <c r="M200" s="8"/>
      <c r="N200" s="101"/>
      <c r="O200" s="104"/>
      <c r="P200" s="20"/>
      <c r="Q200" s="163">
        <f t="shared" ref="Q200:Q263" si="19">$D200*I200</f>
        <v>1689600</v>
      </c>
      <c r="R200" s="163">
        <f t="shared" ref="R200:R263" si="20">$D200*J200</f>
        <v>960000</v>
      </c>
    </row>
    <row r="201" spans="1:18" s="32" customFormat="1" ht="50.1" customHeight="1">
      <c r="A201" s="60">
        <v>5</v>
      </c>
      <c r="B201" s="67" t="s">
        <v>220</v>
      </c>
      <c r="C201" s="60" t="s">
        <v>56</v>
      </c>
      <c r="D201" s="34">
        <v>24</v>
      </c>
      <c r="E201" s="19"/>
      <c r="F201" s="63" t="s">
        <v>475</v>
      </c>
      <c r="G201" s="63" t="s">
        <v>474</v>
      </c>
      <c r="H201" s="70" t="s">
        <v>352</v>
      </c>
      <c r="I201" s="19">
        <v>135334</v>
      </c>
      <c r="J201" s="19">
        <v>50000</v>
      </c>
      <c r="K201" s="7">
        <f t="shared" si="18"/>
        <v>185334</v>
      </c>
      <c r="L201" s="113">
        <f t="shared" si="17"/>
        <v>4448016</v>
      </c>
      <c r="M201" s="8"/>
      <c r="N201" s="101"/>
      <c r="O201" s="104"/>
      <c r="P201" s="20"/>
      <c r="Q201" s="163">
        <f t="shared" si="19"/>
        <v>3248016</v>
      </c>
      <c r="R201" s="163">
        <f t="shared" si="20"/>
        <v>1200000</v>
      </c>
    </row>
    <row r="202" spans="1:18" s="21" customFormat="1" ht="35.1" customHeight="1">
      <c r="A202" s="60">
        <v>6</v>
      </c>
      <c r="B202" s="22" t="s">
        <v>221</v>
      </c>
      <c r="C202" s="60" t="s">
        <v>56</v>
      </c>
      <c r="D202" s="34">
        <v>862.31999999999994</v>
      </c>
      <c r="E202" s="19"/>
      <c r="F202" s="19" t="s">
        <v>469</v>
      </c>
      <c r="G202" s="60" t="s">
        <v>113</v>
      </c>
      <c r="H202" s="16" t="s">
        <v>82</v>
      </c>
      <c r="I202" s="19">
        <v>25200</v>
      </c>
      <c r="J202" s="19">
        <v>10000</v>
      </c>
      <c r="K202" s="7">
        <f t="shared" si="18"/>
        <v>35200</v>
      </c>
      <c r="L202" s="113">
        <f t="shared" si="17"/>
        <v>30353663.999999996</v>
      </c>
      <c r="M202" s="8"/>
      <c r="N202" s="101"/>
      <c r="O202" s="104"/>
      <c r="P202" s="20"/>
      <c r="Q202" s="163">
        <f t="shared" si="19"/>
        <v>21730464</v>
      </c>
      <c r="R202" s="163">
        <f t="shared" si="20"/>
        <v>8623200</v>
      </c>
    </row>
    <row r="203" spans="1:18" s="21" customFormat="1" ht="41.25" customHeight="1">
      <c r="A203" s="60">
        <v>7</v>
      </c>
      <c r="B203" s="22" t="s">
        <v>222</v>
      </c>
      <c r="C203" s="60" t="s">
        <v>56</v>
      </c>
      <c r="D203" s="34">
        <v>499.12799999999993</v>
      </c>
      <c r="E203" s="19"/>
      <c r="F203" s="19" t="s">
        <v>469</v>
      </c>
      <c r="G203" s="60" t="s">
        <v>113</v>
      </c>
      <c r="H203" s="16" t="s">
        <v>82</v>
      </c>
      <c r="I203" s="19">
        <v>11000</v>
      </c>
      <c r="J203" s="19">
        <v>10000</v>
      </c>
      <c r="K203" s="7">
        <f t="shared" si="18"/>
        <v>21000</v>
      </c>
      <c r="L203" s="113">
        <f t="shared" si="17"/>
        <v>10481687.999999998</v>
      </c>
      <c r="M203" s="8"/>
      <c r="N203" s="101"/>
      <c r="O203" s="104"/>
      <c r="P203" s="20"/>
      <c r="Q203" s="163">
        <f t="shared" si="19"/>
        <v>5490407.9999999991</v>
      </c>
      <c r="R203" s="163">
        <f t="shared" si="20"/>
        <v>4991279.9999999991</v>
      </c>
    </row>
    <row r="204" spans="1:18" s="21" customFormat="1" ht="35.1" customHeight="1">
      <c r="A204" s="60">
        <v>8</v>
      </c>
      <c r="B204" s="67" t="s">
        <v>223</v>
      </c>
      <c r="C204" s="60" t="s">
        <v>56</v>
      </c>
      <c r="D204" s="34">
        <v>112.464</v>
      </c>
      <c r="E204" s="19"/>
      <c r="F204" s="19" t="s">
        <v>81</v>
      </c>
      <c r="G204" s="60" t="s">
        <v>113</v>
      </c>
      <c r="H204" s="16" t="s">
        <v>83</v>
      </c>
      <c r="I204" s="19">
        <v>29000</v>
      </c>
      <c r="J204" s="19">
        <v>12000</v>
      </c>
      <c r="K204" s="7">
        <f t="shared" si="18"/>
        <v>41000</v>
      </c>
      <c r="L204" s="113">
        <f t="shared" si="17"/>
        <v>4611024</v>
      </c>
      <c r="M204" s="8"/>
      <c r="N204" s="101"/>
      <c r="O204" s="104"/>
      <c r="P204" s="20"/>
      <c r="Q204" s="163">
        <f t="shared" si="19"/>
        <v>3261456</v>
      </c>
      <c r="R204" s="163">
        <f t="shared" si="20"/>
        <v>1349568</v>
      </c>
    </row>
    <row r="205" spans="1:18" s="21" customFormat="1" ht="57.75" customHeight="1">
      <c r="A205" s="60">
        <v>9</v>
      </c>
      <c r="B205" s="67" t="s">
        <v>476</v>
      </c>
      <c r="C205" s="60" t="s">
        <v>167</v>
      </c>
      <c r="D205" s="34">
        <v>1</v>
      </c>
      <c r="E205" s="19"/>
      <c r="F205" s="63"/>
      <c r="G205" s="60" t="s">
        <v>113</v>
      </c>
      <c r="H205" s="64"/>
      <c r="I205" s="19">
        <v>6500000</v>
      </c>
      <c r="J205" s="19">
        <v>1000000</v>
      </c>
      <c r="K205" s="7">
        <f t="shared" si="18"/>
        <v>7500000</v>
      </c>
      <c r="L205" s="113">
        <f t="shared" si="17"/>
        <v>7500000</v>
      </c>
      <c r="M205" s="8"/>
      <c r="N205" s="101"/>
      <c r="O205" s="104"/>
      <c r="P205" s="20"/>
      <c r="Q205" s="163">
        <f t="shared" si="19"/>
        <v>6500000</v>
      </c>
      <c r="R205" s="163">
        <f t="shared" si="20"/>
        <v>1000000</v>
      </c>
    </row>
    <row r="206" spans="1:18" s="32" customFormat="1" ht="39.9" customHeight="1">
      <c r="A206" s="81" t="s">
        <v>94</v>
      </c>
      <c r="B206" s="74" t="s">
        <v>477</v>
      </c>
      <c r="C206" s="76"/>
      <c r="D206" s="27"/>
      <c r="E206" s="28"/>
      <c r="F206" s="75"/>
      <c r="G206" s="76"/>
      <c r="H206" s="82"/>
      <c r="I206" s="82"/>
      <c r="J206" s="82"/>
      <c r="K206" s="82"/>
      <c r="L206" s="82"/>
      <c r="M206" s="30"/>
      <c r="N206" s="105"/>
      <c r="O206" s="106"/>
      <c r="P206" s="31"/>
      <c r="Q206" s="163">
        <f t="shared" si="19"/>
        <v>0</v>
      </c>
      <c r="R206" s="163">
        <f t="shared" si="20"/>
        <v>0</v>
      </c>
    </row>
    <row r="207" spans="1:18" s="59" customFormat="1" ht="39.9" customHeight="1">
      <c r="A207" s="50"/>
      <c r="B207" s="51" t="s">
        <v>174</v>
      </c>
      <c r="C207" s="52"/>
      <c r="D207" s="53"/>
      <c r="E207" s="54"/>
      <c r="F207" s="55"/>
      <c r="G207" s="52"/>
      <c r="H207" s="56"/>
      <c r="I207" s="56"/>
      <c r="J207" s="56"/>
      <c r="K207" s="56"/>
      <c r="L207" s="56"/>
      <c r="M207" s="58"/>
      <c r="N207" s="108"/>
      <c r="O207" s="109"/>
      <c r="Q207" s="163">
        <f t="shared" si="19"/>
        <v>0</v>
      </c>
      <c r="R207" s="163">
        <f t="shared" si="20"/>
        <v>0</v>
      </c>
    </row>
    <row r="208" spans="1:18" s="21" customFormat="1" ht="35.1" customHeight="1">
      <c r="A208" s="60">
        <v>1</v>
      </c>
      <c r="B208" s="71" t="s">
        <v>224</v>
      </c>
      <c r="C208" s="60" t="s">
        <v>102</v>
      </c>
      <c r="D208" s="34">
        <v>1</v>
      </c>
      <c r="E208" s="19" t="s">
        <v>225</v>
      </c>
      <c r="F208" s="63" t="s">
        <v>104</v>
      </c>
      <c r="G208" s="19" t="s">
        <v>105</v>
      </c>
      <c r="H208" s="64"/>
      <c r="I208" s="19">
        <v>245000</v>
      </c>
      <c r="J208" s="19">
        <v>30000</v>
      </c>
      <c r="K208" s="7">
        <f t="shared" si="18"/>
        <v>275000</v>
      </c>
      <c r="L208" s="113">
        <f>K208*D208</f>
        <v>275000</v>
      </c>
      <c r="M208" s="8"/>
      <c r="N208" s="101"/>
      <c r="O208" s="104"/>
      <c r="P208" s="20"/>
      <c r="Q208" s="163">
        <f t="shared" si="19"/>
        <v>245000</v>
      </c>
      <c r="R208" s="163">
        <f t="shared" si="20"/>
        <v>30000</v>
      </c>
    </row>
    <row r="209" spans="1:18" s="32" customFormat="1" ht="35.1" customHeight="1">
      <c r="A209" s="60">
        <v>2</v>
      </c>
      <c r="B209" s="71" t="s">
        <v>189</v>
      </c>
      <c r="C209" s="60" t="s">
        <v>102</v>
      </c>
      <c r="D209" s="34">
        <v>1</v>
      </c>
      <c r="E209" s="19" t="s">
        <v>190</v>
      </c>
      <c r="F209" s="63" t="s">
        <v>104</v>
      </c>
      <c r="G209" s="19" t="s">
        <v>105</v>
      </c>
      <c r="H209" s="64"/>
      <c r="I209" s="19">
        <v>395000</v>
      </c>
      <c r="J209" s="19">
        <v>90000</v>
      </c>
      <c r="K209" s="7">
        <f t="shared" si="18"/>
        <v>485000</v>
      </c>
      <c r="L209" s="113">
        <f>K209*D209</f>
        <v>485000</v>
      </c>
      <c r="M209" s="8"/>
      <c r="N209" s="101"/>
      <c r="O209" s="104"/>
      <c r="P209" s="20"/>
      <c r="Q209" s="163">
        <f t="shared" si="19"/>
        <v>395000</v>
      </c>
      <c r="R209" s="163">
        <f t="shared" si="20"/>
        <v>90000</v>
      </c>
    </row>
    <row r="210" spans="1:18" s="66" customFormat="1" ht="35.1" customHeight="1">
      <c r="A210" s="60">
        <v>3</v>
      </c>
      <c r="B210" s="71" t="s">
        <v>143</v>
      </c>
      <c r="C210" s="60" t="s">
        <v>102</v>
      </c>
      <c r="D210" s="34">
        <v>3</v>
      </c>
      <c r="E210" s="19" t="s">
        <v>226</v>
      </c>
      <c r="F210" s="63" t="s">
        <v>104</v>
      </c>
      <c r="G210" s="19" t="s">
        <v>105</v>
      </c>
      <c r="H210" s="64"/>
      <c r="I210" s="19">
        <v>88000</v>
      </c>
      <c r="J210" s="19">
        <v>21000</v>
      </c>
      <c r="K210" s="7">
        <f t="shared" si="18"/>
        <v>109000</v>
      </c>
      <c r="L210" s="113">
        <f>K210*D210</f>
        <v>327000</v>
      </c>
      <c r="M210" s="8"/>
      <c r="N210" s="101"/>
      <c r="O210" s="104"/>
      <c r="P210" s="65"/>
      <c r="Q210" s="163">
        <f t="shared" si="19"/>
        <v>264000</v>
      </c>
      <c r="R210" s="163">
        <f t="shared" si="20"/>
        <v>63000</v>
      </c>
    </row>
    <row r="211" spans="1:18" s="21" customFormat="1" ht="34.5" customHeight="1">
      <c r="A211" s="60">
        <v>4</v>
      </c>
      <c r="B211" s="67" t="s">
        <v>227</v>
      </c>
      <c r="C211" s="60" t="s">
        <v>146</v>
      </c>
      <c r="D211" s="34">
        <v>1</v>
      </c>
      <c r="E211" s="19"/>
      <c r="F211" s="63"/>
      <c r="G211" s="60" t="s">
        <v>113</v>
      </c>
      <c r="H211" s="63"/>
      <c r="I211" s="19">
        <v>5000000</v>
      </c>
      <c r="J211" s="19">
        <v>1000000</v>
      </c>
      <c r="K211" s="7">
        <f t="shared" si="18"/>
        <v>6000000</v>
      </c>
      <c r="L211" s="113">
        <f>K211*D211</f>
        <v>6000000</v>
      </c>
      <c r="M211" s="8"/>
      <c r="N211" s="101"/>
      <c r="O211" s="104"/>
      <c r="P211" s="20"/>
      <c r="Q211" s="163">
        <f t="shared" si="19"/>
        <v>5000000</v>
      </c>
      <c r="R211" s="163">
        <f t="shared" si="20"/>
        <v>1000000</v>
      </c>
    </row>
    <row r="212" spans="1:18" s="59" customFormat="1" ht="39.9" customHeight="1">
      <c r="A212" s="50"/>
      <c r="B212" s="51" t="s">
        <v>147</v>
      </c>
      <c r="C212" s="52"/>
      <c r="D212" s="53"/>
      <c r="E212" s="54"/>
      <c r="F212" s="55"/>
      <c r="G212" s="52"/>
      <c r="H212" s="56"/>
      <c r="I212" s="56"/>
      <c r="J212" s="56"/>
      <c r="K212" s="56"/>
      <c r="L212" s="56"/>
      <c r="M212" s="58"/>
      <c r="N212" s="108"/>
      <c r="O212" s="109"/>
      <c r="Q212" s="163">
        <f t="shared" si="19"/>
        <v>0</v>
      </c>
      <c r="R212" s="163">
        <f t="shared" si="20"/>
        <v>0</v>
      </c>
    </row>
    <row r="213" spans="1:18" s="21" customFormat="1" ht="79.5" customHeight="1">
      <c r="A213" s="60">
        <v>1</v>
      </c>
      <c r="B213" s="67" t="s">
        <v>228</v>
      </c>
      <c r="C213" s="60" t="s">
        <v>52</v>
      </c>
      <c r="D213" s="34">
        <v>2</v>
      </c>
      <c r="E213" s="63" t="s">
        <v>229</v>
      </c>
      <c r="F213" s="63" t="s">
        <v>230</v>
      </c>
      <c r="G213" s="63" t="s">
        <v>113</v>
      </c>
      <c r="H213" s="16" t="s">
        <v>82</v>
      </c>
      <c r="I213" s="19">
        <v>235000</v>
      </c>
      <c r="J213" s="19">
        <v>100000</v>
      </c>
      <c r="K213" s="7">
        <f t="shared" si="18"/>
        <v>335000</v>
      </c>
      <c r="L213" s="113">
        <f t="shared" ref="L213:L220" si="21">K213*D213</f>
        <v>670000</v>
      </c>
      <c r="M213" s="8"/>
      <c r="N213" s="101"/>
      <c r="O213" s="104"/>
      <c r="P213" s="20"/>
      <c r="Q213" s="163">
        <f t="shared" si="19"/>
        <v>470000</v>
      </c>
      <c r="R213" s="163">
        <f t="shared" si="20"/>
        <v>200000</v>
      </c>
    </row>
    <row r="214" spans="1:18" s="21" customFormat="1" ht="60" customHeight="1">
      <c r="A214" s="60">
        <v>2</v>
      </c>
      <c r="B214" s="67" t="s">
        <v>231</v>
      </c>
      <c r="C214" s="60" t="s">
        <v>52</v>
      </c>
      <c r="D214" s="34">
        <v>5</v>
      </c>
      <c r="E214" s="63" t="s">
        <v>353</v>
      </c>
      <c r="F214" s="63" t="s">
        <v>232</v>
      </c>
      <c r="G214" s="63" t="s">
        <v>113</v>
      </c>
      <c r="H214" s="16" t="s">
        <v>82</v>
      </c>
      <c r="I214" s="19">
        <v>100000</v>
      </c>
      <c r="J214" s="19">
        <v>165000</v>
      </c>
      <c r="K214" s="7">
        <f t="shared" si="18"/>
        <v>265000</v>
      </c>
      <c r="L214" s="113">
        <f t="shared" si="21"/>
        <v>1325000</v>
      </c>
      <c r="M214" s="8"/>
      <c r="N214" s="101"/>
      <c r="O214" s="104"/>
      <c r="P214" s="20"/>
      <c r="Q214" s="163">
        <f t="shared" si="19"/>
        <v>500000</v>
      </c>
      <c r="R214" s="163">
        <f t="shared" si="20"/>
        <v>825000</v>
      </c>
    </row>
    <row r="215" spans="1:18" s="21" customFormat="1" ht="35.1" customHeight="1">
      <c r="A215" s="60">
        <v>3</v>
      </c>
      <c r="B215" s="67" t="s">
        <v>233</v>
      </c>
      <c r="C215" s="60" t="s">
        <v>52</v>
      </c>
      <c r="D215" s="34">
        <v>2</v>
      </c>
      <c r="E215" s="63" t="s">
        <v>234</v>
      </c>
      <c r="F215" s="63" t="s">
        <v>232</v>
      </c>
      <c r="G215" s="63" t="s">
        <v>113</v>
      </c>
      <c r="H215" s="16" t="s">
        <v>82</v>
      </c>
      <c r="I215" s="19">
        <v>350000</v>
      </c>
      <c r="J215" s="19">
        <v>165000</v>
      </c>
      <c r="K215" s="7">
        <f t="shared" si="18"/>
        <v>515000</v>
      </c>
      <c r="L215" s="113">
        <f t="shared" si="21"/>
        <v>1030000</v>
      </c>
      <c r="M215" s="8"/>
      <c r="N215" s="101"/>
      <c r="O215" s="104"/>
      <c r="P215" s="20"/>
      <c r="Q215" s="163">
        <f t="shared" si="19"/>
        <v>700000</v>
      </c>
      <c r="R215" s="163">
        <f t="shared" si="20"/>
        <v>330000</v>
      </c>
    </row>
    <row r="216" spans="1:18" s="21" customFormat="1" ht="35.1" customHeight="1">
      <c r="A216" s="60">
        <v>4</v>
      </c>
      <c r="B216" s="67" t="s">
        <v>148</v>
      </c>
      <c r="C216" s="60" t="s">
        <v>102</v>
      </c>
      <c r="D216" s="34">
        <v>4</v>
      </c>
      <c r="E216" s="63"/>
      <c r="F216" s="63" t="s">
        <v>173</v>
      </c>
      <c r="G216" s="63" t="s">
        <v>113</v>
      </c>
      <c r="H216" s="16" t="s">
        <v>82</v>
      </c>
      <c r="I216" s="19">
        <v>235000</v>
      </c>
      <c r="J216" s="19">
        <v>100000</v>
      </c>
      <c r="K216" s="7">
        <f t="shared" si="18"/>
        <v>335000</v>
      </c>
      <c r="L216" s="113">
        <f t="shared" si="21"/>
        <v>1340000</v>
      </c>
      <c r="M216" s="8"/>
      <c r="N216" s="101"/>
      <c r="O216" s="104"/>
      <c r="P216" s="20"/>
      <c r="Q216" s="163">
        <f t="shared" si="19"/>
        <v>940000</v>
      </c>
      <c r="R216" s="163">
        <f t="shared" si="20"/>
        <v>400000</v>
      </c>
    </row>
    <row r="217" spans="1:18" s="21" customFormat="1" ht="35.1" customHeight="1">
      <c r="A217" s="60">
        <v>5</v>
      </c>
      <c r="B217" s="67" t="s">
        <v>235</v>
      </c>
      <c r="C217" s="60" t="s">
        <v>102</v>
      </c>
      <c r="D217" s="34">
        <v>1</v>
      </c>
      <c r="E217" s="63"/>
      <c r="F217" s="63" t="s">
        <v>173</v>
      </c>
      <c r="G217" s="63" t="s">
        <v>113</v>
      </c>
      <c r="H217" s="16" t="s">
        <v>82</v>
      </c>
      <c r="I217" s="19">
        <v>80000</v>
      </c>
      <c r="J217" s="19">
        <v>42000</v>
      </c>
      <c r="K217" s="7">
        <f t="shared" si="18"/>
        <v>122000</v>
      </c>
      <c r="L217" s="113">
        <f t="shared" si="21"/>
        <v>122000</v>
      </c>
      <c r="M217" s="8"/>
      <c r="N217" s="101"/>
      <c r="O217" s="104"/>
      <c r="P217" s="20"/>
      <c r="Q217" s="163">
        <f t="shared" si="19"/>
        <v>80000</v>
      </c>
      <c r="R217" s="163">
        <f t="shared" si="20"/>
        <v>42000</v>
      </c>
    </row>
    <row r="218" spans="1:18" s="21" customFormat="1" ht="35.1" customHeight="1">
      <c r="A218" s="60">
        <v>6</v>
      </c>
      <c r="B218" s="67" t="s">
        <v>205</v>
      </c>
      <c r="C218" s="60" t="s">
        <v>56</v>
      </c>
      <c r="D218" s="34">
        <v>263</v>
      </c>
      <c r="E218" s="19"/>
      <c r="F218" s="19" t="s">
        <v>469</v>
      </c>
      <c r="G218" s="60" t="s">
        <v>113</v>
      </c>
      <c r="H218" s="16" t="s">
        <v>82</v>
      </c>
      <c r="I218" s="19">
        <v>11000</v>
      </c>
      <c r="J218" s="19">
        <v>10000</v>
      </c>
      <c r="K218" s="7">
        <f t="shared" si="18"/>
        <v>21000</v>
      </c>
      <c r="L218" s="113">
        <f t="shared" si="21"/>
        <v>5523000</v>
      </c>
      <c r="M218" s="8"/>
      <c r="N218" s="101"/>
      <c r="O218" s="104"/>
      <c r="P218" s="20"/>
      <c r="Q218" s="163">
        <f t="shared" si="19"/>
        <v>2893000</v>
      </c>
      <c r="R218" s="163">
        <f t="shared" si="20"/>
        <v>2630000</v>
      </c>
    </row>
    <row r="219" spans="1:18" s="21" customFormat="1" ht="35.1" customHeight="1">
      <c r="A219" s="60">
        <v>7</v>
      </c>
      <c r="B219" s="67" t="s">
        <v>150</v>
      </c>
      <c r="C219" s="60" t="s">
        <v>56</v>
      </c>
      <c r="D219" s="34">
        <v>4</v>
      </c>
      <c r="E219" s="19"/>
      <c r="F219" s="19" t="s">
        <v>81</v>
      </c>
      <c r="G219" s="60" t="s">
        <v>113</v>
      </c>
      <c r="H219" s="16" t="s">
        <v>83</v>
      </c>
      <c r="I219" s="19">
        <v>6000</v>
      </c>
      <c r="J219" s="19">
        <v>4000</v>
      </c>
      <c r="K219" s="7">
        <f t="shared" si="18"/>
        <v>10000</v>
      </c>
      <c r="L219" s="113">
        <f t="shared" si="21"/>
        <v>40000</v>
      </c>
      <c r="M219" s="8"/>
      <c r="N219" s="101"/>
      <c r="O219" s="104"/>
      <c r="P219" s="20"/>
      <c r="Q219" s="163">
        <f t="shared" si="19"/>
        <v>24000</v>
      </c>
      <c r="R219" s="163">
        <f t="shared" si="20"/>
        <v>16000</v>
      </c>
    </row>
    <row r="220" spans="1:18" s="21" customFormat="1" ht="35.1" customHeight="1">
      <c r="A220" s="60">
        <v>8</v>
      </c>
      <c r="B220" s="67" t="s">
        <v>151</v>
      </c>
      <c r="C220" s="60" t="s">
        <v>56</v>
      </c>
      <c r="D220" s="34">
        <v>96</v>
      </c>
      <c r="E220" s="19"/>
      <c r="F220" s="19" t="s">
        <v>81</v>
      </c>
      <c r="G220" s="60" t="s">
        <v>113</v>
      </c>
      <c r="H220" s="16" t="s">
        <v>83</v>
      </c>
      <c r="I220" s="19">
        <v>22570</v>
      </c>
      <c r="J220" s="19">
        <v>7500</v>
      </c>
      <c r="K220" s="7">
        <f t="shared" si="18"/>
        <v>30070</v>
      </c>
      <c r="L220" s="113">
        <f t="shared" si="21"/>
        <v>2886720</v>
      </c>
      <c r="M220" s="8"/>
      <c r="N220" s="101"/>
      <c r="O220" s="104"/>
      <c r="P220" s="20"/>
      <c r="Q220" s="163">
        <f t="shared" si="19"/>
        <v>2166720</v>
      </c>
      <c r="R220" s="163">
        <f t="shared" si="20"/>
        <v>720000</v>
      </c>
    </row>
    <row r="221" spans="1:18" s="59" customFormat="1" ht="39.9" customHeight="1">
      <c r="A221" s="50"/>
      <c r="B221" s="51" t="s">
        <v>153</v>
      </c>
      <c r="C221" s="52"/>
      <c r="D221" s="53"/>
      <c r="E221" s="54"/>
      <c r="F221" s="55"/>
      <c r="G221" s="52"/>
      <c r="H221" s="56"/>
      <c r="I221" s="56"/>
      <c r="J221" s="56"/>
      <c r="K221" s="56"/>
      <c r="L221" s="56"/>
      <c r="M221" s="58"/>
      <c r="N221" s="108"/>
      <c r="O221" s="109"/>
      <c r="Q221" s="163">
        <f t="shared" si="19"/>
        <v>0</v>
      </c>
      <c r="R221" s="163">
        <f t="shared" si="20"/>
        <v>0</v>
      </c>
    </row>
    <row r="222" spans="1:18" s="21" customFormat="1" ht="35.1" customHeight="1">
      <c r="A222" s="60">
        <v>1</v>
      </c>
      <c r="B222" s="67" t="s">
        <v>209</v>
      </c>
      <c r="C222" s="60" t="s">
        <v>52</v>
      </c>
      <c r="D222" s="34">
        <v>6</v>
      </c>
      <c r="E222" s="60"/>
      <c r="F222" s="60" t="s">
        <v>149</v>
      </c>
      <c r="G222" s="60" t="s">
        <v>113</v>
      </c>
      <c r="H222" s="16" t="s">
        <v>82</v>
      </c>
      <c r="I222" s="19">
        <v>120000</v>
      </c>
      <c r="J222" s="19">
        <v>100000</v>
      </c>
      <c r="K222" s="7">
        <f t="shared" si="18"/>
        <v>220000</v>
      </c>
      <c r="L222" s="113">
        <f>K222*D222</f>
        <v>1320000</v>
      </c>
      <c r="M222" s="8"/>
      <c r="N222" s="101"/>
      <c r="O222" s="104"/>
      <c r="P222" s="20"/>
      <c r="Q222" s="163">
        <f t="shared" si="19"/>
        <v>720000</v>
      </c>
      <c r="R222" s="163">
        <f t="shared" si="20"/>
        <v>600000</v>
      </c>
    </row>
    <row r="223" spans="1:18" s="21" customFormat="1" ht="35.1" customHeight="1">
      <c r="A223" s="60">
        <v>2</v>
      </c>
      <c r="B223" s="67" t="s">
        <v>151</v>
      </c>
      <c r="C223" s="60" t="s">
        <v>56</v>
      </c>
      <c r="D223" s="34">
        <v>33</v>
      </c>
      <c r="E223" s="19"/>
      <c r="F223" s="19" t="s">
        <v>81</v>
      </c>
      <c r="G223" s="60" t="s">
        <v>113</v>
      </c>
      <c r="H223" s="16" t="s">
        <v>82</v>
      </c>
      <c r="I223" s="19">
        <v>22570</v>
      </c>
      <c r="J223" s="19">
        <v>7500</v>
      </c>
      <c r="K223" s="7">
        <f t="shared" si="18"/>
        <v>30070</v>
      </c>
      <c r="L223" s="113">
        <f>K223*D223</f>
        <v>992310</v>
      </c>
      <c r="M223" s="8"/>
      <c r="N223" s="101"/>
      <c r="O223" s="104"/>
      <c r="P223" s="20"/>
      <c r="Q223" s="163">
        <f t="shared" si="19"/>
        <v>744810</v>
      </c>
      <c r="R223" s="163">
        <f t="shared" si="20"/>
        <v>247500</v>
      </c>
    </row>
    <row r="224" spans="1:18" s="21" customFormat="1" ht="35.1" customHeight="1">
      <c r="A224" s="60">
        <v>3</v>
      </c>
      <c r="B224" s="67" t="s">
        <v>211</v>
      </c>
      <c r="C224" s="60" t="s">
        <v>56</v>
      </c>
      <c r="D224" s="34">
        <v>97</v>
      </c>
      <c r="E224" s="19"/>
      <c r="F224" s="19" t="s">
        <v>469</v>
      </c>
      <c r="G224" s="60" t="s">
        <v>113</v>
      </c>
      <c r="H224" s="16" t="s">
        <v>82</v>
      </c>
      <c r="I224" s="19">
        <v>25200</v>
      </c>
      <c r="J224" s="19">
        <v>10000</v>
      </c>
      <c r="K224" s="7">
        <f t="shared" si="18"/>
        <v>35200</v>
      </c>
      <c r="L224" s="113">
        <f>K224*D224</f>
        <v>3414400</v>
      </c>
      <c r="M224" s="8"/>
      <c r="N224" s="101"/>
      <c r="O224" s="104"/>
      <c r="P224" s="20"/>
      <c r="Q224" s="163">
        <f t="shared" si="19"/>
        <v>2444400</v>
      </c>
      <c r="R224" s="163">
        <f t="shared" si="20"/>
        <v>970000</v>
      </c>
    </row>
    <row r="225" spans="1:18" s="59" customFormat="1" ht="39.9" customHeight="1">
      <c r="A225" s="50"/>
      <c r="B225" s="51" t="s">
        <v>213</v>
      </c>
      <c r="C225" s="52"/>
      <c r="D225" s="53"/>
      <c r="E225" s="54"/>
      <c r="F225" s="55"/>
      <c r="G225" s="52"/>
      <c r="H225" s="56"/>
      <c r="I225" s="56"/>
      <c r="J225" s="56"/>
      <c r="K225" s="56"/>
      <c r="L225" s="56"/>
      <c r="M225" s="58"/>
      <c r="N225" s="108"/>
      <c r="O225" s="109"/>
      <c r="Q225" s="163">
        <f t="shared" si="19"/>
        <v>0</v>
      </c>
      <c r="R225" s="163">
        <f t="shared" si="20"/>
        <v>0</v>
      </c>
    </row>
    <row r="226" spans="1:18" s="21" customFormat="1" ht="35.1" customHeight="1">
      <c r="A226" s="60">
        <v>1</v>
      </c>
      <c r="B226" s="67" t="s">
        <v>236</v>
      </c>
      <c r="C226" s="60" t="s">
        <v>55</v>
      </c>
      <c r="D226" s="34">
        <v>2</v>
      </c>
      <c r="E226" s="19" t="s">
        <v>237</v>
      </c>
      <c r="F226" s="63" t="s">
        <v>238</v>
      </c>
      <c r="G226" s="60" t="s">
        <v>385</v>
      </c>
      <c r="H226" s="64"/>
      <c r="I226" s="19">
        <v>1650000</v>
      </c>
      <c r="J226" s="19">
        <v>550000</v>
      </c>
      <c r="K226" s="7">
        <f t="shared" si="18"/>
        <v>2200000</v>
      </c>
      <c r="L226" s="113">
        <f>K226*D226</f>
        <v>4400000</v>
      </c>
      <c r="M226" s="8"/>
      <c r="N226" s="101"/>
      <c r="O226" s="104"/>
      <c r="P226" s="20"/>
      <c r="Q226" s="163">
        <f t="shared" si="19"/>
        <v>3300000</v>
      </c>
      <c r="R226" s="163">
        <f t="shared" si="20"/>
        <v>1100000</v>
      </c>
    </row>
    <row r="227" spans="1:18" s="21" customFormat="1" ht="35.1" customHeight="1">
      <c r="A227" s="60">
        <v>2</v>
      </c>
      <c r="B227" s="67" t="s">
        <v>205</v>
      </c>
      <c r="C227" s="60" t="s">
        <v>56</v>
      </c>
      <c r="D227" s="34">
        <v>33</v>
      </c>
      <c r="E227" s="19"/>
      <c r="F227" s="19" t="s">
        <v>469</v>
      </c>
      <c r="G227" s="60" t="s">
        <v>113</v>
      </c>
      <c r="H227" s="16" t="s">
        <v>82</v>
      </c>
      <c r="I227" s="19">
        <v>11000</v>
      </c>
      <c r="J227" s="19">
        <v>10000</v>
      </c>
      <c r="K227" s="7">
        <f t="shared" si="18"/>
        <v>21000</v>
      </c>
      <c r="L227" s="113">
        <f>K227*D227</f>
        <v>693000</v>
      </c>
      <c r="M227" s="8"/>
      <c r="N227" s="101"/>
      <c r="O227" s="104"/>
      <c r="P227" s="20"/>
      <c r="Q227" s="163">
        <f t="shared" si="19"/>
        <v>363000</v>
      </c>
      <c r="R227" s="163">
        <f t="shared" si="20"/>
        <v>330000</v>
      </c>
    </row>
    <row r="228" spans="1:18" s="59" customFormat="1" ht="39.9" customHeight="1">
      <c r="A228" s="50"/>
      <c r="B228" s="51" t="s">
        <v>239</v>
      </c>
      <c r="C228" s="52"/>
      <c r="D228" s="53"/>
      <c r="E228" s="54"/>
      <c r="F228" s="55"/>
      <c r="G228" s="52"/>
      <c r="H228" s="56"/>
      <c r="I228" s="56"/>
      <c r="J228" s="56"/>
      <c r="K228" s="56"/>
      <c r="L228" s="56"/>
      <c r="M228" s="58"/>
      <c r="N228" s="108"/>
      <c r="O228" s="109"/>
      <c r="Q228" s="163">
        <f t="shared" si="19"/>
        <v>0</v>
      </c>
      <c r="R228" s="163">
        <f t="shared" si="20"/>
        <v>0</v>
      </c>
    </row>
    <row r="229" spans="1:18" s="21" customFormat="1" ht="50.1" customHeight="1">
      <c r="A229" s="77">
        <v>1</v>
      </c>
      <c r="B229" s="68" t="s">
        <v>240</v>
      </c>
      <c r="C229" s="60" t="s">
        <v>48</v>
      </c>
      <c r="D229" s="34">
        <v>2</v>
      </c>
      <c r="E229" s="19" t="s">
        <v>241</v>
      </c>
      <c r="F229" s="63" t="s">
        <v>242</v>
      </c>
      <c r="G229" s="60" t="s">
        <v>113</v>
      </c>
      <c r="H229" s="16" t="s">
        <v>82</v>
      </c>
      <c r="I229" s="19">
        <v>3850000</v>
      </c>
      <c r="J229" s="19">
        <v>400000</v>
      </c>
      <c r="K229" s="7">
        <f t="shared" si="18"/>
        <v>4250000</v>
      </c>
      <c r="L229" s="113">
        <f t="shared" ref="L229:L234" si="22">K229*D229</f>
        <v>8500000</v>
      </c>
      <c r="M229" s="8"/>
      <c r="N229" s="101"/>
      <c r="O229" s="104"/>
      <c r="P229" s="20"/>
      <c r="Q229" s="163">
        <f t="shared" si="19"/>
        <v>7700000</v>
      </c>
      <c r="R229" s="163">
        <f t="shared" si="20"/>
        <v>800000</v>
      </c>
    </row>
    <row r="230" spans="1:18" s="21" customFormat="1" ht="35.1" customHeight="1">
      <c r="A230" s="77">
        <v>2</v>
      </c>
      <c r="B230" s="68" t="s">
        <v>243</v>
      </c>
      <c r="C230" s="60" t="s">
        <v>48</v>
      </c>
      <c r="D230" s="34">
        <v>2</v>
      </c>
      <c r="E230" s="19" t="s">
        <v>378</v>
      </c>
      <c r="F230" s="63" t="s">
        <v>242</v>
      </c>
      <c r="G230" s="60" t="s">
        <v>113</v>
      </c>
      <c r="H230" s="16" t="s">
        <v>82</v>
      </c>
      <c r="I230" s="19">
        <v>2015000</v>
      </c>
      <c r="J230" s="19">
        <v>400000</v>
      </c>
      <c r="K230" s="7">
        <f t="shared" si="18"/>
        <v>2415000</v>
      </c>
      <c r="L230" s="113">
        <f t="shared" si="22"/>
        <v>4830000</v>
      </c>
      <c r="M230" s="8"/>
      <c r="N230" s="101"/>
      <c r="O230" s="104"/>
      <c r="P230" s="20"/>
      <c r="Q230" s="163">
        <f t="shared" si="19"/>
        <v>4030000</v>
      </c>
      <c r="R230" s="163">
        <f t="shared" si="20"/>
        <v>800000</v>
      </c>
    </row>
    <row r="231" spans="1:18" s="32" customFormat="1" ht="35.1" customHeight="1">
      <c r="A231" s="77">
        <v>3</v>
      </c>
      <c r="B231" s="68" t="s">
        <v>244</v>
      </c>
      <c r="C231" s="60" t="s">
        <v>48</v>
      </c>
      <c r="D231" s="34">
        <v>2</v>
      </c>
      <c r="E231" s="19" t="s">
        <v>245</v>
      </c>
      <c r="F231" s="63" t="s">
        <v>242</v>
      </c>
      <c r="G231" s="60" t="s">
        <v>113</v>
      </c>
      <c r="H231" s="16" t="s">
        <v>82</v>
      </c>
      <c r="I231" s="19">
        <v>400000</v>
      </c>
      <c r="J231" s="19">
        <v>250000</v>
      </c>
      <c r="K231" s="7">
        <f t="shared" si="18"/>
        <v>650000</v>
      </c>
      <c r="L231" s="113">
        <f t="shared" si="22"/>
        <v>1300000</v>
      </c>
      <c r="M231" s="8"/>
      <c r="N231" s="101"/>
      <c r="O231" s="104"/>
      <c r="P231" s="20"/>
      <c r="Q231" s="163">
        <f t="shared" si="19"/>
        <v>800000</v>
      </c>
      <c r="R231" s="163">
        <f t="shared" si="20"/>
        <v>500000</v>
      </c>
    </row>
    <row r="232" spans="1:18" s="21" customFormat="1" ht="35.1" customHeight="1">
      <c r="A232" s="77">
        <v>4</v>
      </c>
      <c r="B232" s="83" t="s">
        <v>246</v>
      </c>
      <c r="C232" s="60" t="s">
        <v>102</v>
      </c>
      <c r="D232" s="34">
        <v>2</v>
      </c>
      <c r="E232" s="19" t="s">
        <v>247</v>
      </c>
      <c r="F232" s="63" t="s">
        <v>242</v>
      </c>
      <c r="G232" s="60" t="s">
        <v>113</v>
      </c>
      <c r="H232" s="16" t="s">
        <v>82</v>
      </c>
      <c r="I232" s="19">
        <v>1850000</v>
      </c>
      <c r="J232" s="19">
        <v>400000</v>
      </c>
      <c r="K232" s="7">
        <f t="shared" si="18"/>
        <v>2250000</v>
      </c>
      <c r="L232" s="113">
        <f t="shared" si="22"/>
        <v>4500000</v>
      </c>
      <c r="M232" s="8"/>
      <c r="N232" s="101"/>
      <c r="O232" s="104"/>
      <c r="P232" s="20"/>
      <c r="Q232" s="163">
        <f t="shared" si="19"/>
        <v>3700000</v>
      </c>
      <c r="R232" s="163">
        <f t="shared" si="20"/>
        <v>800000</v>
      </c>
    </row>
    <row r="233" spans="1:18" s="21" customFormat="1" ht="48.75" customHeight="1">
      <c r="A233" s="77">
        <v>5</v>
      </c>
      <c r="B233" s="68" t="s">
        <v>248</v>
      </c>
      <c r="C233" s="60" t="s">
        <v>55</v>
      </c>
      <c r="D233" s="34">
        <v>2</v>
      </c>
      <c r="E233" s="19" t="s">
        <v>249</v>
      </c>
      <c r="F233" s="63" t="s">
        <v>242</v>
      </c>
      <c r="G233" s="60" t="s">
        <v>113</v>
      </c>
      <c r="H233" s="16" t="s">
        <v>82</v>
      </c>
      <c r="I233" s="19">
        <v>350000</v>
      </c>
      <c r="J233" s="19">
        <v>50000</v>
      </c>
      <c r="K233" s="7">
        <f t="shared" si="18"/>
        <v>400000</v>
      </c>
      <c r="L233" s="113">
        <f t="shared" si="22"/>
        <v>800000</v>
      </c>
      <c r="M233" s="8"/>
      <c r="N233" s="101"/>
      <c r="O233" s="104"/>
      <c r="P233" s="20"/>
      <c r="Q233" s="163">
        <f t="shared" si="19"/>
        <v>700000</v>
      </c>
      <c r="R233" s="163">
        <f t="shared" si="20"/>
        <v>100000</v>
      </c>
    </row>
    <row r="234" spans="1:18" s="21" customFormat="1" ht="35.1" customHeight="1">
      <c r="A234" s="77">
        <v>6</v>
      </c>
      <c r="B234" s="67" t="s">
        <v>250</v>
      </c>
      <c r="C234" s="60" t="s">
        <v>52</v>
      </c>
      <c r="D234" s="34">
        <v>1</v>
      </c>
      <c r="E234" s="63" t="s">
        <v>251</v>
      </c>
      <c r="F234" s="63" t="s">
        <v>252</v>
      </c>
      <c r="G234" s="60" t="s">
        <v>113</v>
      </c>
      <c r="H234" s="16" t="s">
        <v>82</v>
      </c>
      <c r="I234" s="19">
        <v>3950000</v>
      </c>
      <c r="J234" s="19">
        <v>400000</v>
      </c>
      <c r="K234" s="7">
        <f t="shared" si="18"/>
        <v>4350000</v>
      </c>
      <c r="L234" s="113">
        <f t="shared" si="22"/>
        <v>4350000</v>
      </c>
      <c r="M234" s="8"/>
      <c r="N234" s="101"/>
      <c r="O234" s="104"/>
      <c r="P234" s="20"/>
      <c r="Q234" s="163">
        <f t="shared" si="19"/>
        <v>3950000</v>
      </c>
      <c r="R234" s="163">
        <f t="shared" si="20"/>
        <v>400000</v>
      </c>
    </row>
    <row r="235" spans="1:18" s="59" customFormat="1" ht="39.9" customHeight="1">
      <c r="A235" s="50"/>
      <c r="B235" s="51" t="s">
        <v>253</v>
      </c>
      <c r="C235" s="52"/>
      <c r="D235" s="53"/>
      <c r="E235" s="54"/>
      <c r="F235" s="55"/>
      <c r="G235" s="52"/>
      <c r="H235" s="56"/>
      <c r="I235" s="56"/>
      <c r="J235" s="56"/>
      <c r="K235" s="56"/>
      <c r="L235" s="56"/>
      <c r="M235" s="58"/>
      <c r="N235" s="108"/>
      <c r="O235" s="109"/>
      <c r="Q235" s="163">
        <f t="shared" si="19"/>
        <v>0</v>
      </c>
      <c r="R235" s="163">
        <f t="shared" si="20"/>
        <v>0</v>
      </c>
    </row>
    <row r="236" spans="1:18" s="21" customFormat="1" ht="35.1" customHeight="1">
      <c r="A236" s="77">
        <v>1</v>
      </c>
      <c r="B236" s="67" t="s">
        <v>254</v>
      </c>
      <c r="C236" s="60" t="s">
        <v>56</v>
      </c>
      <c r="D236" s="34">
        <v>80.52</v>
      </c>
      <c r="E236" s="63"/>
      <c r="F236" s="19" t="s">
        <v>81</v>
      </c>
      <c r="G236" s="63" t="s">
        <v>113</v>
      </c>
      <c r="H236" s="16" t="s">
        <v>83</v>
      </c>
      <c r="I236" s="19">
        <v>289000</v>
      </c>
      <c r="J236" s="19">
        <v>200000</v>
      </c>
      <c r="K236" s="7">
        <f t="shared" si="18"/>
        <v>489000</v>
      </c>
      <c r="L236" s="113">
        <f t="shared" ref="L236:L243" si="23">K236*D236</f>
        <v>39374280</v>
      </c>
      <c r="M236" s="8"/>
      <c r="N236" s="101"/>
      <c r="O236" s="104"/>
      <c r="P236" s="20"/>
      <c r="Q236" s="163">
        <f t="shared" si="19"/>
        <v>23270280</v>
      </c>
      <c r="R236" s="163">
        <f t="shared" si="20"/>
        <v>16104000</v>
      </c>
    </row>
    <row r="237" spans="1:18" s="21" customFormat="1" ht="35.1" customHeight="1">
      <c r="A237" s="77">
        <v>2</v>
      </c>
      <c r="B237" s="67" t="s">
        <v>255</v>
      </c>
      <c r="C237" s="60" t="s">
        <v>56</v>
      </c>
      <c r="D237" s="34">
        <v>19.8</v>
      </c>
      <c r="E237" s="63"/>
      <c r="F237" s="19" t="s">
        <v>81</v>
      </c>
      <c r="G237" s="63" t="s">
        <v>113</v>
      </c>
      <c r="H237" s="16" t="s">
        <v>83</v>
      </c>
      <c r="I237" s="19">
        <v>121000</v>
      </c>
      <c r="J237" s="19">
        <v>80000</v>
      </c>
      <c r="K237" s="7">
        <f t="shared" si="18"/>
        <v>201000</v>
      </c>
      <c r="L237" s="113">
        <f t="shared" si="23"/>
        <v>3979800</v>
      </c>
      <c r="M237" s="8"/>
      <c r="N237" s="101"/>
      <c r="O237" s="104"/>
      <c r="P237" s="20"/>
      <c r="Q237" s="163">
        <f t="shared" si="19"/>
        <v>2395800</v>
      </c>
      <c r="R237" s="163">
        <f t="shared" si="20"/>
        <v>1584000</v>
      </c>
    </row>
    <row r="238" spans="1:18" s="21" customFormat="1" ht="35.1" customHeight="1">
      <c r="A238" s="77">
        <v>3</v>
      </c>
      <c r="B238" s="67" t="s">
        <v>256</v>
      </c>
      <c r="C238" s="60" t="s">
        <v>102</v>
      </c>
      <c r="D238" s="34">
        <v>4</v>
      </c>
      <c r="E238" s="63"/>
      <c r="F238" s="19" t="s">
        <v>81</v>
      </c>
      <c r="G238" s="63" t="s">
        <v>113</v>
      </c>
      <c r="H238" s="16" t="s">
        <v>83</v>
      </c>
      <c r="I238" s="19">
        <v>383000</v>
      </c>
      <c r="J238" s="19">
        <v>150000</v>
      </c>
      <c r="K238" s="7">
        <f t="shared" si="18"/>
        <v>533000</v>
      </c>
      <c r="L238" s="113">
        <f t="shared" si="23"/>
        <v>2132000</v>
      </c>
      <c r="M238" s="8"/>
      <c r="N238" s="101"/>
      <c r="O238" s="104"/>
      <c r="P238" s="20"/>
      <c r="Q238" s="163">
        <f t="shared" si="19"/>
        <v>1532000</v>
      </c>
      <c r="R238" s="163">
        <f t="shared" si="20"/>
        <v>600000</v>
      </c>
    </row>
    <row r="239" spans="1:18" s="21" customFormat="1" ht="35.1" customHeight="1">
      <c r="A239" s="77">
        <v>4</v>
      </c>
      <c r="B239" s="67" t="s">
        <v>257</v>
      </c>
      <c r="C239" s="60" t="s">
        <v>102</v>
      </c>
      <c r="D239" s="34">
        <v>22</v>
      </c>
      <c r="E239" s="63"/>
      <c r="F239" s="19" t="s">
        <v>81</v>
      </c>
      <c r="G239" s="63" t="s">
        <v>113</v>
      </c>
      <c r="H239" s="16" t="s">
        <v>83</v>
      </c>
      <c r="I239" s="19">
        <v>100000</v>
      </c>
      <c r="J239" s="19">
        <v>56000</v>
      </c>
      <c r="K239" s="7">
        <f t="shared" si="18"/>
        <v>156000</v>
      </c>
      <c r="L239" s="113">
        <f t="shared" si="23"/>
        <v>3432000</v>
      </c>
      <c r="M239" s="8"/>
      <c r="N239" s="101"/>
      <c r="O239" s="104"/>
      <c r="P239" s="20"/>
      <c r="Q239" s="163">
        <f t="shared" si="19"/>
        <v>2200000</v>
      </c>
      <c r="R239" s="163">
        <f t="shared" si="20"/>
        <v>1232000</v>
      </c>
    </row>
    <row r="240" spans="1:18" s="21" customFormat="1" ht="35.1" customHeight="1">
      <c r="A240" s="77">
        <v>5</v>
      </c>
      <c r="B240" s="67" t="s">
        <v>258</v>
      </c>
      <c r="C240" s="60" t="s">
        <v>102</v>
      </c>
      <c r="D240" s="34">
        <v>2</v>
      </c>
      <c r="E240" s="63"/>
      <c r="F240" s="19" t="s">
        <v>81</v>
      </c>
      <c r="G240" s="63" t="s">
        <v>113</v>
      </c>
      <c r="H240" s="16" t="s">
        <v>83</v>
      </c>
      <c r="I240" s="19">
        <v>520000</v>
      </c>
      <c r="J240" s="19">
        <v>150000</v>
      </c>
      <c r="K240" s="7">
        <f t="shared" si="18"/>
        <v>670000</v>
      </c>
      <c r="L240" s="113">
        <f t="shared" si="23"/>
        <v>1340000</v>
      </c>
      <c r="M240" s="8"/>
      <c r="N240" s="101"/>
      <c r="O240" s="104"/>
      <c r="P240" s="20"/>
      <c r="Q240" s="163">
        <f t="shared" si="19"/>
        <v>1040000</v>
      </c>
      <c r="R240" s="163">
        <f t="shared" si="20"/>
        <v>300000</v>
      </c>
    </row>
    <row r="241" spans="1:18" s="21" customFormat="1" ht="35.1" customHeight="1">
      <c r="A241" s="77">
        <v>6</v>
      </c>
      <c r="B241" s="67" t="s">
        <v>259</v>
      </c>
      <c r="C241" s="60" t="s">
        <v>102</v>
      </c>
      <c r="D241" s="34">
        <v>2</v>
      </c>
      <c r="E241" s="63"/>
      <c r="F241" s="19" t="s">
        <v>81</v>
      </c>
      <c r="G241" s="63" t="s">
        <v>113</v>
      </c>
      <c r="H241" s="16" t="s">
        <v>83</v>
      </c>
      <c r="I241" s="19">
        <v>525000</v>
      </c>
      <c r="J241" s="19">
        <v>56000</v>
      </c>
      <c r="K241" s="7">
        <f t="shared" si="18"/>
        <v>581000</v>
      </c>
      <c r="L241" s="113">
        <f t="shared" si="23"/>
        <v>1162000</v>
      </c>
      <c r="M241" s="8"/>
      <c r="N241" s="101"/>
      <c r="O241" s="104"/>
      <c r="P241" s="20"/>
      <c r="Q241" s="163">
        <f t="shared" si="19"/>
        <v>1050000</v>
      </c>
      <c r="R241" s="163">
        <f t="shared" si="20"/>
        <v>112000</v>
      </c>
    </row>
    <row r="242" spans="1:18" s="32" customFormat="1" ht="35.1" customHeight="1">
      <c r="A242" s="77">
        <v>7</v>
      </c>
      <c r="B242" s="67" t="s">
        <v>260</v>
      </c>
      <c r="C242" s="60" t="s">
        <v>102</v>
      </c>
      <c r="D242" s="34">
        <v>11</v>
      </c>
      <c r="E242" s="63"/>
      <c r="F242" s="19" t="s">
        <v>81</v>
      </c>
      <c r="G242" s="63" t="s">
        <v>113</v>
      </c>
      <c r="H242" s="16" t="s">
        <v>83</v>
      </c>
      <c r="I242" s="19">
        <v>546000</v>
      </c>
      <c r="J242" s="19">
        <v>150000</v>
      </c>
      <c r="K242" s="7">
        <f t="shared" si="18"/>
        <v>696000</v>
      </c>
      <c r="L242" s="113">
        <f t="shared" si="23"/>
        <v>7656000</v>
      </c>
      <c r="M242" s="8"/>
      <c r="N242" s="101"/>
      <c r="O242" s="104"/>
      <c r="P242" s="20"/>
      <c r="Q242" s="163">
        <f t="shared" si="19"/>
        <v>6006000</v>
      </c>
      <c r="R242" s="163">
        <f t="shared" si="20"/>
        <v>1650000</v>
      </c>
    </row>
    <row r="243" spans="1:18" s="21" customFormat="1" ht="51.75" customHeight="1">
      <c r="A243" s="77">
        <v>8</v>
      </c>
      <c r="B243" s="67" t="s">
        <v>261</v>
      </c>
      <c r="C243" s="60" t="s">
        <v>167</v>
      </c>
      <c r="D243" s="34">
        <v>1</v>
      </c>
      <c r="E243" s="63"/>
      <c r="F243" s="63"/>
      <c r="G243" s="63" t="s">
        <v>113</v>
      </c>
      <c r="H243" s="70"/>
      <c r="I243" s="19">
        <v>3500000</v>
      </c>
      <c r="J243" s="19"/>
      <c r="K243" s="7">
        <f t="shared" si="18"/>
        <v>3500000</v>
      </c>
      <c r="L243" s="113">
        <f t="shared" si="23"/>
        <v>3500000</v>
      </c>
      <c r="M243" s="8"/>
      <c r="N243" s="101"/>
      <c r="O243" s="104"/>
      <c r="P243" s="20"/>
      <c r="Q243" s="163">
        <f t="shared" si="19"/>
        <v>3500000</v>
      </c>
      <c r="R243" s="163">
        <f t="shared" si="20"/>
        <v>0</v>
      </c>
    </row>
    <row r="244" spans="1:18" s="59" customFormat="1" ht="39.9" customHeight="1">
      <c r="A244" s="50"/>
      <c r="B244" s="51" t="s">
        <v>262</v>
      </c>
      <c r="C244" s="52"/>
      <c r="D244" s="53"/>
      <c r="E244" s="54"/>
      <c r="F244" s="55"/>
      <c r="G244" s="52"/>
      <c r="H244" s="56"/>
      <c r="I244" s="56"/>
      <c r="J244" s="56"/>
      <c r="K244" s="56"/>
      <c r="L244" s="56"/>
      <c r="M244" s="58"/>
      <c r="N244" s="108"/>
      <c r="O244" s="109"/>
      <c r="Q244" s="163">
        <f t="shared" si="19"/>
        <v>0</v>
      </c>
      <c r="R244" s="163">
        <f t="shared" si="20"/>
        <v>0</v>
      </c>
    </row>
    <row r="245" spans="1:18" s="21" customFormat="1" ht="35.1" customHeight="1">
      <c r="A245" s="77">
        <v>1</v>
      </c>
      <c r="B245" s="68" t="s">
        <v>263</v>
      </c>
      <c r="C245" s="60" t="s">
        <v>56</v>
      </c>
      <c r="D245" s="34">
        <v>13.2</v>
      </c>
      <c r="E245" s="63"/>
      <c r="F245" s="19" t="s">
        <v>81</v>
      </c>
      <c r="G245" s="60" t="s">
        <v>113</v>
      </c>
      <c r="H245" s="16" t="s">
        <v>83</v>
      </c>
      <c r="I245" s="19">
        <v>125000</v>
      </c>
      <c r="J245" s="19">
        <v>81000</v>
      </c>
      <c r="K245" s="7">
        <f t="shared" si="18"/>
        <v>206000</v>
      </c>
      <c r="L245" s="113">
        <f t="shared" ref="L245:L255" si="24">K245*D245</f>
        <v>2719200</v>
      </c>
      <c r="M245" s="8"/>
      <c r="N245" s="101"/>
      <c r="O245" s="104"/>
      <c r="P245" s="20"/>
      <c r="Q245" s="163">
        <f t="shared" si="19"/>
        <v>1650000</v>
      </c>
      <c r="R245" s="163">
        <f t="shared" si="20"/>
        <v>1069200</v>
      </c>
    </row>
    <row r="246" spans="1:18" s="21" customFormat="1" ht="35.1" customHeight="1">
      <c r="A246" s="77">
        <v>2</v>
      </c>
      <c r="B246" s="68" t="s">
        <v>264</v>
      </c>
      <c r="C246" s="60" t="s">
        <v>56</v>
      </c>
      <c r="D246" s="34">
        <v>18.72</v>
      </c>
      <c r="E246" s="63"/>
      <c r="F246" s="19" t="s">
        <v>81</v>
      </c>
      <c r="G246" s="60" t="s">
        <v>113</v>
      </c>
      <c r="H246" s="16" t="s">
        <v>83</v>
      </c>
      <c r="I246" s="19">
        <v>50000</v>
      </c>
      <c r="J246" s="19">
        <v>37500</v>
      </c>
      <c r="K246" s="7">
        <f t="shared" si="18"/>
        <v>87500</v>
      </c>
      <c r="L246" s="113">
        <f t="shared" si="24"/>
        <v>1638000</v>
      </c>
      <c r="M246" s="8"/>
      <c r="N246" s="101"/>
      <c r="O246" s="104"/>
      <c r="P246" s="20"/>
      <c r="Q246" s="163">
        <f t="shared" si="19"/>
        <v>936000</v>
      </c>
      <c r="R246" s="163">
        <f t="shared" si="20"/>
        <v>702000</v>
      </c>
    </row>
    <row r="247" spans="1:18" s="21" customFormat="1" ht="35.1" customHeight="1">
      <c r="A247" s="77">
        <v>3</v>
      </c>
      <c r="B247" s="68" t="s">
        <v>265</v>
      </c>
      <c r="C247" s="60" t="s">
        <v>56</v>
      </c>
      <c r="D247" s="34">
        <v>18.72</v>
      </c>
      <c r="E247" s="63"/>
      <c r="F247" s="19" t="s">
        <v>81</v>
      </c>
      <c r="G247" s="60" t="s">
        <v>113</v>
      </c>
      <c r="H247" s="16" t="s">
        <v>83</v>
      </c>
      <c r="I247" s="19">
        <v>45000</v>
      </c>
      <c r="J247" s="19">
        <v>37500</v>
      </c>
      <c r="K247" s="7">
        <f t="shared" si="18"/>
        <v>82500</v>
      </c>
      <c r="L247" s="113">
        <f t="shared" si="24"/>
        <v>1544400</v>
      </c>
      <c r="M247" s="8"/>
      <c r="N247" s="101"/>
      <c r="O247" s="104"/>
      <c r="P247" s="20"/>
      <c r="Q247" s="163">
        <f t="shared" si="19"/>
        <v>842400</v>
      </c>
      <c r="R247" s="163">
        <f t="shared" si="20"/>
        <v>702000</v>
      </c>
    </row>
    <row r="248" spans="1:18" s="21" customFormat="1" ht="35.1" customHeight="1">
      <c r="A248" s="77">
        <v>4</v>
      </c>
      <c r="B248" s="68" t="s">
        <v>257</v>
      </c>
      <c r="C248" s="60" t="s">
        <v>102</v>
      </c>
      <c r="D248" s="34">
        <v>6</v>
      </c>
      <c r="E248" s="63"/>
      <c r="F248" s="19" t="s">
        <v>81</v>
      </c>
      <c r="G248" s="60" t="s">
        <v>113</v>
      </c>
      <c r="H248" s="16" t="s">
        <v>83</v>
      </c>
      <c r="I248" s="19">
        <v>100000</v>
      </c>
      <c r="J248" s="19">
        <v>50000</v>
      </c>
      <c r="K248" s="7">
        <f t="shared" si="18"/>
        <v>150000</v>
      </c>
      <c r="L248" s="113">
        <f t="shared" si="24"/>
        <v>900000</v>
      </c>
      <c r="M248" s="8"/>
      <c r="N248" s="101"/>
      <c r="O248" s="104"/>
      <c r="P248" s="20"/>
      <c r="Q248" s="163">
        <f t="shared" si="19"/>
        <v>600000</v>
      </c>
      <c r="R248" s="163">
        <f t="shared" si="20"/>
        <v>300000</v>
      </c>
    </row>
    <row r="249" spans="1:18" s="21" customFormat="1" ht="35.1" customHeight="1">
      <c r="A249" s="77">
        <v>5</v>
      </c>
      <c r="B249" s="68" t="s">
        <v>266</v>
      </c>
      <c r="C249" s="60" t="s">
        <v>102</v>
      </c>
      <c r="D249" s="34">
        <v>4</v>
      </c>
      <c r="E249" s="63"/>
      <c r="F249" s="19" t="s">
        <v>81</v>
      </c>
      <c r="G249" s="60" t="s">
        <v>113</v>
      </c>
      <c r="H249" s="16" t="s">
        <v>83</v>
      </c>
      <c r="I249" s="19">
        <v>43000</v>
      </c>
      <c r="J249" s="19">
        <v>19000</v>
      </c>
      <c r="K249" s="7">
        <f t="shared" si="18"/>
        <v>62000</v>
      </c>
      <c r="L249" s="113">
        <f t="shared" si="24"/>
        <v>248000</v>
      </c>
      <c r="M249" s="8"/>
      <c r="N249" s="101"/>
      <c r="O249" s="104"/>
      <c r="P249" s="20"/>
      <c r="Q249" s="163">
        <f t="shared" si="19"/>
        <v>172000</v>
      </c>
      <c r="R249" s="163">
        <f t="shared" si="20"/>
        <v>76000</v>
      </c>
    </row>
    <row r="250" spans="1:18" s="21" customFormat="1" ht="35.1" customHeight="1">
      <c r="A250" s="77">
        <v>6</v>
      </c>
      <c r="B250" s="68" t="s">
        <v>267</v>
      </c>
      <c r="C250" s="60" t="s">
        <v>102</v>
      </c>
      <c r="D250" s="34">
        <v>6</v>
      </c>
      <c r="E250" s="63"/>
      <c r="F250" s="19" t="s">
        <v>81</v>
      </c>
      <c r="G250" s="60" t="s">
        <v>113</v>
      </c>
      <c r="H250" s="16" t="s">
        <v>83</v>
      </c>
      <c r="I250" s="19">
        <v>231000</v>
      </c>
      <c r="J250" s="19">
        <v>60000</v>
      </c>
      <c r="K250" s="7">
        <f t="shared" si="18"/>
        <v>291000</v>
      </c>
      <c r="L250" s="113">
        <f t="shared" si="24"/>
        <v>1746000</v>
      </c>
      <c r="M250" s="8"/>
      <c r="N250" s="101"/>
      <c r="O250" s="104"/>
      <c r="P250" s="20"/>
      <c r="Q250" s="163">
        <f t="shared" si="19"/>
        <v>1386000</v>
      </c>
      <c r="R250" s="163">
        <f t="shared" si="20"/>
        <v>360000</v>
      </c>
    </row>
    <row r="251" spans="1:18" s="21" customFormat="1" ht="35.1" customHeight="1">
      <c r="A251" s="77">
        <v>7</v>
      </c>
      <c r="B251" s="68" t="s">
        <v>268</v>
      </c>
      <c r="C251" s="60" t="s">
        <v>102</v>
      </c>
      <c r="D251" s="34">
        <v>4</v>
      </c>
      <c r="E251" s="63"/>
      <c r="F251" s="19" t="s">
        <v>81</v>
      </c>
      <c r="G251" s="60" t="s">
        <v>113</v>
      </c>
      <c r="H251" s="16" t="s">
        <v>83</v>
      </c>
      <c r="I251" s="19">
        <v>47000</v>
      </c>
      <c r="J251" s="19">
        <v>30000</v>
      </c>
      <c r="K251" s="7">
        <f t="shared" si="18"/>
        <v>77000</v>
      </c>
      <c r="L251" s="113">
        <f t="shared" si="24"/>
        <v>308000</v>
      </c>
      <c r="M251" s="8"/>
      <c r="N251" s="101"/>
      <c r="O251" s="104"/>
      <c r="P251" s="20"/>
      <c r="Q251" s="163">
        <f t="shared" si="19"/>
        <v>188000</v>
      </c>
      <c r="R251" s="163">
        <f t="shared" si="20"/>
        <v>120000</v>
      </c>
    </row>
    <row r="252" spans="1:18" s="21" customFormat="1" ht="35.1" customHeight="1">
      <c r="A252" s="77">
        <v>8</v>
      </c>
      <c r="B252" s="68" t="s">
        <v>269</v>
      </c>
      <c r="C252" s="60" t="s">
        <v>102</v>
      </c>
      <c r="D252" s="34">
        <v>3</v>
      </c>
      <c r="E252" s="63"/>
      <c r="F252" s="19" t="s">
        <v>81</v>
      </c>
      <c r="G252" s="60" t="s">
        <v>113</v>
      </c>
      <c r="H252" s="16" t="s">
        <v>83</v>
      </c>
      <c r="I252" s="19">
        <v>126000</v>
      </c>
      <c r="J252" s="19">
        <v>100000</v>
      </c>
      <c r="K252" s="7">
        <f t="shared" si="18"/>
        <v>226000</v>
      </c>
      <c r="L252" s="113">
        <f t="shared" si="24"/>
        <v>678000</v>
      </c>
      <c r="M252" s="8"/>
      <c r="N252" s="101"/>
      <c r="O252" s="104"/>
      <c r="P252" s="20"/>
      <c r="Q252" s="163">
        <f t="shared" si="19"/>
        <v>378000</v>
      </c>
      <c r="R252" s="163">
        <f t="shared" si="20"/>
        <v>300000</v>
      </c>
    </row>
    <row r="253" spans="1:18" s="32" customFormat="1" ht="35.1" customHeight="1">
      <c r="A253" s="77">
        <v>9</v>
      </c>
      <c r="B253" s="68" t="s">
        <v>270</v>
      </c>
      <c r="C253" s="60" t="s">
        <v>102</v>
      </c>
      <c r="D253" s="34">
        <v>2</v>
      </c>
      <c r="E253" s="63"/>
      <c r="F253" s="19" t="s">
        <v>81</v>
      </c>
      <c r="G253" s="60" t="s">
        <v>113</v>
      </c>
      <c r="H253" s="16" t="s">
        <v>83</v>
      </c>
      <c r="I253" s="19">
        <v>142000</v>
      </c>
      <c r="J253" s="19">
        <v>65000</v>
      </c>
      <c r="K253" s="7">
        <f t="shared" si="18"/>
        <v>207000</v>
      </c>
      <c r="L253" s="113">
        <f t="shared" si="24"/>
        <v>414000</v>
      </c>
      <c r="M253" s="8"/>
      <c r="N253" s="101"/>
      <c r="O253" s="104"/>
      <c r="P253" s="20"/>
      <c r="Q253" s="163">
        <f t="shared" si="19"/>
        <v>284000</v>
      </c>
      <c r="R253" s="163">
        <f t="shared" si="20"/>
        <v>130000</v>
      </c>
    </row>
    <row r="254" spans="1:18" s="21" customFormat="1" ht="35.1" customHeight="1">
      <c r="A254" s="77">
        <v>10</v>
      </c>
      <c r="B254" s="68" t="s">
        <v>271</v>
      </c>
      <c r="C254" s="60" t="s">
        <v>102</v>
      </c>
      <c r="D254" s="34">
        <v>3</v>
      </c>
      <c r="E254" s="63"/>
      <c r="F254" s="19" t="s">
        <v>81</v>
      </c>
      <c r="G254" s="60" t="s">
        <v>113</v>
      </c>
      <c r="H254" s="16" t="s">
        <v>83</v>
      </c>
      <c r="I254" s="19">
        <v>54600</v>
      </c>
      <c r="J254" s="19">
        <v>35000</v>
      </c>
      <c r="K254" s="7">
        <f t="shared" si="18"/>
        <v>89600</v>
      </c>
      <c r="L254" s="113">
        <f t="shared" si="24"/>
        <v>268800</v>
      </c>
      <c r="M254" s="8"/>
      <c r="N254" s="101"/>
      <c r="O254" s="104"/>
      <c r="P254" s="20"/>
      <c r="Q254" s="163">
        <f t="shared" si="19"/>
        <v>163800</v>
      </c>
      <c r="R254" s="163">
        <f t="shared" si="20"/>
        <v>105000</v>
      </c>
    </row>
    <row r="255" spans="1:18" s="21" customFormat="1" ht="35.1" customHeight="1">
      <c r="A255" s="77">
        <v>11</v>
      </c>
      <c r="B255" s="68" t="s">
        <v>261</v>
      </c>
      <c r="C255" s="60" t="s">
        <v>167</v>
      </c>
      <c r="D255" s="34">
        <v>1</v>
      </c>
      <c r="E255" s="19"/>
      <c r="F255" s="63"/>
      <c r="G255" s="60" t="s">
        <v>113</v>
      </c>
      <c r="H255" s="22"/>
      <c r="I255" s="19">
        <v>4000000</v>
      </c>
      <c r="J255" s="19">
        <v>0</v>
      </c>
      <c r="K255" s="7">
        <f t="shared" si="18"/>
        <v>4000000</v>
      </c>
      <c r="L255" s="113">
        <f t="shared" si="24"/>
        <v>4000000</v>
      </c>
      <c r="M255" s="8"/>
      <c r="N255" s="101"/>
      <c r="O255" s="104"/>
      <c r="P255" s="20"/>
      <c r="Q255" s="163">
        <f t="shared" si="19"/>
        <v>4000000</v>
      </c>
      <c r="R255" s="163">
        <f t="shared" si="20"/>
        <v>0</v>
      </c>
    </row>
    <row r="256" spans="1:18" s="59" customFormat="1" ht="39.9" customHeight="1">
      <c r="A256" s="50"/>
      <c r="B256" s="51" t="s">
        <v>272</v>
      </c>
      <c r="C256" s="52"/>
      <c r="D256" s="53"/>
      <c r="E256" s="54"/>
      <c r="F256" s="55"/>
      <c r="G256" s="52"/>
      <c r="H256" s="56"/>
      <c r="I256" s="56"/>
      <c r="J256" s="56"/>
      <c r="K256" s="56"/>
      <c r="L256" s="56"/>
      <c r="M256" s="58"/>
      <c r="N256" s="108"/>
      <c r="O256" s="109"/>
      <c r="Q256" s="163">
        <f t="shared" si="19"/>
        <v>0</v>
      </c>
      <c r="R256" s="163">
        <f t="shared" si="20"/>
        <v>0</v>
      </c>
    </row>
    <row r="257" spans="1:18" s="21" customFormat="1" ht="60" customHeight="1">
      <c r="A257" s="77">
        <v>1</v>
      </c>
      <c r="B257" s="68" t="s">
        <v>273</v>
      </c>
      <c r="C257" s="60" t="s">
        <v>55</v>
      </c>
      <c r="D257" s="84">
        <v>1</v>
      </c>
      <c r="E257" s="19"/>
      <c r="F257" s="63" t="s">
        <v>81</v>
      </c>
      <c r="G257" s="60" t="s">
        <v>113</v>
      </c>
      <c r="H257" s="16" t="s">
        <v>83</v>
      </c>
      <c r="I257" s="19">
        <v>3675000</v>
      </c>
      <c r="J257" s="19">
        <v>625000</v>
      </c>
      <c r="K257" s="7">
        <f t="shared" si="18"/>
        <v>4300000</v>
      </c>
      <c r="L257" s="113">
        <f t="shared" ref="L257:L276" si="25">K257*D257</f>
        <v>4300000</v>
      </c>
      <c r="M257" s="8"/>
      <c r="N257" s="101"/>
      <c r="O257" s="104"/>
      <c r="P257" s="20"/>
      <c r="Q257" s="163">
        <f t="shared" si="19"/>
        <v>3675000</v>
      </c>
      <c r="R257" s="163">
        <f t="shared" si="20"/>
        <v>625000</v>
      </c>
    </row>
    <row r="258" spans="1:18" s="21" customFormat="1" ht="35.1" customHeight="1">
      <c r="A258" s="77">
        <v>2</v>
      </c>
      <c r="B258" s="68" t="s">
        <v>274</v>
      </c>
      <c r="C258" s="60" t="s">
        <v>55</v>
      </c>
      <c r="D258" s="84">
        <v>1</v>
      </c>
      <c r="E258" s="63" t="s">
        <v>275</v>
      </c>
      <c r="F258" s="85" t="s">
        <v>238</v>
      </c>
      <c r="G258" s="63" t="s">
        <v>113</v>
      </c>
      <c r="H258" s="16"/>
      <c r="I258" s="19">
        <v>1680000</v>
      </c>
      <c r="J258" s="19">
        <v>375000</v>
      </c>
      <c r="K258" s="7">
        <f t="shared" si="18"/>
        <v>2055000</v>
      </c>
      <c r="L258" s="113">
        <f t="shared" si="25"/>
        <v>2055000</v>
      </c>
      <c r="M258" s="8"/>
      <c r="N258" s="101"/>
      <c r="O258" s="104"/>
      <c r="P258" s="20"/>
      <c r="Q258" s="163">
        <f t="shared" si="19"/>
        <v>1680000</v>
      </c>
      <c r="R258" s="163">
        <f t="shared" si="20"/>
        <v>375000</v>
      </c>
    </row>
    <row r="259" spans="1:18" s="21" customFormat="1" ht="54.75" customHeight="1">
      <c r="A259" s="77">
        <v>3</v>
      </c>
      <c r="B259" s="68" t="s">
        <v>276</v>
      </c>
      <c r="C259" s="60" t="s">
        <v>102</v>
      </c>
      <c r="D259" s="84">
        <v>3</v>
      </c>
      <c r="E259" s="85"/>
      <c r="F259" s="63" t="s">
        <v>81</v>
      </c>
      <c r="G259" s="63" t="s">
        <v>113</v>
      </c>
      <c r="H259" s="16" t="s">
        <v>83</v>
      </c>
      <c r="I259" s="19">
        <v>73500</v>
      </c>
      <c r="J259" s="19">
        <v>24000</v>
      </c>
      <c r="K259" s="7">
        <f t="shared" si="18"/>
        <v>97500</v>
      </c>
      <c r="L259" s="113">
        <f t="shared" si="25"/>
        <v>292500</v>
      </c>
      <c r="M259" s="8"/>
      <c r="N259" s="101"/>
      <c r="O259" s="104"/>
      <c r="P259" s="20"/>
      <c r="Q259" s="163">
        <f t="shared" si="19"/>
        <v>220500</v>
      </c>
      <c r="R259" s="163">
        <f t="shared" si="20"/>
        <v>72000</v>
      </c>
    </row>
    <row r="260" spans="1:18" s="21" customFormat="1" ht="54" customHeight="1">
      <c r="A260" s="77">
        <v>4</v>
      </c>
      <c r="B260" s="68" t="s">
        <v>277</v>
      </c>
      <c r="C260" s="60" t="s">
        <v>102</v>
      </c>
      <c r="D260" s="84">
        <v>1</v>
      </c>
      <c r="E260" s="63"/>
      <c r="F260" s="63" t="s">
        <v>81</v>
      </c>
      <c r="G260" s="63" t="s">
        <v>113</v>
      </c>
      <c r="H260" s="16" t="s">
        <v>83</v>
      </c>
      <c r="I260" s="19">
        <v>220500</v>
      </c>
      <c r="J260" s="19">
        <v>24000</v>
      </c>
      <c r="K260" s="7">
        <f t="shared" si="18"/>
        <v>244500</v>
      </c>
      <c r="L260" s="113">
        <f t="shared" si="25"/>
        <v>244500</v>
      </c>
      <c r="M260" s="8"/>
      <c r="N260" s="101"/>
      <c r="O260" s="104"/>
      <c r="P260" s="20"/>
      <c r="Q260" s="163">
        <f t="shared" si="19"/>
        <v>220500</v>
      </c>
      <c r="R260" s="163">
        <f t="shared" si="20"/>
        <v>24000</v>
      </c>
    </row>
    <row r="261" spans="1:18" s="21" customFormat="1" ht="69" customHeight="1">
      <c r="A261" s="77">
        <v>5</v>
      </c>
      <c r="B261" s="68" t="s">
        <v>278</v>
      </c>
      <c r="C261" s="60" t="s">
        <v>102</v>
      </c>
      <c r="D261" s="84">
        <v>2</v>
      </c>
      <c r="E261" s="63"/>
      <c r="F261" s="63" t="s">
        <v>81</v>
      </c>
      <c r="G261" s="63" t="s">
        <v>113</v>
      </c>
      <c r="H261" s="16" t="s">
        <v>83</v>
      </c>
      <c r="I261" s="19">
        <v>31500</v>
      </c>
      <c r="J261" s="19">
        <v>24000</v>
      </c>
      <c r="K261" s="7">
        <f t="shared" si="18"/>
        <v>55500</v>
      </c>
      <c r="L261" s="113">
        <f t="shared" si="25"/>
        <v>111000</v>
      </c>
      <c r="M261" s="8"/>
      <c r="N261" s="101"/>
      <c r="O261" s="104"/>
      <c r="P261" s="20"/>
      <c r="Q261" s="163">
        <f t="shared" si="19"/>
        <v>63000</v>
      </c>
      <c r="R261" s="163">
        <f t="shared" si="20"/>
        <v>48000</v>
      </c>
    </row>
    <row r="262" spans="1:18" s="21" customFormat="1" ht="35.1" customHeight="1">
      <c r="A262" s="77">
        <v>6</v>
      </c>
      <c r="B262" s="68" t="s">
        <v>279</v>
      </c>
      <c r="C262" s="60" t="s">
        <v>102</v>
      </c>
      <c r="D262" s="84">
        <v>1</v>
      </c>
      <c r="E262" s="63"/>
      <c r="F262" s="63" t="s">
        <v>81</v>
      </c>
      <c r="G262" s="63" t="s">
        <v>113</v>
      </c>
      <c r="H262" s="16" t="s">
        <v>83</v>
      </c>
      <c r="I262" s="19">
        <v>294000</v>
      </c>
      <c r="J262" s="19">
        <v>24000</v>
      </c>
      <c r="K262" s="7">
        <f t="shared" si="18"/>
        <v>318000</v>
      </c>
      <c r="L262" s="113">
        <f t="shared" si="25"/>
        <v>318000</v>
      </c>
      <c r="M262" s="8"/>
      <c r="N262" s="101"/>
      <c r="O262" s="104"/>
      <c r="P262" s="20"/>
      <c r="Q262" s="163">
        <f t="shared" si="19"/>
        <v>294000</v>
      </c>
      <c r="R262" s="163">
        <f t="shared" si="20"/>
        <v>24000</v>
      </c>
    </row>
    <row r="263" spans="1:18" s="21" customFormat="1" ht="35.1" customHeight="1">
      <c r="A263" s="77">
        <v>7</v>
      </c>
      <c r="B263" s="68" t="s">
        <v>280</v>
      </c>
      <c r="C263" s="60" t="s">
        <v>102</v>
      </c>
      <c r="D263" s="84">
        <v>1</v>
      </c>
      <c r="E263" s="63"/>
      <c r="F263" s="63" t="s">
        <v>81</v>
      </c>
      <c r="G263" s="63" t="s">
        <v>113</v>
      </c>
      <c r="H263" s="16" t="s">
        <v>83</v>
      </c>
      <c r="I263" s="19">
        <v>126000</v>
      </c>
      <c r="J263" s="19">
        <v>24000</v>
      </c>
      <c r="K263" s="7">
        <f t="shared" si="18"/>
        <v>150000</v>
      </c>
      <c r="L263" s="113">
        <f t="shared" si="25"/>
        <v>150000</v>
      </c>
      <c r="M263" s="8"/>
      <c r="N263" s="101"/>
      <c r="O263" s="104"/>
      <c r="P263" s="20"/>
      <c r="Q263" s="163">
        <f t="shared" si="19"/>
        <v>126000</v>
      </c>
      <c r="R263" s="163">
        <f t="shared" si="20"/>
        <v>24000</v>
      </c>
    </row>
    <row r="264" spans="1:18" s="32" customFormat="1" ht="35.1" customHeight="1">
      <c r="A264" s="77">
        <v>8</v>
      </c>
      <c r="B264" s="68" t="s">
        <v>281</v>
      </c>
      <c r="C264" s="60" t="s">
        <v>56</v>
      </c>
      <c r="D264" s="84">
        <v>48</v>
      </c>
      <c r="E264" s="63"/>
      <c r="F264" s="63" t="s">
        <v>81</v>
      </c>
      <c r="G264" s="63" t="s">
        <v>113</v>
      </c>
      <c r="H264" s="16" t="s">
        <v>83</v>
      </c>
      <c r="I264" s="19">
        <v>16000</v>
      </c>
      <c r="J264" s="19">
        <v>20000</v>
      </c>
      <c r="K264" s="7">
        <f t="shared" ref="K264:K311" si="26">I264+J264</f>
        <v>36000</v>
      </c>
      <c r="L264" s="113">
        <f t="shared" si="25"/>
        <v>1728000</v>
      </c>
      <c r="M264" s="8"/>
      <c r="N264" s="101"/>
      <c r="O264" s="104"/>
      <c r="P264" s="20"/>
      <c r="Q264" s="163">
        <f t="shared" ref="Q264:Q311" si="27">$D264*I264</f>
        <v>768000</v>
      </c>
      <c r="R264" s="163">
        <f t="shared" ref="R264:R311" si="28">$D264*J264</f>
        <v>960000</v>
      </c>
    </row>
    <row r="265" spans="1:18" s="21" customFormat="1" ht="35.1" customHeight="1">
      <c r="A265" s="77">
        <v>9</v>
      </c>
      <c r="B265" s="68" t="s">
        <v>282</v>
      </c>
      <c r="C265" s="60" t="s">
        <v>56</v>
      </c>
      <c r="D265" s="84">
        <v>12</v>
      </c>
      <c r="E265" s="63"/>
      <c r="F265" s="63" t="s">
        <v>81</v>
      </c>
      <c r="G265" s="63" t="s">
        <v>113</v>
      </c>
      <c r="H265" s="16" t="s">
        <v>83</v>
      </c>
      <c r="I265" s="19">
        <v>10500</v>
      </c>
      <c r="J265" s="19">
        <v>20000</v>
      </c>
      <c r="K265" s="7">
        <f t="shared" si="26"/>
        <v>30500</v>
      </c>
      <c r="L265" s="113">
        <f t="shared" si="25"/>
        <v>366000</v>
      </c>
      <c r="M265" s="8"/>
      <c r="N265" s="101"/>
      <c r="O265" s="104"/>
      <c r="P265" s="20"/>
      <c r="Q265" s="163">
        <f t="shared" si="27"/>
        <v>126000</v>
      </c>
      <c r="R265" s="163">
        <f t="shared" si="28"/>
        <v>240000</v>
      </c>
    </row>
    <row r="266" spans="1:18" s="21" customFormat="1" ht="35.1" customHeight="1">
      <c r="A266" s="77">
        <v>10</v>
      </c>
      <c r="B266" s="68" t="s">
        <v>283</v>
      </c>
      <c r="C266" s="60" t="s">
        <v>56</v>
      </c>
      <c r="D266" s="84">
        <v>40</v>
      </c>
      <c r="E266" s="63"/>
      <c r="F266" s="63" t="s">
        <v>81</v>
      </c>
      <c r="G266" s="63" t="s">
        <v>113</v>
      </c>
      <c r="H266" s="16" t="s">
        <v>83</v>
      </c>
      <c r="I266" s="19">
        <v>8400</v>
      </c>
      <c r="J266" s="19">
        <v>20000</v>
      </c>
      <c r="K266" s="7">
        <f t="shared" si="26"/>
        <v>28400</v>
      </c>
      <c r="L266" s="113">
        <f t="shared" si="25"/>
        <v>1136000</v>
      </c>
      <c r="M266" s="8"/>
      <c r="N266" s="101"/>
      <c r="O266" s="104"/>
      <c r="P266" s="20"/>
      <c r="Q266" s="163">
        <f t="shared" si="27"/>
        <v>336000</v>
      </c>
      <c r="R266" s="163">
        <f t="shared" si="28"/>
        <v>800000</v>
      </c>
    </row>
    <row r="267" spans="1:18" s="21" customFormat="1" ht="35.1" customHeight="1">
      <c r="A267" s="77">
        <v>11</v>
      </c>
      <c r="B267" s="68" t="s">
        <v>284</v>
      </c>
      <c r="C267" s="60" t="s">
        <v>102</v>
      </c>
      <c r="D267" s="84">
        <v>6</v>
      </c>
      <c r="E267" s="63"/>
      <c r="F267" s="63" t="s">
        <v>81</v>
      </c>
      <c r="G267" s="63" t="s">
        <v>113</v>
      </c>
      <c r="H267" s="16" t="s">
        <v>83</v>
      </c>
      <c r="I267" s="19">
        <v>8400</v>
      </c>
      <c r="J267" s="19">
        <v>25000</v>
      </c>
      <c r="K267" s="7">
        <f t="shared" si="26"/>
        <v>33400</v>
      </c>
      <c r="L267" s="113">
        <f t="shared" si="25"/>
        <v>200400</v>
      </c>
      <c r="M267" s="8"/>
      <c r="N267" s="101"/>
      <c r="O267" s="104"/>
      <c r="P267" s="20"/>
      <c r="Q267" s="163">
        <f t="shared" si="27"/>
        <v>50400</v>
      </c>
      <c r="R267" s="163">
        <f t="shared" si="28"/>
        <v>150000</v>
      </c>
    </row>
    <row r="268" spans="1:18" s="21" customFormat="1" ht="35.1" customHeight="1">
      <c r="A268" s="77">
        <v>12</v>
      </c>
      <c r="B268" s="68" t="s">
        <v>285</v>
      </c>
      <c r="C268" s="60" t="s">
        <v>102</v>
      </c>
      <c r="D268" s="84">
        <v>6</v>
      </c>
      <c r="E268" s="63"/>
      <c r="F268" s="63" t="s">
        <v>81</v>
      </c>
      <c r="G268" s="63" t="s">
        <v>113</v>
      </c>
      <c r="H268" s="16" t="s">
        <v>83</v>
      </c>
      <c r="I268" s="19">
        <v>8400</v>
      </c>
      <c r="J268" s="19">
        <v>25000</v>
      </c>
      <c r="K268" s="7">
        <f t="shared" si="26"/>
        <v>33400</v>
      </c>
      <c r="L268" s="113">
        <f t="shared" si="25"/>
        <v>200400</v>
      </c>
      <c r="M268" s="8"/>
      <c r="N268" s="101"/>
      <c r="O268" s="104"/>
      <c r="P268" s="20"/>
      <c r="Q268" s="163">
        <f t="shared" si="27"/>
        <v>50400</v>
      </c>
      <c r="R268" s="163">
        <f t="shared" si="28"/>
        <v>150000</v>
      </c>
    </row>
    <row r="269" spans="1:18" s="21" customFormat="1" ht="35.1" customHeight="1">
      <c r="A269" s="77">
        <v>13</v>
      </c>
      <c r="B269" s="68" t="s">
        <v>286</v>
      </c>
      <c r="C269" s="60" t="s">
        <v>102</v>
      </c>
      <c r="D269" s="84">
        <v>2</v>
      </c>
      <c r="E269" s="63"/>
      <c r="F269" s="63" t="s">
        <v>81</v>
      </c>
      <c r="G269" s="63" t="s">
        <v>113</v>
      </c>
      <c r="H269" s="16" t="s">
        <v>83</v>
      </c>
      <c r="I269" s="19">
        <v>7300</v>
      </c>
      <c r="J269" s="19">
        <v>25000</v>
      </c>
      <c r="K269" s="7">
        <f t="shared" si="26"/>
        <v>32300</v>
      </c>
      <c r="L269" s="113">
        <f t="shared" si="25"/>
        <v>64600</v>
      </c>
      <c r="M269" s="8"/>
      <c r="N269" s="101"/>
      <c r="O269" s="104"/>
      <c r="P269" s="20"/>
      <c r="Q269" s="163">
        <f t="shared" si="27"/>
        <v>14600</v>
      </c>
      <c r="R269" s="163">
        <f t="shared" si="28"/>
        <v>50000</v>
      </c>
    </row>
    <row r="270" spans="1:18" s="21" customFormat="1" ht="35.1" customHeight="1">
      <c r="A270" s="77">
        <v>14</v>
      </c>
      <c r="B270" s="68" t="s">
        <v>287</v>
      </c>
      <c r="C270" s="60" t="s">
        <v>102</v>
      </c>
      <c r="D270" s="84">
        <v>2</v>
      </c>
      <c r="E270" s="63"/>
      <c r="F270" s="63" t="s">
        <v>81</v>
      </c>
      <c r="G270" s="63" t="s">
        <v>113</v>
      </c>
      <c r="H270" s="16" t="s">
        <v>83</v>
      </c>
      <c r="I270" s="19">
        <v>6300</v>
      </c>
      <c r="J270" s="19">
        <v>25000</v>
      </c>
      <c r="K270" s="7">
        <f t="shared" si="26"/>
        <v>31300</v>
      </c>
      <c r="L270" s="113">
        <f t="shared" si="25"/>
        <v>62600</v>
      </c>
      <c r="M270" s="8"/>
      <c r="N270" s="101"/>
      <c r="O270" s="104"/>
      <c r="P270" s="20"/>
      <c r="Q270" s="163">
        <f t="shared" si="27"/>
        <v>12600</v>
      </c>
      <c r="R270" s="163">
        <f t="shared" si="28"/>
        <v>50000</v>
      </c>
    </row>
    <row r="271" spans="1:18" s="21" customFormat="1" ht="35.1" customHeight="1">
      <c r="A271" s="77">
        <v>15</v>
      </c>
      <c r="B271" s="68" t="s">
        <v>288</v>
      </c>
      <c r="C271" s="60" t="s">
        <v>102</v>
      </c>
      <c r="D271" s="84">
        <v>9</v>
      </c>
      <c r="E271" s="63"/>
      <c r="F271" s="63" t="s">
        <v>81</v>
      </c>
      <c r="G271" s="63" t="s">
        <v>113</v>
      </c>
      <c r="H271" s="16" t="s">
        <v>83</v>
      </c>
      <c r="I271" s="19">
        <v>7300</v>
      </c>
      <c r="J271" s="19">
        <v>25000</v>
      </c>
      <c r="K271" s="7">
        <f t="shared" si="26"/>
        <v>32300</v>
      </c>
      <c r="L271" s="113">
        <f t="shared" si="25"/>
        <v>290700</v>
      </c>
      <c r="M271" s="8"/>
      <c r="N271" s="101"/>
      <c r="O271" s="104"/>
      <c r="P271" s="20"/>
      <c r="Q271" s="163">
        <f t="shared" si="27"/>
        <v>65700</v>
      </c>
      <c r="R271" s="163">
        <f t="shared" si="28"/>
        <v>225000</v>
      </c>
    </row>
    <row r="272" spans="1:18" s="21" customFormat="1" ht="35.1" customHeight="1">
      <c r="A272" s="77">
        <v>16</v>
      </c>
      <c r="B272" s="68" t="s">
        <v>289</v>
      </c>
      <c r="C272" s="60" t="s">
        <v>102</v>
      </c>
      <c r="D272" s="84">
        <v>9</v>
      </c>
      <c r="E272" s="63"/>
      <c r="F272" s="63" t="s">
        <v>81</v>
      </c>
      <c r="G272" s="63" t="s">
        <v>113</v>
      </c>
      <c r="H272" s="16" t="s">
        <v>83</v>
      </c>
      <c r="I272" s="19">
        <v>6300</v>
      </c>
      <c r="J272" s="19">
        <v>25000</v>
      </c>
      <c r="K272" s="7">
        <f t="shared" si="26"/>
        <v>31300</v>
      </c>
      <c r="L272" s="113">
        <f t="shared" si="25"/>
        <v>281700</v>
      </c>
      <c r="M272" s="8"/>
      <c r="N272" s="101"/>
      <c r="O272" s="104"/>
      <c r="P272" s="20"/>
      <c r="Q272" s="163">
        <f t="shared" si="27"/>
        <v>56700</v>
      </c>
      <c r="R272" s="163">
        <f t="shared" si="28"/>
        <v>225000</v>
      </c>
    </row>
    <row r="273" spans="1:18" s="21" customFormat="1" ht="35.1" customHeight="1">
      <c r="A273" s="77">
        <v>17</v>
      </c>
      <c r="B273" s="68" t="s">
        <v>290</v>
      </c>
      <c r="C273" s="60" t="s">
        <v>102</v>
      </c>
      <c r="D273" s="84">
        <v>10</v>
      </c>
      <c r="E273" s="63"/>
      <c r="F273" s="63" t="s">
        <v>81</v>
      </c>
      <c r="G273" s="63" t="s">
        <v>113</v>
      </c>
      <c r="H273" s="16" t="s">
        <v>83</v>
      </c>
      <c r="I273" s="19">
        <v>5200</v>
      </c>
      <c r="J273" s="19">
        <v>25000</v>
      </c>
      <c r="K273" s="7">
        <f t="shared" si="26"/>
        <v>30200</v>
      </c>
      <c r="L273" s="113">
        <f t="shared" si="25"/>
        <v>302000</v>
      </c>
      <c r="M273" s="8"/>
      <c r="N273" s="101"/>
      <c r="O273" s="104"/>
      <c r="P273" s="20"/>
      <c r="Q273" s="163">
        <f t="shared" si="27"/>
        <v>52000</v>
      </c>
      <c r="R273" s="163">
        <f t="shared" si="28"/>
        <v>250000</v>
      </c>
    </row>
    <row r="274" spans="1:18" s="21" customFormat="1" ht="35.1" customHeight="1">
      <c r="A274" s="77">
        <v>18</v>
      </c>
      <c r="B274" s="68" t="s">
        <v>291</v>
      </c>
      <c r="C274" s="60" t="s">
        <v>102</v>
      </c>
      <c r="D274" s="84">
        <v>6</v>
      </c>
      <c r="E274" s="63"/>
      <c r="F274" s="63" t="s">
        <v>81</v>
      </c>
      <c r="G274" s="63" t="s">
        <v>113</v>
      </c>
      <c r="H274" s="16" t="s">
        <v>83</v>
      </c>
      <c r="I274" s="19">
        <v>6300</v>
      </c>
      <c r="J274" s="19">
        <v>25000</v>
      </c>
      <c r="K274" s="7">
        <f t="shared" si="26"/>
        <v>31300</v>
      </c>
      <c r="L274" s="113">
        <f t="shared" si="25"/>
        <v>187800</v>
      </c>
      <c r="M274" s="8"/>
      <c r="N274" s="101"/>
      <c r="O274" s="104"/>
      <c r="P274" s="20"/>
      <c r="Q274" s="163">
        <f t="shared" si="27"/>
        <v>37800</v>
      </c>
      <c r="R274" s="163">
        <f t="shared" si="28"/>
        <v>150000</v>
      </c>
    </row>
    <row r="275" spans="1:18" s="32" customFormat="1" ht="54" customHeight="1">
      <c r="A275" s="77">
        <v>19</v>
      </c>
      <c r="B275" s="68" t="s">
        <v>292</v>
      </c>
      <c r="C275" s="60" t="s">
        <v>102</v>
      </c>
      <c r="D275" s="84">
        <v>6</v>
      </c>
      <c r="E275" s="63"/>
      <c r="F275" s="63" t="s">
        <v>81</v>
      </c>
      <c r="G275" s="63" t="s">
        <v>113</v>
      </c>
      <c r="H275" s="16" t="s">
        <v>83</v>
      </c>
      <c r="I275" s="19">
        <v>4200</v>
      </c>
      <c r="J275" s="19">
        <v>25000</v>
      </c>
      <c r="K275" s="7">
        <f t="shared" si="26"/>
        <v>29200</v>
      </c>
      <c r="L275" s="113">
        <f t="shared" si="25"/>
        <v>175200</v>
      </c>
      <c r="M275" s="8"/>
      <c r="N275" s="101"/>
      <c r="O275" s="104"/>
      <c r="P275" s="20"/>
      <c r="Q275" s="163">
        <f t="shared" si="27"/>
        <v>25200</v>
      </c>
      <c r="R275" s="163">
        <f t="shared" si="28"/>
        <v>150000</v>
      </c>
    </row>
    <row r="276" spans="1:18" s="21" customFormat="1" ht="67.5" customHeight="1">
      <c r="A276" s="77">
        <v>20</v>
      </c>
      <c r="B276" s="68" t="s">
        <v>293</v>
      </c>
      <c r="C276" s="60" t="s">
        <v>167</v>
      </c>
      <c r="D276" s="84">
        <v>1</v>
      </c>
      <c r="E276" s="63"/>
      <c r="F276" s="63" t="s">
        <v>81</v>
      </c>
      <c r="G276" s="63" t="s">
        <v>113</v>
      </c>
      <c r="H276" s="16" t="s">
        <v>83</v>
      </c>
      <c r="I276" s="19">
        <v>3500000</v>
      </c>
      <c r="J276" s="19">
        <v>1500000</v>
      </c>
      <c r="K276" s="7">
        <f t="shared" si="26"/>
        <v>5000000</v>
      </c>
      <c r="L276" s="113">
        <f t="shared" si="25"/>
        <v>5000000</v>
      </c>
      <c r="M276" s="8"/>
      <c r="N276" s="101"/>
      <c r="O276" s="104"/>
      <c r="P276" s="20"/>
      <c r="Q276" s="163">
        <f t="shared" si="27"/>
        <v>3500000</v>
      </c>
      <c r="R276" s="163">
        <f t="shared" si="28"/>
        <v>1500000</v>
      </c>
    </row>
    <row r="277" spans="1:18" s="87" customFormat="1" ht="39.9" customHeight="1">
      <c r="A277" s="81" t="s">
        <v>478</v>
      </c>
      <c r="B277" s="74" t="s">
        <v>479</v>
      </c>
      <c r="C277" s="76"/>
      <c r="D277" s="27"/>
      <c r="E277" s="28"/>
      <c r="F277" s="75"/>
      <c r="G277" s="76"/>
      <c r="H277" s="82"/>
      <c r="I277" s="82"/>
      <c r="J277" s="82"/>
      <c r="K277" s="82"/>
      <c r="L277" s="82"/>
      <c r="M277" s="86"/>
      <c r="N277" s="111"/>
      <c r="O277" s="112"/>
      <c r="Q277" s="163">
        <f t="shared" si="27"/>
        <v>0</v>
      </c>
      <c r="R277" s="163">
        <f t="shared" si="28"/>
        <v>0</v>
      </c>
    </row>
    <row r="278" spans="1:18" s="21" customFormat="1" ht="61.5" customHeight="1">
      <c r="A278" s="60">
        <v>1</v>
      </c>
      <c r="B278" s="67" t="s">
        <v>294</v>
      </c>
      <c r="C278" s="60" t="s">
        <v>102</v>
      </c>
      <c r="D278" s="34">
        <v>1</v>
      </c>
      <c r="E278" s="19"/>
      <c r="F278" s="19" t="s">
        <v>295</v>
      </c>
      <c r="G278" s="60" t="s">
        <v>296</v>
      </c>
      <c r="H278" s="64"/>
      <c r="I278" s="19">
        <v>18000000</v>
      </c>
      <c r="J278" s="19">
        <v>0</v>
      </c>
      <c r="K278" s="7">
        <f t="shared" si="26"/>
        <v>18000000</v>
      </c>
      <c r="L278" s="113">
        <f t="shared" ref="L278:L289" si="29">K278*D278</f>
        <v>18000000</v>
      </c>
      <c r="M278" s="8"/>
      <c r="N278" s="101"/>
      <c r="O278" s="104"/>
      <c r="P278" s="20"/>
      <c r="Q278" s="163">
        <f t="shared" si="27"/>
        <v>18000000</v>
      </c>
      <c r="R278" s="163">
        <f t="shared" si="28"/>
        <v>0</v>
      </c>
    </row>
    <row r="279" spans="1:18" s="21" customFormat="1" ht="35.1" customHeight="1">
      <c r="A279" s="60">
        <v>2</v>
      </c>
      <c r="B279" s="67" t="s">
        <v>161</v>
      </c>
      <c r="C279" s="60" t="s">
        <v>162</v>
      </c>
      <c r="D279" s="34">
        <v>4</v>
      </c>
      <c r="E279" s="19"/>
      <c r="F279" s="63"/>
      <c r="G279" s="60" t="s">
        <v>113</v>
      </c>
      <c r="H279" s="63" t="s">
        <v>377</v>
      </c>
      <c r="I279" s="19">
        <v>472500</v>
      </c>
      <c r="J279" s="19">
        <v>112000</v>
      </c>
      <c r="K279" s="7">
        <f t="shared" si="26"/>
        <v>584500</v>
      </c>
      <c r="L279" s="113">
        <f t="shared" si="29"/>
        <v>2338000</v>
      </c>
      <c r="M279" s="8"/>
      <c r="N279" s="101"/>
      <c r="O279" s="104"/>
      <c r="P279" s="20"/>
      <c r="Q279" s="163">
        <f t="shared" si="27"/>
        <v>1890000</v>
      </c>
      <c r="R279" s="163">
        <f t="shared" si="28"/>
        <v>448000</v>
      </c>
    </row>
    <row r="280" spans="1:18" s="21" customFormat="1" ht="35.1" customHeight="1">
      <c r="A280" s="60">
        <v>3</v>
      </c>
      <c r="B280" s="67" t="s">
        <v>163</v>
      </c>
      <c r="C280" s="60" t="s">
        <v>164</v>
      </c>
      <c r="D280" s="34">
        <v>4</v>
      </c>
      <c r="E280" s="19"/>
      <c r="F280" s="63" t="s">
        <v>297</v>
      </c>
      <c r="G280" s="63" t="s">
        <v>376</v>
      </c>
      <c r="H280" s="64"/>
      <c r="I280" s="19">
        <v>635250</v>
      </c>
      <c r="J280" s="19">
        <v>135000</v>
      </c>
      <c r="K280" s="7">
        <f t="shared" si="26"/>
        <v>770250</v>
      </c>
      <c r="L280" s="113">
        <f t="shared" si="29"/>
        <v>3081000</v>
      </c>
      <c r="M280" s="8"/>
      <c r="N280" s="101"/>
      <c r="O280" s="104"/>
      <c r="P280" s="20"/>
      <c r="Q280" s="163">
        <f t="shared" si="27"/>
        <v>2541000</v>
      </c>
      <c r="R280" s="163">
        <f t="shared" si="28"/>
        <v>540000</v>
      </c>
    </row>
    <row r="281" spans="1:18" s="21" customFormat="1" ht="35.1" customHeight="1">
      <c r="A281" s="60">
        <v>4</v>
      </c>
      <c r="B281" s="67" t="s">
        <v>165</v>
      </c>
      <c r="C281" s="60" t="s">
        <v>55</v>
      </c>
      <c r="D281" s="34">
        <v>4</v>
      </c>
      <c r="E281" s="19"/>
      <c r="F281" s="63"/>
      <c r="G281" s="63" t="s">
        <v>113</v>
      </c>
      <c r="H281" s="64"/>
      <c r="I281" s="19">
        <v>0</v>
      </c>
      <c r="J281" s="19">
        <v>4600000</v>
      </c>
      <c r="K281" s="7">
        <f t="shared" si="26"/>
        <v>4600000</v>
      </c>
      <c r="L281" s="113">
        <f t="shared" si="29"/>
        <v>18400000</v>
      </c>
      <c r="M281" s="8"/>
      <c r="N281" s="101"/>
      <c r="O281" s="104"/>
      <c r="P281" s="20"/>
      <c r="Q281" s="163">
        <f t="shared" si="27"/>
        <v>0</v>
      </c>
      <c r="R281" s="163">
        <f t="shared" si="28"/>
        <v>18400000</v>
      </c>
    </row>
    <row r="282" spans="1:18" s="21" customFormat="1" ht="35.1" customHeight="1">
      <c r="A282" s="60">
        <v>5</v>
      </c>
      <c r="B282" s="67" t="s">
        <v>298</v>
      </c>
      <c r="C282" s="60" t="s">
        <v>48</v>
      </c>
      <c r="D282" s="34">
        <v>1</v>
      </c>
      <c r="E282" s="19"/>
      <c r="F282" s="63"/>
      <c r="G282" s="63" t="s">
        <v>113</v>
      </c>
      <c r="H282" s="64"/>
      <c r="I282" s="19">
        <v>3675000</v>
      </c>
      <c r="J282" s="19">
        <v>0</v>
      </c>
      <c r="K282" s="7">
        <f t="shared" si="26"/>
        <v>3675000</v>
      </c>
      <c r="L282" s="113">
        <f t="shared" si="29"/>
        <v>3675000</v>
      </c>
      <c r="M282" s="8"/>
      <c r="N282" s="101"/>
      <c r="O282" s="104"/>
      <c r="P282" s="20"/>
      <c r="Q282" s="163">
        <f t="shared" si="27"/>
        <v>3675000</v>
      </c>
      <c r="R282" s="163">
        <f t="shared" si="28"/>
        <v>0</v>
      </c>
    </row>
    <row r="283" spans="1:18" s="21" customFormat="1" ht="35.1" customHeight="1">
      <c r="A283" s="60">
        <v>6</v>
      </c>
      <c r="B283" s="67" t="s">
        <v>166</v>
      </c>
      <c r="C283" s="60" t="s">
        <v>56</v>
      </c>
      <c r="D283" s="34">
        <v>134</v>
      </c>
      <c r="E283" s="19"/>
      <c r="F283" s="19" t="s">
        <v>469</v>
      </c>
      <c r="G283" s="63" t="s">
        <v>113</v>
      </c>
      <c r="H283" s="16" t="s">
        <v>82</v>
      </c>
      <c r="I283" s="19">
        <v>386400</v>
      </c>
      <c r="J283" s="19">
        <v>60000</v>
      </c>
      <c r="K283" s="7">
        <f t="shared" si="26"/>
        <v>446400</v>
      </c>
      <c r="L283" s="113">
        <f t="shared" si="29"/>
        <v>59817600</v>
      </c>
      <c r="M283" s="8"/>
      <c r="N283" s="101"/>
      <c r="O283" s="104"/>
      <c r="P283" s="20"/>
      <c r="Q283" s="163">
        <f t="shared" si="27"/>
        <v>51777600</v>
      </c>
      <c r="R283" s="163">
        <f t="shared" si="28"/>
        <v>8040000</v>
      </c>
    </row>
    <row r="284" spans="1:18" s="21" customFormat="1" ht="64.5" customHeight="1">
      <c r="A284" s="60">
        <v>7</v>
      </c>
      <c r="B284" s="67" t="s">
        <v>299</v>
      </c>
      <c r="C284" s="60" t="s">
        <v>300</v>
      </c>
      <c r="D284" s="34">
        <v>1</v>
      </c>
      <c r="E284" s="19"/>
      <c r="F284" s="63"/>
      <c r="G284" s="63" t="s">
        <v>113</v>
      </c>
      <c r="H284" s="64"/>
      <c r="I284" s="19">
        <v>432500</v>
      </c>
      <c r="J284" s="19">
        <v>120000</v>
      </c>
      <c r="K284" s="7">
        <f t="shared" si="26"/>
        <v>552500</v>
      </c>
      <c r="L284" s="113">
        <f t="shared" si="29"/>
        <v>552500</v>
      </c>
      <c r="M284" s="8"/>
      <c r="N284" s="101"/>
      <c r="O284" s="104"/>
      <c r="P284" s="20"/>
      <c r="Q284" s="163">
        <f t="shared" si="27"/>
        <v>432500</v>
      </c>
      <c r="R284" s="163">
        <f t="shared" si="28"/>
        <v>120000</v>
      </c>
    </row>
    <row r="285" spans="1:18" s="21" customFormat="1" ht="35.1" customHeight="1">
      <c r="A285" s="60">
        <v>8</v>
      </c>
      <c r="B285" s="67" t="s">
        <v>301</v>
      </c>
      <c r="C285" s="60" t="s">
        <v>56</v>
      </c>
      <c r="D285" s="34">
        <v>48</v>
      </c>
      <c r="E285" s="19"/>
      <c r="F285" s="63" t="s">
        <v>81</v>
      </c>
      <c r="G285" s="63" t="s">
        <v>113</v>
      </c>
      <c r="H285" s="16" t="s">
        <v>83</v>
      </c>
      <c r="I285" s="19">
        <v>84000</v>
      </c>
      <c r="J285" s="19">
        <v>15000</v>
      </c>
      <c r="K285" s="7">
        <f t="shared" si="26"/>
        <v>99000</v>
      </c>
      <c r="L285" s="113">
        <f t="shared" si="29"/>
        <v>4752000</v>
      </c>
      <c r="M285" s="8"/>
      <c r="N285" s="101"/>
      <c r="O285" s="104"/>
      <c r="P285" s="20"/>
      <c r="Q285" s="163">
        <f t="shared" si="27"/>
        <v>4032000</v>
      </c>
      <c r="R285" s="163">
        <f t="shared" si="28"/>
        <v>720000</v>
      </c>
    </row>
    <row r="286" spans="1:18" s="32" customFormat="1" ht="35.1" customHeight="1">
      <c r="A286" s="60">
        <v>9</v>
      </c>
      <c r="B286" s="67" t="s">
        <v>302</v>
      </c>
      <c r="C286" s="60" t="s">
        <v>55</v>
      </c>
      <c r="D286" s="34">
        <v>2</v>
      </c>
      <c r="E286" s="19" t="s">
        <v>379</v>
      </c>
      <c r="F286" s="16" t="s">
        <v>380</v>
      </c>
      <c r="G286" s="63" t="s">
        <v>113</v>
      </c>
      <c r="H286" s="64"/>
      <c r="I286" s="19">
        <v>829500</v>
      </c>
      <c r="J286" s="19">
        <v>0</v>
      </c>
      <c r="K286" s="7">
        <f t="shared" si="26"/>
        <v>829500</v>
      </c>
      <c r="L286" s="113">
        <f t="shared" si="29"/>
        <v>1659000</v>
      </c>
      <c r="M286" s="8"/>
      <c r="N286" s="101"/>
      <c r="O286" s="104"/>
      <c r="P286" s="20"/>
      <c r="Q286" s="163">
        <f t="shared" si="27"/>
        <v>1659000</v>
      </c>
      <c r="R286" s="163">
        <f t="shared" si="28"/>
        <v>0</v>
      </c>
    </row>
    <row r="287" spans="1:18" s="66" customFormat="1" ht="35.1" customHeight="1">
      <c r="A287" s="60">
        <v>10</v>
      </c>
      <c r="B287" s="67" t="s">
        <v>303</v>
      </c>
      <c r="C287" s="60" t="s">
        <v>55</v>
      </c>
      <c r="D287" s="34">
        <v>2</v>
      </c>
      <c r="E287" s="19" t="s">
        <v>381</v>
      </c>
      <c r="F287" s="16" t="s">
        <v>380</v>
      </c>
      <c r="G287" s="63" t="s">
        <v>113</v>
      </c>
      <c r="H287" s="64"/>
      <c r="I287" s="19">
        <v>493130</v>
      </c>
      <c r="J287" s="19">
        <v>0</v>
      </c>
      <c r="K287" s="7">
        <f t="shared" si="26"/>
        <v>493130</v>
      </c>
      <c r="L287" s="113">
        <f t="shared" si="29"/>
        <v>986260</v>
      </c>
      <c r="M287" s="8"/>
      <c r="N287" s="101"/>
      <c r="O287" s="104"/>
      <c r="P287" s="65"/>
      <c r="Q287" s="163">
        <f t="shared" si="27"/>
        <v>986260</v>
      </c>
      <c r="R287" s="163">
        <f t="shared" si="28"/>
        <v>0</v>
      </c>
    </row>
    <row r="288" spans="1:18" s="21" customFormat="1" ht="59.25" customHeight="1">
      <c r="A288" s="60">
        <v>11</v>
      </c>
      <c r="B288" s="67" t="s">
        <v>304</v>
      </c>
      <c r="C288" s="60" t="s">
        <v>305</v>
      </c>
      <c r="D288" s="34">
        <v>2</v>
      </c>
      <c r="E288" s="19"/>
      <c r="F288" s="63"/>
      <c r="G288" s="63" t="s">
        <v>113</v>
      </c>
      <c r="H288" s="64"/>
      <c r="I288" s="19">
        <v>472500</v>
      </c>
      <c r="J288" s="19">
        <v>187200</v>
      </c>
      <c r="K288" s="7">
        <f t="shared" si="26"/>
        <v>659700</v>
      </c>
      <c r="L288" s="113">
        <f t="shared" si="29"/>
        <v>1319400</v>
      </c>
      <c r="M288" s="8"/>
      <c r="N288" s="101"/>
      <c r="O288" s="104"/>
      <c r="P288" s="20"/>
      <c r="Q288" s="163">
        <f t="shared" si="27"/>
        <v>945000</v>
      </c>
      <c r="R288" s="163">
        <f t="shared" si="28"/>
        <v>374400</v>
      </c>
    </row>
    <row r="289" spans="1:18" s="21" customFormat="1" ht="59.25" customHeight="1">
      <c r="A289" s="60">
        <v>12</v>
      </c>
      <c r="B289" s="67" t="s">
        <v>480</v>
      </c>
      <c r="C289" s="60" t="s">
        <v>167</v>
      </c>
      <c r="D289" s="34">
        <v>1</v>
      </c>
      <c r="E289" s="19"/>
      <c r="F289" s="63"/>
      <c r="G289" s="60" t="s">
        <v>113</v>
      </c>
      <c r="H289" s="64"/>
      <c r="I289" s="19">
        <v>4000000</v>
      </c>
      <c r="J289" s="19">
        <v>1000000</v>
      </c>
      <c r="K289" s="7">
        <f t="shared" si="26"/>
        <v>5000000</v>
      </c>
      <c r="L289" s="113">
        <f t="shared" si="29"/>
        <v>5000000</v>
      </c>
      <c r="M289" s="8"/>
      <c r="N289" s="101"/>
      <c r="O289" s="104"/>
      <c r="P289" s="20"/>
      <c r="Q289" s="163">
        <f t="shared" si="27"/>
        <v>4000000</v>
      </c>
      <c r="R289" s="163">
        <f t="shared" si="28"/>
        <v>1000000</v>
      </c>
    </row>
    <row r="290" spans="1:18" s="87" customFormat="1" ht="39.9" customHeight="1">
      <c r="A290" s="81" t="s">
        <v>481</v>
      </c>
      <c r="B290" s="74" t="s">
        <v>482</v>
      </c>
      <c r="C290" s="76"/>
      <c r="D290" s="27"/>
      <c r="E290" s="28"/>
      <c r="F290" s="75"/>
      <c r="G290" s="76"/>
      <c r="H290" s="82"/>
      <c r="I290" s="148"/>
      <c r="J290" s="148"/>
      <c r="K290" s="148"/>
      <c r="L290" s="148"/>
      <c r="M290" s="86"/>
      <c r="N290" s="111"/>
      <c r="O290" s="112"/>
      <c r="Q290" s="163">
        <f t="shared" si="27"/>
        <v>0</v>
      </c>
      <c r="R290" s="163">
        <f t="shared" si="28"/>
        <v>0</v>
      </c>
    </row>
    <row r="291" spans="1:18" s="21" customFormat="1" ht="105" customHeight="1">
      <c r="A291" s="60">
        <v>1</v>
      </c>
      <c r="B291" s="67" t="s">
        <v>306</v>
      </c>
      <c r="C291" s="63" t="s">
        <v>176</v>
      </c>
      <c r="D291" s="34">
        <v>1</v>
      </c>
      <c r="E291" s="88" t="s">
        <v>307</v>
      </c>
      <c r="F291" s="63" t="s">
        <v>308</v>
      </c>
      <c r="G291" s="63" t="s">
        <v>309</v>
      </c>
      <c r="H291" s="64"/>
      <c r="I291" s="19">
        <v>17037500</v>
      </c>
      <c r="J291" s="19">
        <v>0</v>
      </c>
      <c r="K291" s="7">
        <f t="shared" si="26"/>
        <v>17037500</v>
      </c>
      <c r="L291" s="113">
        <f t="shared" ref="L291:L300" si="30">K291*D291</f>
        <v>17037500</v>
      </c>
      <c r="M291" s="8"/>
      <c r="N291" s="101"/>
      <c r="O291" s="104"/>
      <c r="P291" s="20"/>
      <c r="Q291" s="163">
        <f t="shared" si="27"/>
        <v>17037500</v>
      </c>
      <c r="R291" s="163">
        <f t="shared" si="28"/>
        <v>0</v>
      </c>
    </row>
    <row r="292" spans="1:18" s="20" customFormat="1" ht="35.1" customHeight="1">
      <c r="A292" s="60">
        <v>2</v>
      </c>
      <c r="B292" s="89" t="s">
        <v>382</v>
      </c>
      <c r="C292" s="90" t="s">
        <v>52</v>
      </c>
      <c r="D292" s="91">
        <v>1</v>
      </c>
      <c r="E292" s="92" t="s">
        <v>383</v>
      </c>
      <c r="F292" s="92" t="s">
        <v>384</v>
      </c>
      <c r="G292" s="93" t="s">
        <v>113</v>
      </c>
      <c r="H292" s="63"/>
      <c r="I292" s="149">
        <v>7500000</v>
      </c>
      <c r="J292" s="149">
        <v>2100000</v>
      </c>
      <c r="K292" s="7">
        <f t="shared" si="26"/>
        <v>9600000</v>
      </c>
      <c r="L292" s="113">
        <f t="shared" si="30"/>
        <v>9600000</v>
      </c>
      <c r="M292" s="8"/>
      <c r="N292" s="101"/>
      <c r="O292" s="104"/>
      <c r="Q292" s="163">
        <f t="shared" si="27"/>
        <v>7500000</v>
      </c>
      <c r="R292" s="163">
        <f t="shared" si="28"/>
        <v>2100000</v>
      </c>
    </row>
    <row r="293" spans="1:18" s="21" customFormat="1" ht="50.1" customHeight="1">
      <c r="A293" s="60">
        <v>3</v>
      </c>
      <c r="B293" s="67" t="s">
        <v>310</v>
      </c>
      <c r="C293" s="63" t="s">
        <v>48</v>
      </c>
      <c r="D293" s="34">
        <v>2</v>
      </c>
      <c r="E293" s="63" t="s">
        <v>311</v>
      </c>
      <c r="F293" s="63" t="s">
        <v>308</v>
      </c>
      <c r="G293" s="63" t="s">
        <v>309</v>
      </c>
      <c r="H293" s="64"/>
      <c r="I293" s="19">
        <v>1627500</v>
      </c>
      <c r="J293" s="19">
        <v>585000</v>
      </c>
      <c r="K293" s="7">
        <f t="shared" si="26"/>
        <v>2212500</v>
      </c>
      <c r="L293" s="113">
        <f t="shared" si="30"/>
        <v>4425000</v>
      </c>
      <c r="M293" s="8"/>
      <c r="N293" s="101"/>
      <c r="O293" s="104"/>
      <c r="P293" s="20"/>
      <c r="Q293" s="163">
        <f t="shared" si="27"/>
        <v>3255000</v>
      </c>
      <c r="R293" s="163">
        <f t="shared" si="28"/>
        <v>1170000</v>
      </c>
    </row>
    <row r="294" spans="1:18" s="21" customFormat="1" ht="35.1" customHeight="1">
      <c r="A294" s="60">
        <v>4</v>
      </c>
      <c r="B294" s="67" t="s">
        <v>312</v>
      </c>
      <c r="C294" s="63" t="s">
        <v>55</v>
      </c>
      <c r="D294" s="34">
        <v>9</v>
      </c>
      <c r="E294" s="63" t="s">
        <v>313</v>
      </c>
      <c r="F294" s="63" t="s">
        <v>308</v>
      </c>
      <c r="G294" s="63" t="s">
        <v>309</v>
      </c>
      <c r="H294" s="64"/>
      <c r="I294" s="19">
        <v>756000</v>
      </c>
      <c r="J294" s="19">
        <v>168480</v>
      </c>
      <c r="K294" s="7">
        <f t="shared" si="26"/>
        <v>924480</v>
      </c>
      <c r="L294" s="113">
        <f t="shared" si="30"/>
        <v>8320320</v>
      </c>
      <c r="M294" s="8"/>
      <c r="N294" s="101"/>
      <c r="O294" s="104"/>
      <c r="P294" s="20"/>
      <c r="Q294" s="163">
        <f t="shared" si="27"/>
        <v>6804000</v>
      </c>
      <c r="R294" s="163">
        <f t="shared" si="28"/>
        <v>1516320</v>
      </c>
    </row>
    <row r="295" spans="1:18" s="21" customFormat="1" ht="35.1" customHeight="1">
      <c r="A295" s="60">
        <v>5</v>
      </c>
      <c r="B295" s="67" t="s">
        <v>314</v>
      </c>
      <c r="C295" s="63" t="s">
        <v>55</v>
      </c>
      <c r="D295" s="34">
        <v>1</v>
      </c>
      <c r="E295" s="63" t="s">
        <v>315</v>
      </c>
      <c r="F295" s="63" t="s">
        <v>308</v>
      </c>
      <c r="G295" s="63" t="s">
        <v>309</v>
      </c>
      <c r="H295" s="64"/>
      <c r="I295" s="19">
        <v>9591750</v>
      </c>
      <c r="J295" s="19">
        <v>702000</v>
      </c>
      <c r="K295" s="7">
        <f t="shared" si="26"/>
        <v>10293750</v>
      </c>
      <c r="L295" s="113">
        <f t="shared" si="30"/>
        <v>10293750</v>
      </c>
      <c r="M295" s="8"/>
      <c r="N295" s="101"/>
      <c r="O295" s="104"/>
      <c r="P295" s="20"/>
      <c r="Q295" s="163">
        <f t="shared" si="27"/>
        <v>9591750</v>
      </c>
      <c r="R295" s="163">
        <f t="shared" si="28"/>
        <v>702000</v>
      </c>
    </row>
    <row r="296" spans="1:18" s="21" customFormat="1" ht="35.1" customHeight="1">
      <c r="A296" s="60">
        <v>6</v>
      </c>
      <c r="B296" s="67" t="s">
        <v>483</v>
      </c>
      <c r="C296" s="63" t="s">
        <v>55</v>
      </c>
      <c r="D296" s="34">
        <v>1</v>
      </c>
      <c r="E296" s="63" t="s">
        <v>315</v>
      </c>
      <c r="F296" s="63" t="s">
        <v>308</v>
      </c>
      <c r="G296" s="63" t="s">
        <v>309</v>
      </c>
      <c r="H296" s="64"/>
      <c r="I296" s="19">
        <v>12757500</v>
      </c>
      <c r="J296" s="19">
        <v>702000</v>
      </c>
      <c r="K296" s="7">
        <f t="shared" si="26"/>
        <v>13459500</v>
      </c>
      <c r="L296" s="113">
        <f t="shared" si="30"/>
        <v>13459500</v>
      </c>
      <c r="M296" s="8"/>
      <c r="N296" s="101"/>
      <c r="O296" s="104"/>
      <c r="P296" s="20"/>
      <c r="Q296" s="163">
        <f t="shared" si="27"/>
        <v>12757500</v>
      </c>
      <c r="R296" s="163">
        <f t="shared" si="28"/>
        <v>702000</v>
      </c>
    </row>
    <row r="297" spans="1:18" s="21" customFormat="1" ht="35.1" customHeight="1">
      <c r="A297" s="60">
        <v>7</v>
      </c>
      <c r="B297" s="67" t="s">
        <v>316</v>
      </c>
      <c r="C297" s="63" t="s">
        <v>56</v>
      </c>
      <c r="D297" s="34">
        <v>334</v>
      </c>
      <c r="E297" s="19"/>
      <c r="F297" s="19" t="s">
        <v>469</v>
      </c>
      <c r="G297" s="60" t="s">
        <v>113</v>
      </c>
      <c r="H297" s="16" t="s">
        <v>82</v>
      </c>
      <c r="I297" s="19">
        <v>8400</v>
      </c>
      <c r="J297" s="19">
        <v>7488</v>
      </c>
      <c r="K297" s="7">
        <f t="shared" si="26"/>
        <v>15888</v>
      </c>
      <c r="L297" s="113">
        <f t="shared" si="30"/>
        <v>5306592</v>
      </c>
      <c r="M297" s="8"/>
      <c r="N297" s="101"/>
      <c r="O297" s="104"/>
      <c r="P297" s="20"/>
      <c r="Q297" s="163">
        <f t="shared" si="27"/>
        <v>2805600</v>
      </c>
      <c r="R297" s="163">
        <f t="shared" si="28"/>
        <v>2500992</v>
      </c>
    </row>
    <row r="298" spans="1:18" s="66" customFormat="1" ht="35.1" customHeight="1">
      <c r="A298" s="60">
        <v>8</v>
      </c>
      <c r="B298" s="67" t="s">
        <v>207</v>
      </c>
      <c r="C298" s="63" t="s">
        <v>56</v>
      </c>
      <c r="D298" s="34">
        <v>150</v>
      </c>
      <c r="E298" s="19"/>
      <c r="F298" s="19" t="s">
        <v>81</v>
      </c>
      <c r="G298" s="60" t="s">
        <v>113</v>
      </c>
      <c r="H298" s="16" t="s">
        <v>83</v>
      </c>
      <c r="I298" s="19">
        <v>23698.5</v>
      </c>
      <c r="J298" s="19">
        <v>7020</v>
      </c>
      <c r="K298" s="7">
        <f t="shared" si="26"/>
        <v>30718.5</v>
      </c>
      <c r="L298" s="113">
        <f t="shared" si="30"/>
        <v>4607775</v>
      </c>
      <c r="M298" s="8"/>
      <c r="N298" s="101"/>
      <c r="O298" s="104"/>
      <c r="P298" s="65"/>
      <c r="Q298" s="163">
        <f t="shared" si="27"/>
        <v>3554775</v>
      </c>
      <c r="R298" s="163">
        <f t="shared" si="28"/>
        <v>1053000</v>
      </c>
    </row>
    <row r="299" spans="1:18" s="21" customFormat="1" ht="35.1" customHeight="1">
      <c r="A299" s="60">
        <v>9</v>
      </c>
      <c r="B299" s="67" t="s">
        <v>150</v>
      </c>
      <c r="C299" s="63" t="s">
        <v>56</v>
      </c>
      <c r="D299" s="34">
        <v>10</v>
      </c>
      <c r="E299" s="19"/>
      <c r="F299" s="19" t="s">
        <v>81</v>
      </c>
      <c r="G299" s="60" t="s">
        <v>113</v>
      </c>
      <c r="H299" s="16" t="s">
        <v>83</v>
      </c>
      <c r="I299" s="19">
        <v>6300</v>
      </c>
      <c r="J299" s="19">
        <v>3744</v>
      </c>
      <c r="K299" s="7">
        <f t="shared" si="26"/>
        <v>10044</v>
      </c>
      <c r="L299" s="113">
        <f t="shared" si="30"/>
        <v>100440</v>
      </c>
      <c r="M299" s="8"/>
      <c r="N299" s="101"/>
      <c r="O299" s="104"/>
      <c r="P299" s="20"/>
      <c r="Q299" s="163">
        <f t="shared" si="27"/>
        <v>63000</v>
      </c>
      <c r="R299" s="163">
        <f t="shared" si="28"/>
        <v>37440</v>
      </c>
    </row>
    <row r="300" spans="1:18" s="21" customFormat="1" ht="35.1" customHeight="1">
      <c r="A300" s="60">
        <v>10</v>
      </c>
      <c r="B300" s="67" t="s">
        <v>317</v>
      </c>
      <c r="C300" s="63" t="s">
        <v>146</v>
      </c>
      <c r="D300" s="34">
        <v>1</v>
      </c>
      <c r="E300" s="19"/>
      <c r="F300" s="63"/>
      <c r="G300" s="60" t="s">
        <v>113</v>
      </c>
      <c r="H300" s="64"/>
      <c r="I300" s="19">
        <v>3000000</v>
      </c>
      <c r="J300" s="19">
        <v>0</v>
      </c>
      <c r="K300" s="7">
        <f t="shared" si="26"/>
        <v>3000000</v>
      </c>
      <c r="L300" s="113">
        <f t="shared" si="30"/>
        <v>3000000</v>
      </c>
      <c r="M300" s="8"/>
      <c r="N300" s="101"/>
      <c r="O300" s="104"/>
      <c r="P300" s="20"/>
      <c r="Q300" s="163">
        <f t="shared" si="27"/>
        <v>3000000</v>
      </c>
      <c r="R300" s="163">
        <f t="shared" si="28"/>
        <v>0</v>
      </c>
    </row>
    <row r="301" spans="1:18" s="87" customFormat="1" ht="39.9" customHeight="1">
      <c r="A301" s="81" t="s">
        <v>484</v>
      </c>
      <c r="B301" s="74" t="s">
        <v>485</v>
      </c>
      <c r="C301" s="76"/>
      <c r="D301" s="27"/>
      <c r="E301" s="28"/>
      <c r="F301" s="75"/>
      <c r="G301" s="76"/>
      <c r="H301" s="82"/>
      <c r="I301" s="82"/>
      <c r="J301" s="82"/>
      <c r="K301" s="82"/>
      <c r="L301" s="82"/>
      <c r="M301" s="86"/>
      <c r="N301" s="111"/>
      <c r="O301" s="112"/>
      <c r="Q301" s="163">
        <f t="shared" si="27"/>
        <v>0</v>
      </c>
      <c r="R301" s="163">
        <f t="shared" si="28"/>
        <v>0</v>
      </c>
    </row>
    <row r="302" spans="1:18" s="21" customFormat="1" ht="73.5" customHeight="1">
      <c r="A302" s="60">
        <v>1</v>
      </c>
      <c r="B302" s="67" t="s">
        <v>318</v>
      </c>
      <c r="C302" s="60" t="s">
        <v>52</v>
      </c>
      <c r="D302" s="34">
        <v>9</v>
      </c>
      <c r="E302" s="63" t="s">
        <v>319</v>
      </c>
      <c r="F302" s="63" t="s">
        <v>320</v>
      </c>
      <c r="G302" s="60" t="s">
        <v>113</v>
      </c>
      <c r="H302" s="63" t="s">
        <v>486</v>
      </c>
      <c r="I302" s="19">
        <v>4000500</v>
      </c>
      <c r="J302" s="19">
        <v>450000</v>
      </c>
      <c r="K302" s="7">
        <f t="shared" si="26"/>
        <v>4450500</v>
      </c>
      <c r="L302" s="113">
        <f t="shared" ref="L302:L311" si="31">K302*D302</f>
        <v>40054500</v>
      </c>
      <c r="M302" s="8"/>
      <c r="N302" s="101"/>
      <c r="O302" s="104"/>
      <c r="P302" s="20"/>
      <c r="Q302" s="163">
        <f t="shared" si="27"/>
        <v>36004500</v>
      </c>
      <c r="R302" s="163">
        <f t="shared" si="28"/>
        <v>4050000</v>
      </c>
    </row>
    <row r="303" spans="1:18" s="21" customFormat="1" ht="50.1" customHeight="1">
      <c r="A303" s="60">
        <v>2</v>
      </c>
      <c r="B303" s="94" t="s">
        <v>321</v>
      </c>
      <c r="C303" s="60" t="s">
        <v>52</v>
      </c>
      <c r="D303" s="34">
        <v>12</v>
      </c>
      <c r="E303" s="63" t="s">
        <v>322</v>
      </c>
      <c r="F303" s="63" t="s">
        <v>323</v>
      </c>
      <c r="G303" s="60" t="s">
        <v>113</v>
      </c>
      <c r="H303" s="63" t="s">
        <v>486</v>
      </c>
      <c r="I303" s="19">
        <v>400250</v>
      </c>
      <c r="J303" s="19">
        <v>121000</v>
      </c>
      <c r="K303" s="7">
        <f t="shared" si="26"/>
        <v>521250</v>
      </c>
      <c r="L303" s="113">
        <f t="shared" si="31"/>
        <v>6255000</v>
      </c>
      <c r="M303" s="8"/>
      <c r="N303" s="101"/>
      <c r="O303" s="104"/>
      <c r="P303" s="20"/>
      <c r="Q303" s="163">
        <f t="shared" si="27"/>
        <v>4803000</v>
      </c>
      <c r="R303" s="163">
        <f t="shared" si="28"/>
        <v>1452000</v>
      </c>
    </row>
    <row r="304" spans="1:18" s="21" customFormat="1" ht="35.1" customHeight="1">
      <c r="A304" s="60">
        <v>3</v>
      </c>
      <c r="B304" s="67" t="s">
        <v>324</v>
      </c>
      <c r="C304" s="60" t="s">
        <v>56</v>
      </c>
      <c r="D304" s="34">
        <v>560</v>
      </c>
      <c r="E304" s="19"/>
      <c r="F304" s="19" t="s">
        <v>469</v>
      </c>
      <c r="G304" s="60" t="s">
        <v>113</v>
      </c>
      <c r="H304" s="16" t="s">
        <v>82</v>
      </c>
      <c r="I304" s="19">
        <v>13000</v>
      </c>
      <c r="J304" s="19">
        <v>7488</v>
      </c>
      <c r="K304" s="7">
        <f t="shared" si="26"/>
        <v>20488</v>
      </c>
      <c r="L304" s="113">
        <f t="shared" si="31"/>
        <v>11473280</v>
      </c>
      <c r="M304" s="8"/>
      <c r="N304" s="101"/>
      <c r="O304" s="104"/>
      <c r="P304" s="20"/>
      <c r="Q304" s="163">
        <f t="shared" si="27"/>
        <v>7280000</v>
      </c>
      <c r="R304" s="163">
        <f t="shared" si="28"/>
        <v>4193280</v>
      </c>
    </row>
    <row r="305" spans="1:18" s="21" customFormat="1" ht="35.1" customHeight="1">
      <c r="A305" s="60">
        <v>4</v>
      </c>
      <c r="B305" s="67" t="s">
        <v>207</v>
      </c>
      <c r="C305" s="60" t="s">
        <v>56</v>
      </c>
      <c r="D305" s="34">
        <v>190</v>
      </c>
      <c r="E305" s="19"/>
      <c r="F305" s="19" t="s">
        <v>81</v>
      </c>
      <c r="G305" s="60" t="s">
        <v>113</v>
      </c>
      <c r="H305" s="16" t="s">
        <v>83</v>
      </c>
      <c r="I305" s="19">
        <v>23698.5</v>
      </c>
      <c r="J305" s="19">
        <v>7020</v>
      </c>
      <c r="K305" s="7">
        <f t="shared" si="26"/>
        <v>30718.5</v>
      </c>
      <c r="L305" s="113">
        <f t="shared" si="31"/>
        <v>5836515</v>
      </c>
      <c r="M305" s="8"/>
      <c r="N305" s="101"/>
      <c r="O305" s="104"/>
      <c r="P305" s="20"/>
      <c r="Q305" s="163">
        <f t="shared" si="27"/>
        <v>4502715</v>
      </c>
      <c r="R305" s="163">
        <f t="shared" si="28"/>
        <v>1333800</v>
      </c>
    </row>
    <row r="306" spans="1:18" s="21" customFormat="1" ht="35.1" customHeight="1">
      <c r="A306" s="60">
        <v>5</v>
      </c>
      <c r="B306" s="67" t="s">
        <v>325</v>
      </c>
      <c r="C306" s="60" t="s">
        <v>326</v>
      </c>
      <c r="D306" s="34">
        <v>1</v>
      </c>
      <c r="E306" s="19"/>
      <c r="F306" s="63"/>
      <c r="G306" s="60" t="s">
        <v>113</v>
      </c>
      <c r="H306" s="64"/>
      <c r="I306" s="19"/>
      <c r="J306" s="19"/>
      <c r="K306" s="7"/>
      <c r="L306" s="113"/>
      <c r="M306" s="8"/>
      <c r="N306" s="101"/>
      <c r="O306" s="104"/>
      <c r="P306" s="20"/>
      <c r="Q306" s="163">
        <f t="shared" si="27"/>
        <v>0</v>
      </c>
      <c r="R306" s="163">
        <f t="shared" si="28"/>
        <v>0</v>
      </c>
    </row>
    <row r="307" spans="1:18" s="21" customFormat="1" ht="35.1" customHeight="1">
      <c r="A307" s="60">
        <v>5.0999999999999996</v>
      </c>
      <c r="B307" s="67" t="s">
        <v>224</v>
      </c>
      <c r="C307" s="60" t="s">
        <v>102</v>
      </c>
      <c r="D307" s="34">
        <v>1</v>
      </c>
      <c r="E307" s="19" t="s">
        <v>225</v>
      </c>
      <c r="F307" s="63" t="s">
        <v>104</v>
      </c>
      <c r="G307" s="60" t="s">
        <v>105</v>
      </c>
      <c r="H307" s="64"/>
      <c r="I307" s="19">
        <v>257250</v>
      </c>
      <c r="J307" s="19">
        <v>28080</v>
      </c>
      <c r="K307" s="7">
        <f t="shared" si="26"/>
        <v>285330</v>
      </c>
      <c r="L307" s="113">
        <f t="shared" si="31"/>
        <v>285330</v>
      </c>
      <c r="M307" s="8"/>
      <c r="N307" s="101"/>
      <c r="O307" s="104"/>
      <c r="P307" s="20"/>
      <c r="Q307" s="163">
        <f t="shared" si="27"/>
        <v>257250</v>
      </c>
      <c r="R307" s="163">
        <f t="shared" si="28"/>
        <v>28080</v>
      </c>
    </row>
    <row r="308" spans="1:18" s="32" customFormat="1" ht="35.1" customHeight="1">
      <c r="A308" s="60">
        <v>5.2</v>
      </c>
      <c r="B308" s="71" t="s">
        <v>141</v>
      </c>
      <c r="C308" s="60" t="s">
        <v>102</v>
      </c>
      <c r="D308" s="34">
        <v>4</v>
      </c>
      <c r="E308" s="19" t="s">
        <v>226</v>
      </c>
      <c r="F308" s="63" t="s">
        <v>104</v>
      </c>
      <c r="G308" s="60" t="s">
        <v>105</v>
      </c>
      <c r="H308" s="64"/>
      <c r="I308" s="19">
        <v>92400</v>
      </c>
      <c r="J308" s="19">
        <v>19656</v>
      </c>
      <c r="K308" s="7">
        <f t="shared" si="26"/>
        <v>112056</v>
      </c>
      <c r="L308" s="113">
        <f t="shared" si="31"/>
        <v>448224</v>
      </c>
      <c r="M308" s="8"/>
      <c r="N308" s="101"/>
      <c r="O308" s="104"/>
      <c r="P308" s="20"/>
      <c r="Q308" s="163">
        <f t="shared" si="27"/>
        <v>369600</v>
      </c>
      <c r="R308" s="163">
        <f t="shared" si="28"/>
        <v>78624</v>
      </c>
    </row>
    <row r="309" spans="1:18" s="21" customFormat="1" ht="50.1" customHeight="1">
      <c r="A309" s="60">
        <v>5.3</v>
      </c>
      <c r="B309" s="67" t="s">
        <v>327</v>
      </c>
      <c r="C309" s="60" t="s">
        <v>52</v>
      </c>
      <c r="D309" s="34">
        <v>1</v>
      </c>
      <c r="E309" s="19" t="s">
        <v>328</v>
      </c>
      <c r="F309" s="63" t="s">
        <v>329</v>
      </c>
      <c r="G309" s="63" t="s">
        <v>330</v>
      </c>
      <c r="H309" s="70"/>
      <c r="I309" s="19">
        <v>1312500</v>
      </c>
      <c r="J309" s="19">
        <v>234000</v>
      </c>
      <c r="K309" s="7">
        <f t="shared" si="26"/>
        <v>1546500</v>
      </c>
      <c r="L309" s="113">
        <f t="shared" si="31"/>
        <v>1546500</v>
      </c>
      <c r="M309" s="8"/>
      <c r="N309" s="101"/>
      <c r="O309" s="104"/>
      <c r="P309" s="20"/>
      <c r="Q309" s="163">
        <f t="shared" si="27"/>
        <v>1312500</v>
      </c>
      <c r="R309" s="163">
        <f t="shared" si="28"/>
        <v>234000</v>
      </c>
    </row>
    <row r="310" spans="1:18" s="21" customFormat="1" ht="70.5" customHeight="1">
      <c r="A310" s="60">
        <v>5.4</v>
      </c>
      <c r="B310" s="67" t="s">
        <v>227</v>
      </c>
      <c r="C310" s="60" t="s">
        <v>146</v>
      </c>
      <c r="D310" s="34">
        <v>1</v>
      </c>
      <c r="E310" s="19"/>
      <c r="F310" s="63" t="s">
        <v>331</v>
      </c>
      <c r="G310" s="60" t="s">
        <v>113</v>
      </c>
      <c r="H310" s="64"/>
      <c r="I310" s="19">
        <v>0</v>
      </c>
      <c r="J310" s="19">
        <f>5616000+14498</f>
        <v>5630498</v>
      </c>
      <c r="K310" s="7">
        <f t="shared" si="26"/>
        <v>5630498</v>
      </c>
      <c r="L310" s="113">
        <f t="shared" si="31"/>
        <v>5630498</v>
      </c>
      <c r="M310" s="8"/>
      <c r="N310" s="101"/>
      <c r="O310" s="104"/>
      <c r="P310" s="20"/>
      <c r="Q310" s="163">
        <f t="shared" si="27"/>
        <v>0</v>
      </c>
      <c r="R310" s="163">
        <f t="shared" si="28"/>
        <v>5630498</v>
      </c>
    </row>
    <row r="311" spans="1:18" s="21" customFormat="1" ht="71.25" customHeight="1">
      <c r="A311" s="60">
        <v>6</v>
      </c>
      <c r="B311" s="67" t="s">
        <v>332</v>
      </c>
      <c r="C311" s="60" t="s">
        <v>146</v>
      </c>
      <c r="D311" s="34">
        <v>1</v>
      </c>
      <c r="E311" s="19"/>
      <c r="F311" s="63"/>
      <c r="G311" s="60" t="s">
        <v>113</v>
      </c>
      <c r="H311" s="64"/>
      <c r="I311" s="19">
        <v>0</v>
      </c>
      <c r="J311" s="19">
        <v>4000000</v>
      </c>
      <c r="K311" s="7">
        <f t="shared" si="26"/>
        <v>4000000</v>
      </c>
      <c r="L311" s="113">
        <f t="shared" si="31"/>
        <v>4000000</v>
      </c>
      <c r="M311" s="8"/>
      <c r="N311" s="101"/>
      <c r="O311" s="104"/>
      <c r="P311" s="20"/>
      <c r="Q311" s="163">
        <f t="shared" si="27"/>
        <v>0</v>
      </c>
      <c r="R311" s="163">
        <f t="shared" si="28"/>
        <v>4000000</v>
      </c>
    </row>
    <row r="312" spans="1:18" s="97" customFormat="1" ht="39.9" customHeight="1">
      <c r="A312" s="196" t="s">
        <v>487</v>
      </c>
      <c r="B312" s="196"/>
      <c r="C312" s="196"/>
      <c r="D312" s="196"/>
      <c r="E312" s="196"/>
      <c r="F312" s="196"/>
      <c r="G312" s="196"/>
      <c r="H312" s="196"/>
      <c r="I312" s="157"/>
      <c r="J312" s="95"/>
      <c r="K312" s="96"/>
      <c r="L312" s="152">
        <f>SUBTOTAL(9,L7:L311)</f>
        <v>3854146465.8899994</v>
      </c>
      <c r="M312" s="115"/>
      <c r="N312" s="100"/>
      <c r="O312" s="100"/>
      <c r="P312" s="20"/>
      <c r="Q312" s="152">
        <f>SUBTOTAL(9,Q7:Q311)</f>
        <v>2394818830.6999998</v>
      </c>
      <c r="R312" s="152">
        <f>SUBTOTAL(9,R7:R311)</f>
        <v>1459327635.1899998</v>
      </c>
    </row>
    <row r="313" spans="1:18" s="123" customFormat="1" ht="18" customHeight="1">
      <c r="A313" s="116" t="s">
        <v>386</v>
      </c>
      <c r="B313" s="117" t="s">
        <v>387</v>
      </c>
      <c r="C313" s="118"/>
      <c r="D313" s="119"/>
      <c r="E313" s="120"/>
      <c r="F313" s="119"/>
      <c r="G313" s="119"/>
      <c r="H313" s="119"/>
      <c r="I313" s="121"/>
      <c r="J313" s="121"/>
      <c r="K313" s="122"/>
      <c r="L313" s="122"/>
      <c r="M313" s="122"/>
      <c r="Q313" s="164"/>
      <c r="R313" s="164"/>
    </row>
    <row r="314" spans="1:18" s="122" customFormat="1" ht="18" customHeight="1">
      <c r="A314" s="124">
        <v>1</v>
      </c>
      <c r="B314" s="187" t="s">
        <v>388</v>
      </c>
      <c r="C314" s="188"/>
      <c r="D314" s="189"/>
      <c r="E314" s="189"/>
      <c r="F314" s="189"/>
      <c r="G314" s="189"/>
      <c r="H314" s="189"/>
      <c r="I314" s="121"/>
      <c r="J314" s="121"/>
      <c r="L314" s="158"/>
      <c r="Q314" s="165"/>
      <c r="R314" s="165"/>
    </row>
    <row r="315" spans="1:18" s="122" customFormat="1" ht="18" customHeight="1">
      <c r="A315" s="124">
        <v>2</v>
      </c>
      <c r="B315" s="189" t="s">
        <v>389</v>
      </c>
      <c r="C315" s="188"/>
      <c r="D315" s="189"/>
      <c r="E315" s="125"/>
      <c r="F315" s="124"/>
      <c r="G315" s="124"/>
      <c r="H315" s="124"/>
      <c r="I315" s="126"/>
      <c r="J315" s="126"/>
      <c r="Q315" s="165"/>
      <c r="R315" s="165"/>
    </row>
    <row r="316" spans="1:18" s="122" customFormat="1" ht="18" customHeight="1">
      <c r="A316" s="124">
        <v>3</v>
      </c>
      <c r="B316" s="127" t="s">
        <v>390</v>
      </c>
      <c r="C316" s="128"/>
      <c r="D316" s="127"/>
      <c r="E316" s="125"/>
      <c r="F316" s="124"/>
      <c r="G316" s="124"/>
      <c r="H316" s="124"/>
      <c r="I316" s="126"/>
      <c r="J316" s="126"/>
      <c r="K316" s="129"/>
      <c r="L316" s="129"/>
      <c r="M316" s="129"/>
      <c r="Q316" s="165"/>
      <c r="R316" s="165"/>
    </row>
    <row r="317" spans="1:18" s="129" customFormat="1" ht="18" customHeight="1">
      <c r="A317" s="124">
        <v>4</v>
      </c>
      <c r="B317" s="130" t="s">
        <v>391</v>
      </c>
      <c r="C317" s="128"/>
      <c r="D317" s="127"/>
      <c r="E317" s="131"/>
      <c r="F317" s="132"/>
      <c r="G317" s="132"/>
      <c r="H317" s="132"/>
      <c r="I317" s="126"/>
      <c r="J317" s="126"/>
      <c r="Q317" s="166"/>
      <c r="R317" s="166"/>
    </row>
    <row r="318" spans="1:18" s="129" customFormat="1" ht="18" customHeight="1">
      <c r="A318" s="124">
        <v>5</v>
      </c>
      <c r="B318" s="133" t="s">
        <v>392</v>
      </c>
      <c r="C318" s="134"/>
      <c r="D318" s="134"/>
      <c r="E318" s="131"/>
      <c r="F318" s="132"/>
      <c r="G318" s="132"/>
      <c r="H318" s="132"/>
      <c r="I318" s="135"/>
      <c r="J318" s="135"/>
      <c r="K318" s="123"/>
      <c r="L318" s="123"/>
      <c r="M318" s="123"/>
      <c r="Q318" s="166"/>
      <c r="R318" s="166"/>
    </row>
    <row r="319" spans="1:18" s="123" customFormat="1" ht="18" customHeight="1">
      <c r="A319" s="116" t="s">
        <v>94</v>
      </c>
      <c r="B319" s="117" t="s">
        <v>393</v>
      </c>
      <c r="C319" s="118"/>
      <c r="D319" s="119"/>
      <c r="E319" s="120"/>
      <c r="F319" s="119"/>
      <c r="G319" s="119"/>
      <c r="H319" s="119"/>
      <c r="I319" s="126"/>
      <c r="J319" s="126"/>
      <c r="Q319" s="164"/>
      <c r="R319" s="164"/>
    </row>
    <row r="320" spans="1:18" s="123" customFormat="1" ht="18" customHeight="1">
      <c r="A320" s="118">
        <v>1</v>
      </c>
      <c r="B320" s="127" t="s">
        <v>394</v>
      </c>
      <c r="C320" s="118"/>
      <c r="D320" s="118"/>
      <c r="E320" s="136"/>
      <c r="F320" s="122"/>
      <c r="G320" s="122"/>
      <c r="H320" s="122"/>
      <c r="I320" s="126"/>
      <c r="J320" s="126"/>
      <c r="Q320" s="164"/>
      <c r="R320" s="164"/>
    </row>
    <row r="321" spans="1:18" s="123" customFormat="1" ht="18" customHeight="1">
      <c r="A321" s="118">
        <v>2</v>
      </c>
      <c r="B321" s="127" t="s">
        <v>395</v>
      </c>
      <c r="C321" s="118"/>
      <c r="D321" s="118"/>
      <c r="E321" s="136"/>
      <c r="F321" s="122"/>
      <c r="G321" s="122"/>
      <c r="H321" s="122"/>
      <c r="I321" s="135"/>
      <c r="J321" s="135"/>
      <c r="Q321" s="164"/>
      <c r="R321" s="164"/>
    </row>
    <row r="322" spans="1:18" s="123" customFormat="1" ht="18" customHeight="1">
      <c r="A322" s="116" t="s">
        <v>396</v>
      </c>
      <c r="B322" s="117" t="s">
        <v>397</v>
      </c>
      <c r="C322" s="118"/>
      <c r="D322" s="119"/>
      <c r="E322" s="120"/>
      <c r="F322" s="119"/>
      <c r="G322" s="119"/>
      <c r="H322" s="119"/>
      <c r="I322" s="126"/>
      <c r="J322" s="126"/>
      <c r="Q322" s="164"/>
      <c r="R322" s="164"/>
    </row>
    <row r="323" spans="1:18" s="123" customFormat="1" ht="30.75" customHeight="1">
      <c r="A323" s="118">
        <v>1</v>
      </c>
      <c r="B323" s="127" t="s">
        <v>398</v>
      </c>
      <c r="C323" s="118"/>
      <c r="D323" s="118"/>
      <c r="E323" s="136"/>
      <c r="F323" s="122"/>
      <c r="G323" s="122"/>
      <c r="H323" s="122"/>
      <c r="I323" s="126"/>
      <c r="Q323" s="164"/>
      <c r="R323" s="164"/>
    </row>
    <row r="324" spans="1:18" s="137" customFormat="1" ht="24.9" customHeight="1">
      <c r="A324" s="184" t="s">
        <v>399</v>
      </c>
      <c r="B324" s="185"/>
      <c r="C324" s="186" t="s">
        <v>400</v>
      </c>
      <c r="D324" s="186"/>
      <c r="E324" s="186"/>
      <c r="F324" s="186"/>
      <c r="G324" s="186"/>
      <c r="H324" s="186"/>
      <c r="I324" s="173" t="s">
        <v>490</v>
      </c>
      <c r="J324" s="173"/>
      <c r="K324" s="173"/>
      <c r="L324" s="173"/>
      <c r="M324" s="173"/>
      <c r="N324" s="123"/>
      <c r="Q324" s="167"/>
      <c r="R324" s="167"/>
    </row>
    <row r="325" spans="1:18" s="138" customFormat="1" ht="36" customHeight="1">
      <c r="A325" s="201" t="s">
        <v>401</v>
      </c>
      <c r="B325" s="202"/>
      <c r="C325" s="199" t="s">
        <v>402</v>
      </c>
      <c r="D325" s="199"/>
      <c r="E325" s="199"/>
      <c r="F325" s="199"/>
      <c r="G325" s="199"/>
      <c r="H325" s="199"/>
      <c r="I325" s="172" t="s">
        <v>426</v>
      </c>
      <c r="J325" s="172"/>
      <c r="K325" s="172"/>
      <c r="L325" s="172"/>
      <c r="M325" s="172"/>
      <c r="N325" s="123"/>
      <c r="Q325" s="168"/>
      <c r="R325" s="168"/>
    </row>
    <row r="326" spans="1:18" s="139" customFormat="1" ht="44.25" customHeight="1">
      <c r="A326" s="201" t="s">
        <v>403</v>
      </c>
      <c r="B326" s="202"/>
      <c r="C326" s="203" t="s">
        <v>404</v>
      </c>
      <c r="D326" s="203"/>
      <c r="E326" s="203"/>
      <c r="F326" s="203"/>
      <c r="G326" s="203"/>
      <c r="H326" s="203"/>
      <c r="I326" s="172" t="s">
        <v>427</v>
      </c>
      <c r="J326" s="172"/>
      <c r="K326" s="172"/>
      <c r="L326" s="172"/>
      <c r="M326" s="172"/>
      <c r="N326" s="123"/>
      <c r="Q326" s="169"/>
      <c r="R326" s="169"/>
    </row>
    <row r="327" spans="1:18" s="139" customFormat="1" ht="201.75" customHeight="1">
      <c r="A327" s="197" t="s">
        <v>405</v>
      </c>
      <c r="B327" s="198"/>
      <c r="C327" s="204" t="s">
        <v>420</v>
      </c>
      <c r="D327" s="204"/>
      <c r="E327" s="204"/>
      <c r="F327" s="204"/>
      <c r="G327" s="204"/>
      <c r="H327" s="204"/>
      <c r="I327" s="172" t="s">
        <v>426</v>
      </c>
      <c r="J327" s="172"/>
      <c r="K327" s="172"/>
      <c r="L327" s="172"/>
      <c r="M327" s="172"/>
      <c r="N327" s="123"/>
      <c r="Q327" s="169"/>
      <c r="R327" s="169"/>
    </row>
    <row r="328" spans="1:18" s="138" customFormat="1" ht="49.5" customHeight="1">
      <c r="A328" s="197" t="s">
        <v>406</v>
      </c>
      <c r="B328" s="198"/>
      <c r="C328" s="199" t="s">
        <v>407</v>
      </c>
      <c r="D328" s="199"/>
      <c r="E328" s="199"/>
      <c r="F328" s="199"/>
      <c r="G328" s="199"/>
      <c r="H328" s="199"/>
      <c r="I328" s="172" t="s">
        <v>426</v>
      </c>
      <c r="J328" s="172"/>
      <c r="K328" s="172"/>
      <c r="L328" s="172"/>
      <c r="M328" s="172"/>
      <c r="N328" s="123"/>
      <c r="Q328" s="168"/>
      <c r="R328" s="168"/>
    </row>
    <row r="329" spans="1:18" s="138" customFormat="1" ht="30" customHeight="1">
      <c r="A329" s="197" t="s">
        <v>408</v>
      </c>
      <c r="B329" s="198"/>
      <c r="C329" s="199" t="s">
        <v>409</v>
      </c>
      <c r="D329" s="199"/>
      <c r="E329" s="199"/>
      <c r="F329" s="199"/>
      <c r="G329" s="199"/>
      <c r="H329" s="199"/>
      <c r="I329" s="172" t="s">
        <v>426</v>
      </c>
      <c r="J329" s="172"/>
      <c r="K329" s="172"/>
      <c r="L329" s="172"/>
      <c r="M329" s="172"/>
      <c r="N329" s="123"/>
      <c r="Q329" s="168"/>
      <c r="R329" s="168"/>
    </row>
    <row r="330" spans="1:18" s="138" customFormat="1" ht="30" customHeight="1">
      <c r="A330" s="197" t="s">
        <v>410</v>
      </c>
      <c r="B330" s="198"/>
      <c r="C330" s="200" t="s">
        <v>419</v>
      </c>
      <c r="D330" s="200"/>
      <c r="E330" s="200"/>
      <c r="F330" s="200"/>
      <c r="G330" s="200"/>
      <c r="H330" s="200"/>
      <c r="I330" s="172" t="s">
        <v>426</v>
      </c>
      <c r="J330" s="172"/>
      <c r="K330" s="172"/>
      <c r="L330" s="172"/>
      <c r="M330" s="172"/>
      <c r="N330" s="123"/>
      <c r="Q330" s="168"/>
      <c r="R330" s="168"/>
    </row>
    <row r="331" spans="1:18" s="138" customFormat="1" ht="372" customHeight="1">
      <c r="A331" s="197" t="s">
        <v>411</v>
      </c>
      <c r="B331" s="198"/>
      <c r="C331" s="199" t="s">
        <v>412</v>
      </c>
      <c r="D331" s="199"/>
      <c r="E331" s="199"/>
      <c r="F331" s="199"/>
      <c r="G331" s="199"/>
      <c r="H331" s="199"/>
      <c r="I331" s="172" t="s">
        <v>426</v>
      </c>
      <c r="J331" s="172"/>
      <c r="K331" s="172"/>
      <c r="L331" s="172"/>
      <c r="M331" s="172"/>
      <c r="N331" s="123"/>
      <c r="Q331" s="168"/>
      <c r="R331" s="168"/>
    </row>
    <row r="332" spans="1:18" s="138" customFormat="1" ht="33" customHeight="1">
      <c r="A332" s="140"/>
      <c r="B332" s="140"/>
      <c r="C332" s="141"/>
      <c r="D332" s="141"/>
      <c r="E332" s="141"/>
      <c r="F332" s="141"/>
      <c r="G332" s="141"/>
      <c r="H332" s="141"/>
      <c r="I332" s="141"/>
      <c r="J332" s="141"/>
      <c r="K332" s="153" t="s">
        <v>494</v>
      </c>
      <c r="L332" s="141"/>
      <c r="M332" s="123"/>
      <c r="Q332" s="168"/>
      <c r="R332" s="168"/>
    </row>
    <row r="333" spans="1:18" s="138" customFormat="1" ht="23.25" customHeight="1">
      <c r="A333" s="140"/>
      <c r="B333" s="140"/>
      <c r="C333" s="141"/>
      <c r="D333" s="141"/>
      <c r="E333" s="141"/>
      <c r="F333" s="141"/>
      <c r="G333" s="141"/>
      <c r="H333" s="141"/>
      <c r="I333" s="141"/>
      <c r="J333" s="141"/>
      <c r="K333" s="142" t="s">
        <v>413</v>
      </c>
      <c r="L333" s="143"/>
      <c r="M333" s="143"/>
      <c r="Q333" s="168"/>
      <c r="R333" s="168"/>
    </row>
    <row r="334" spans="1:18" s="144" customFormat="1" ht="30.75" customHeight="1">
      <c r="B334" s="145"/>
      <c r="C334" s="145"/>
      <c r="D334" s="146"/>
      <c r="E334" s="145"/>
      <c r="F334" s="147"/>
      <c r="G334" s="145"/>
      <c r="H334" s="147"/>
      <c r="I334" s="145"/>
      <c r="J334" s="145"/>
      <c r="K334" s="145"/>
      <c r="L334" s="145"/>
      <c r="M334" s="147"/>
      <c r="Q334" s="170"/>
      <c r="R334" s="170"/>
    </row>
  </sheetData>
  <autoFilter ref="A6:N312" xr:uid="{00000000-0009-0000-0000-000000000000}"/>
  <mergeCells count="38">
    <mergeCell ref="A328:B328"/>
    <mergeCell ref="C328:H328"/>
    <mergeCell ref="A325:B325"/>
    <mergeCell ref="C325:H325"/>
    <mergeCell ref="A326:B326"/>
    <mergeCell ref="C326:H326"/>
    <mergeCell ref="A327:B327"/>
    <mergeCell ref="C327:H327"/>
    <mergeCell ref="A331:B331"/>
    <mergeCell ref="C331:H331"/>
    <mergeCell ref="A329:B329"/>
    <mergeCell ref="C329:H329"/>
    <mergeCell ref="A330:B330"/>
    <mergeCell ref="C330:H330"/>
    <mergeCell ref="A1:M1"/>
    <mergeCell ref="A2:M2"/>
    <mergeCell ref="I3:M4"/>
    <mergeCell ref="A324:B324"/>
    <mergeCell ref="C324:H324"/>
    <mergeCell ref="B314:H314"/>
    <mergeCell ref="B315:D315"/>
    <mergeCell ref="F3:F5"/>
    <mergeCell ref="G3:G5"/>
    <mergeCell ref="H3:H5"/>
    <mergeCell ref="A3:A5"/>
    <mergeCell ref="B3:B5"/>
    <mergeCell ref="C3:C5"/>
    <mergeCell ref="D3:D5"/>
    <mergeCell ref="E3:E5"/>
    <mergeCell ref="A312:H312"/>
    <mergeCell ref="I328:M328"/>
    <mergeCell ref="I329:M329"/>
    <mergeCell ref="I330:M330"/>
    <mergeCell ref="I331:M331"/>
    <mergeCell ref="I324:M324"/>
    <mergeCell ref="I325:M325"/>
    <mergeCell ref="I326:M326"/>
    <mergeCell ref="I327:M327"/>
  </mergeCells>
  <conditionalFormatting sqref="E213:G214">
    <cfRule type="containsText" dxfId="3" priority="4" stopIfTrue="1" operator="containsText" text="trừ">
      <formula>NOT(ISERROR(SEARCH("trừ",E213)))</formula>
    </cfRule>
  </conditionalFormatting>
  <conditionalFormatting sqref="F215">
    <cfRule type="containsText" dxfId="2" priority="3" stopIfTrue="1" operator="containsText" text="trừ">
      <formula>NOT(ISERROR(SEARCH("trừ",F215)))</formula>
    </cfRule>
  </conditionalFormatting>
  <conditionalFormatting sqref="G215:G217 G219">
    <cfRule type="containsText" dxfId="1" priority="2" stopIfTrue="1" operator="containsText" text="trừ">
      <formula>NOT(ISERROR(SEARCH("trừ",G215)))</formula>
    </cfRule>
  </conditionalFormatting>
  <conditionalFormatting sqref="H179">
    <cfRule type="containsText" dxfId="0" priority="1" stopIfTrue="1" operator="containsText" text="trừ">
      <formula>NOT(ISERROR(SEARCH("trừ",H179)))</formula>
    </cfRule>
  </conditionalFormatting>
  <printOptions horizontalCentered="1"/>
  <pageMargins left="0.19685039370078741" right="0.19685039370078741" top="0.6692913385826772" bottom="0.55118110236220474" header="0.31496062992125984" footer="0.31496062992125984"/>
  <pageSetup paperSize="9" scale="49" orientation="landscape" r:id="rId1"/>
  <headerFooter>
    <oddFooter>&amp;C&amp;P/&amp;N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Dự Thầu</vt:lpstr>
      <vt:lpstr>'Dự Thầu'!Print_Area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PHẠM HỒNG DƯƠNG</cp:lastModifiedBy>
  <cp:lastPrinted>2026-08-06T07:35:41Z</cp:lastPrinted>
  <dcterms:created xsi:type="dcterms:W3CDTF">2026-05-21T07:25:58Z</dcterms:created>
  <dcterms:modified xsi:type="dcterms:W3CDTF">2026-09-03T01:44:54Z</dcterms:modified>
</cp:coreProperties>
</file>