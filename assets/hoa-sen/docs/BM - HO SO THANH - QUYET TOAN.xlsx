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Thùy Dương\0. HOA SEN GROUP - THÙY DƯƠNG\1. TẬP ĐOÀN HOA SEN\00. BIỂU MẪU\BMDA Hoa Sen Home\"/>
    </mc:Choice>
  </mc:AlternateContent>
  <bookViews>
    <workbookView xWindow="-105" yWindow="-105" windowWidth="23130" windowHeight="12570" tabRatio="893"/>
  </bookViews>
  <sheets>
    <sheet name="Bìa" sheetId="28" r:id="rId1"/>
    <sheet name="PL SOAT XET" sheetId="39" r:id="rId2"/>
    <sheet name="Bảng kl kèm NTVL" sheetId="41" r:id="rId3"/>
    <sheet name="TK VAT TU Hoa Sen" sheetId="29" r:id="rId4"/>
    <sheet name="TONG HOP GT" sheetId="18" r:id="rId5"/>
    <sheet name="KL TONG HOP" sheetId="17" r:id="rId6"/>
    <sheet name="Dien giai KL" sheetId="15" r:id="rId7"/>
    <sheet name="TK THÉP SÀN" sheetId="38" r:id="rId8"/>
    <sheet name="Cable Nguon" sheetId="30" r:id="rId9"/>
    <sheet name="Trunking." sheetId="34" r:id="rId10"/>
    <sheet name="Cable DHKK" sheetId="31" r:id="rId11"/>
    <sheet name="DMBV MEP" sheetId="33" r:id="rId12"/>
  </sheets>
  <externalReferences>
    <externalReference r:id="rId13"/>
  </externalReferences>
  <definedNames>
    <definedName name="_____________PA3" localSheetId="0" hidden="1">{"'Sheet1'!$L$16"}</definedName>
    <definedName name="_____________PA3" localSheetId="7" hidden="1">{"'Sheet1'!$L$16"}</definedName>
    <definedName name="_____________PA3" localSheetId="3" hidden="1">{"'Sheet1'!$L$16"}</definedName>
    <definedName name="_____________PA3" hidden="1">{"'Sheet1'!$L$16"}</definedName>
    <definedName name="_____________PA3_1" hidden="1">{"'Sheet1'!$L$16"}</definedName>
    <definedName name="_____________PA3_2" hidden="1">{"'Sheet1'!$L$16"}</definedName>
    <definedName name="___________PA3" localSheetId="0" hidden="1">{"'Sheet1'!$L$16"}</definedName>
    <definedName name="___________PA3" localSheetId="7" hidden="1">{"'Sheet1'!$L$16"}</definedName>
    <definedName name="___________PA3" localSheetId="3" hidden="1">{"'Sheet1'!$L$16"}</definedName>
    <definedName name="___________PA3" hidden="1">{"'Sheet1'!$L$16"}</definedName>
    <definedName name="___________PA3_1" hidden="1">{"'Sheet1'!$L$16"}</definedName>
    <definedName name="___________PA3_2" hidden="1">{"'Sheet1'!$L$16"}</definedName>
    <definedName name="_________a1" localSheetId="0" hidden="1">{"'Sheet1'!$L$16"}</definedName>
    <definedName name="_________a1" localSheetId="7" hidden="1">{"'Sheet1'!$L$16"}</definedName>
    <definedName name="_________a1" localSheetId="3" hidden="1">{"'Sheet1'!$L$16"}</definedName>
    <definedName name="_________a1" hidden="1">{"'Sheet1'!$L$16"}</definedName>
    <definedName name="_________a1_1" hidden="1">{"'Sheet1'!$L$16"}</definedName>
    <definedName name="_________a1_2" hidden="1">{"'Sheet1'!$L$16"}</definedName>
    <definedName name="_________PA3" localSheetId="0" hidden="1">{"'Sheet1'!$L$16"}</definedName>
    <definedName name="_________PA3" localSheetId="7" hidden="1">{"'Sheet1'!$L$16"}</definedName>
    <definedName name="_________PA3" localSheetId="3" hidden="1">{"'Sheet1'!$L$16"}</definedName>
    <definedName name="_________PA3" hidden="1">{"'Sheet1'!$L$16"}</definedName>
    <definedName name="_________PA3_1" hidden="1">{"'Sheet1'!$L$16"}</definedName>
    <definedName name="_________PA3_2" hidden="1">{"'Sheet1'!$L$16"}</definedName>
    <definedName name="________CN1" localSheetId="0" hidden="1">{"'Sheet1'!$L$16"}</definedName>
    <definedName name="________CN1" localSheetId="7" hidden="1">{"'Sheet1'!$L$16"}</definedName>
    <definedName name="________CN1" localSheetId="3" hidden="1">{"'Sheet1'!$L$16"}</definedName>
    <definedName name="________CN1" hidden="1">{"'Sheet1'!$L$16"}</definedName>
    <definedName name="________CN1_1" hidden="1">{"'Sheet1'!$L$16"}</definedName>
    <definedName name="________CN1_2" hidden="1">{"'Sheet1'!$L$16"}</definedName>
    <definedName name="_______a1" localSheetId="0" hidden="1">{"'Sheet1'!$L$16"}</definedName>
    <definedName name="_______a1" localSheetId="7" hidden="1">{"'Sheet1'!$L$16"}</definedName>
    <definedName name="_______a1" localSheetId="3" hidden="1">{"'Sheet1'!$L$16"}</definedName>
    <definedName name="_______a1" hidden="1">{"'Sheet1'!$L$16"}</definedName>
    <definedName name="_______a1_1" hidden="1">{"'Sheet1'!$L$16"}</definedName>
    <definedName name="_______a1_2" hidden="1">{"'Sheet1'!$L$16"}</definedName>
    <definedName name="_______BG12" localSheetId="0" hidden="1">{"'Sheet1'!$L$16"}</definedName>
    <definedName name="_______BG12" localSheetId="7" hidden="1">{"'Sheet1'!$L$16"}</definedName>
    <definedName name="_______BG12" localSheetId="3" hidden="1">{"'Sheet1'!$L$16"}</definedName>
    <definedName name="_______BG12" hidden="1">{"'Sheet1'!$L$16"}</definedName>
    <definedName name="_______BG12_1" hidden="1">{"'Sheet1'!$L$16"}</definedName>
    <definedName name="_______BG12_2" hidden="1">{"'Sheet1'!$L$16"}</definedName>
    <definedName name="_______PA3" localSheetId="0" hidden="1">{"'Sheet1'!$L$16"}</definedName>
    <definedName name="_______PA3" localSheetId="7" hidden="1">{"'Sheet1'!$L$16"}</definedName>
    <definedName name="_______PA3" localSheetId="3" hidden="1">{"'Sheet1'!$L$16"}</definedName>
    <definedName name="_______PA3" hidden="1">{"'Sheet1'!$L$16"}</definedName>
    <definedName name="_______PA3_1" hidden="1">{"'Sheet1'!$L$16"}</definedName>
    <definedName name="_______PA3_2" hidden="1">{"'Sheet1'!$L$16"}</definedName>
    <definedName name="______a1" localSheetId="0" hidden="1">{"'Sheet1'!$L$16"}</definedName>
    <definedName name="______a1" localSheetId="7" hidden="1">{"'Sheet1'!$L$16"}</definedName>
    <definedName name="______a1" localSheetId="3" hidden="1">{"'Sheet1'!$L$16"}</definedName>
    <definedName name="______a1" hidden="1">{"'Sheet1'!$L$16"}</definedName>
    <definedName name="______a1_1" hidden="1">{"'Sheet1'!$L$16"}</definedName>
    <definedName name="______a1_2" hidden="1">{"'Sheet1'!$L$16"}</definedName>
    <definedName name="______CN1" localSheetId="0" hidden="1">{"'Sheet1'!$L$16"}</definedName>
    <definedName name="______CN1" localSheetId="7" hidden="1">{"'Sheet1'!$L$16"}</definedName>
    <definedName name="______CN1" localSheetId="3" hidden="1">{"'Sheet1'!$L$16"}</definedName>
    <definedName name="______CN1" hidden="1">{"'Sheet1'!$L$16"}</definedName>
    <definedName name="______CN1_1" hidden="1">{"'Sheet1'!$L$16"}</definedName>
    <definedName name="______CN1_2" hidden="1">{"'Sheet1'!$L$16"}</definedName>
    <definedName name="______xlfn.BAHTTEXT" hidden="1">#NAME?</definedName>
    <definedName name="_____a1" localSheetId="0" hidden="1">{"'Sheet1'!$L$16"}</definedName>
    <definedName name="_____a1" localSheetId="7" hidden="1">{"'Sheet1'!$L$16"}</definedName>
    <definedName name="_____a1" localSheetId="3" hidden="1">{"'Sheet1'!$L$16"}</definedName>
    <definedName name="_____a1" hidden="1">{"'Sheet1'!$L$16"}</definedName>
    <definedName name="_____a1_1" hidden="1">{"'Sheet1'!$L$16"}</definedName>
    <definedName name="_____a1_2" hidden="1">{"'Sheet1'!$L$16"}</definedName>
    <definedName name="_____BG12" localSheetId="0" hidden="1">{"'Sheet1'!$L$16"}</definedName>
    <definedName name="_____BG12" localSheetId="7" hidden="1">{"'Sheet1'!$L$16"}</definedName>
    <definedName name="_____BG12" localSheetId="3" hidden="1">{"'Sheet1'!$L$16"}</definedName>
    <definedName name="_____BG12" hidden="1">{"'Sheet1'!$L$16"}</definedName>
    <definedName name="_____BG12_1" hidden="1">{"'Sheet1'!$L$16"}</definedName>
    <definedName name="_____BG12_2" hidden="1">{"'Sheet1'!$L$16"}</definedName>
    <definedName name="_____CN1" localSheetId="0" hidden="1">{"'Sheet1'!$L$16"}</definedName>
    <definedName name="_____CN1" localSheetId="7" hidden="1">{"'Sheet1'!$L$16"}</definedName>
    <definedName name="_____CN1" localSheetId="3" hidden="1">{"'Sheet1'!$L$16"}</definedName>
    <definedName name="_____CN1" hidden="1">{"'Sheet1'!$L$16"}</definedName>
    <definedName name="_____CN1_1" hidden="1">{"'Sheet1'!$L$16"}</definedName>
    <definedName name="_____CN1_2" hidden="1">{"'Sheet1'!$L$16"}</definedName>
    <definedName name="_____Goi8" localSheetId="0" hidden="1">{"'Sheet1'!$L$16"}</definedName>
    <definedName name="_____Goi8" localSheetId="7" hidden="1">{"'Sheet1'!$L$16"}</definedName>
    <definedName name="_____Goi8" localSheetId="3" hidden="1">{"'Sheet1'!$L$16"}</definedName>
    <definedName name="_____Goi8" hidden="1">{"'Sheet1'!$L$16"}</definedName>
    <definedName name="_____Goi8_1" hidden="1">{"'Sheet1'!$L$16"}</definedName>
    <definedName name="_____Goi8_2" hidden="1">{"'Sheet1'!$L$16"}</definedName>
    <definedName name="_____NSO2" localSheetId="0" hidden="1">{"'Sheet1'!$L$16"}</definedName>
    <definedName name="_____NSO2" localSheetId="7" hidden="1">{"'Sheet1'!$L$16"}</definedName>
    <definedName name="_____NSO2" localSheetId="3" hidden="1">{"'Sheet1'!$L$16"}</definedName>
    <definedName name="_____NSO2" hidden="1">{"'Sheet1'!$L$16"}</definedName>
    <definedName name="_____NSO2_1" hidden="1">{"'Sheet1'!$L$16"}</definedName>
    <definedName name="_____NSO2_2" hidden="1">{"'Sheet1'!$L$16"}</definedName>
    <definedName name="_____PA3" localSheetId="0" hidden="1">{"'Sheet1'!$L$16"}</definedName>
    <definedName name="_____PA3" localSheetId="7" hidden="1">{"'Sheet1'!$L$16"}</definedName>
    <definedName name="_____PA3" localSheetId="3" hidden="1">{"'Sheet1'!$L$16"}</definedName>
    <definedName name="_____PA3" hidden="1">{"'Sheet1'!$L$16"}</definedName>
    <definedName name="_____PA3_1" hidden="1">{"'Sheet1'!$L$16"}</definedName>
    <definedName name="_____PA3_2" hidden="1">{"'Sheet1'!$L$16"}</definedName>
    <definedName name="_____SCL4" localSheetId="0" hidden="1">{"'Sheet1'!$L$16"}</definedName>
    <definedName name="_____SCL4" localSheetId="7" hidden="1">{"'Sheet1'!$L$16"}</definedName>
    <definedName name="_____SCL4" localSheetId="3" hidden="1">{"'Sheet1'!$L$16"}</definedName>
    <definedName name="_____SCL4" hidden="1">{"'Sheet1'!$L$16"}</definedName>
    <definedName name="_____SCL4_1" hidden="1">{"'Sheet1'!$L$16"}</definedName>
    <definedName name="_____SCL4_2" hidden="1">{"'Sheet1'!$L$16"}</definedName>
    <definedName name="_____xlfn.BAHTTEXT" hidden="1">#NAME?</definedName>
    <definedName name="____a1" localSheetId="0" hidden="1">{"'Sheet1'!$L$16"}</definedName>
    <definedName name="____a1" localSheetId="7" hidden="1">{"'Sheet1'!$L$16"}</definedName>
    <definedName name="____a1" localSheetId="3" hidden="1">{"'Sheet1'!$L$16"}</definedName>
    <definedName name="____a1" hidden="1">{"'Sheet1'!$L$16"}</definedName>
    <definedName name="____a1_1" hidden="1">{"'Sheet1'!$L$16"}</definedName>
    <definedName name="____a1_2" hidden="1">{"'Sheet1'!$L$16"}</definedName>
    <definedName name="____a2" localSheetId="0" hidden="1">{"'Sheet1'!$L$16"}</definedName>
    <definedName name="____a2" localSheetId="7" hidden="1">{"'Sheet1'!$L$16"}</definedName>
    <definedName name="____a2" localSheetId="3" hidden="1">{"'Sheet1'!$L$16"}</definedName>
    <definedName name="____a2" hidden="1">{"'Sheet1'!$L$16"}</definedName>
    <definedName name="____a2_1" hidden="1">{"'Sheet1'!$L$16"}</definedName>
    <definedName name="____a2_2" hidden="1">{"'Sheet1'!$L$16"}</definedName>
    <definedName name="____BG12" localSheetId="0" hidden="1">{"'Sheet1'!$L$16"}</definedName>
    <definedName name="____BG12" localSheetId="7" hidden="1">{"'Sheet1'!$L$16"}</definedName>
    <definedName name="____BG12" localSheetId="3" hidden="1">{"'Sheet1'!$L$16"}</definedName>
    <definedName name="____BG12" hidden="1">{"'Sheet1'!$L$16"}</definedName>
    <definedName name="____BG12_1" hidden="1">{"'Sheet1'!$L$16"}</definedName>
    <definedName name="____BG12_2" hidden="1">{"'Sheet1'!$L$16"}</definedName>
    <definedName name="____Goi8" localSheetId="0" hidden="1">{"'Sheet1'!$L$16"}</definedName>
    <definedName name="____Goi8" localSheetId="7" hidden="1">{"'Sheet1'!$L$16"}</definedName>
    <definedName name="____Goi8" localSheetId="3" hidden="1">{"'Sheet1'!$L$16"}</definedName>
    <definedName name="____Goi8" hidden="1">{"'Sheet1'!$L$16"}</definedName>
    <definedName name="____Goi8_1" hidden="1">{"'Sheet1'!$L$16"}</definedName>
    <definedName name="____Goi8_2" hidden="1">{"'Sheet1'!$L$16"}</definedName>
    <definedName name="____huy1" localSheetId="0" hidden="1">{"'Sheet1'!$L$16"}</definedName>
    <definedName name="____huy1" localSheetId="7" hidden="1">{"'Sheet1'!$L$16"}</definedName>
    <definedName name="____huy1" localSheetId="3" hidden="1">{"'Sheet1'!$L$16"}</definedName>
    <definedName name="____huy1" hidden="1">{"'Sheet1'!$L$16"}</definedName>
    <definedName name="____huy1_1" hidden="1">{"'Sheet1'!$L$16"}</definedName>
    <definedName name="____huy1_2" hidden="1">{"'Sheet1'!$L$16"}</definedName>
    <definedName name="____huy2" localSheetId="0" hidden="1">{"'Sheet1'!$L$16"}</definedName>
    <definedName name="____huy2" localSheetId="7" hidden="1">{"'Sheet1'!$L$16"}</definedName>
    <definedName name="____huy2" localSheetId="3" hidden="1">{"'Sheet1'!$L$16"}</definedName>
    <definedName name="____huy2" hidden="1">{"'Sheet1'!$L$16"}</definedName>
    <definedName name="____huy2_1" hidden="1">{"'Sheet1'!$L$16"}</definedName>
    <definedName name="____huy2_2" hidden="1">{"'Sheet1'!$L$16"}</definedName>
    <definedName name="____lan1" localSheetId="0" hidden="1">{#N/A,#N/A,TRUE,"BT M200 da 10x20"}</definedName>
    <definedName name="____lan1" localSheetId="7" hidden="1">{#N/A,#N/A,TRUE,"BT M200 da 10x20"}</definedName>
    <definedName name="____lan1" localSheetId="3" hidden="1">{#N/A,#N/A,TRUE,"BT M200 da 10x20"}</definedName>
    <definedName name="____lan1" hidden="1">{#N/A,#N/A,TRUE,"BT M200 da 10x20"}</definedName>
    <definedName name="____lan1_1" hidden="1">{#N/A,#N/A,TRUE,"BT M200 da 10x20"}</definedName>
    <definedName name="____lan1_2" hidden="1">{#N/A,#N/A,TRUE,"BT M200 da 10x20"}</definedName>
    <definedName name="____nso1" localSheetId="0" hidden="1">{"'Sheet1'!$L$16"}</definedName>
    <definedName name="____nso1" localSheetId="7" hidden="1">{"'Sheet1'!$L$16"}</definedName>
    <definedName name="____nso1" localSheetId="3" hidden="1">{"'Sheet1'!$L$16"}</definedName>
    <definedName name="____nso1" hidden="1">{"'Sheet1'!$L$16"}</definedName>
    <definedName name="____nso1_1" hidden="1">{"'Sheet1'!$L$16"}</definedName>
    <definedName name="____nso1_2" hidden="1">{"'Sheet1'!$L$16"}</definedName>
    <definedName name="____NSO2" localSheetId="0" hidden="1">{"'Sheet1'!$L$16"}</definedName>
    <definedName name="____NSO2" localSheetId="7" hidden="1">{"'Sheet1'!$L$16"}</definedName>
    <definedName name="____NSO2" localSheetId="3" hidden="1">{"'Sheet1'!$L$16"}</definedName>
    <definedName name="____NSO2" hidden="1">{"'Sheet1'!$L$16"}</definedName>
    <definedName name="____NSO2_1" hidden="1">{"'Sheet1'!$L$16"}</definedName>
    <definedName name="____NSO2_2" hidden="1">{"'Sheet1'!$L$16"}</definedName>
    <definedName name="____PA3" localSheetId="0" hidden="1">{"'Sheet1'!$L$16"}</definedName>
    <definedName name="____PA3" localSheetId="7" hidden="1">{"'Sheet1'!$L$16"}</definedName>
    <definedName name="____PA3" localSheetId="3" hidden="1">{"'Sheet1'!$L$16"}</definedName>
    <definedName name="____PA3" hidden="1">{"'Sheet1'!$L$16"}</definedName>
    <definedName name="____PA3_1" hidden="1">{"'Sheet1'!$L$16"}</definedName>
    <definedName name="____PA3_2" hidden="1">{"'Sheet1'!$L$16"}</definedName>
    <definedName name="____SCL4" localSheetId="0" hidden="1">{"'Sheet1'!$L$16"}</definedName>
    <definedName name="____SCL4" localSheetId="7" hidden="1">{"'Sheet1'!$L$16"}</definedName>
    <definedName name="____SCL4" localSheetId="3" hidden="1">{"'Sheet1'!$L$16"}</definedName>
    <definedName name="____SCL4" hidden="1">{"'Sheet1'!$L$16"}</definedName>
    <definedName name="____SCL4_1" hidden="1">{"'Sheet1'!$L$16"}</definedName>
    <definedName name="____SCL4_2" hidden="1">{"'Sheet1'!$L$16"}</definedName>
    <definedName name="____T3" localSheetId="0" hidden="1">{"'Sheet1'!$L$16"}</definedName>
    <definedName name="____T3" localSheetId="7" hidden="1">{"'Sheet1'!$L$16"}</definedName>
    <definedName name="____T3" localSheetId="3" hidden="1">{"'Sheet1'!$L$16"}</definedName>
    <definedName name="____T3" hidden="1">{"'Sheet1'!$L$16"}</definedName>
    <definedName name="____T3_1" hidden="1">{"'Sheet1'!$L$16"}</definedName>
    <definedName name="____T3_2" hidden="1">{"'Sheet1'!$L$16"}</definedName>
    <definedName name="____ttt1" localSheetId="0" hidden="1">{"'Sheet1'!$L$16"}</definedName>
    <definedName name="____ttt1" localSheetId="7" hidden="1">{"'Sheet1'!$L$16"}</definedName>
    <definedName name="____ttt1" localSheetId="3" hidden="1">{"'Sheet1'!$L$16"}</definedName>
    <definedName name="____ttt1" hidden="1">{"'Sheet1'!$L$16"}</definedName>
    <definedName name="____ttt1_1" hidden="1">{"'Sheet1'!$L$16"}</definedName>
    <definedName name="____ttt1_2" hidden="1">{"'Sheet1'!$L$16"}</definedName>
    <definedName name="____xlfn.BAHTTEXT" hidden="1">#NAME?</definedName>
    <definedName name="___a1" localSheetId="0" hidden="1">{"'Sheet1'!$L$16"}</definedName>
    <definedName name="___a1" localSheetId="7" hidden="1">{"'Sheet1'!$L$16"}</definedName>
    <definedName name="___a1" localSheetId="3" hidden="1">{"'Sheet1'!$L$16"}</definedName>
    <definedName name="___a1" hidden="1">{"'Sheet1'!$L$16"}</definedName>
    <definedName name="___a1_1" hidden="1">{"'Sheet1'!$L$16"}</definedName>
    <definedName name="___a1_2" hidden="1">{"'Sheet1'!$L$16"}</definedName>
    <definedName name="___a2" localSheetId="0" hidden="1">{"'Sheet1'!$L$16"}</definedName>
    <definedName name="___a2" localSheetId="7" hidden="1">{"'Sheet1'!$L$16"}</definedName>
    <definedName name="___a2" localSheetId="3" hidden="1">{"'Sheet1'!$L$16"}</definedName>
    <definedName name="___a2" hidden="1">{"'Sheet1'!$L$16"}</definedName>
    <definedName name="___a2_1" hidden="1">{"'Sheet1'!$L$16"}</definedName>
    <definedName name="___a2_2" hidden="1">{"'Sheet1'!$L$16"}</definedName>
    <definedName name="___CN1" localSheetId="0" hidden="1">{"'Sheet1'!$L$16"}</definedName>
    <definedName name="___CN1" localSheetId="7" hidden="1">{"'Sheet1'!$L$16"}</definedName>
    <definedName name="___CN1" localSheetId="3" hidden="1">{"'Sheet1'!$L$16"}</definedName>
    <definedName name="___CN1" hidden="1">{"'Sheet1'!$L$16"}</definedName>
    <definedName name="___CN1_1" hidden="1">{"'Sheet1'!$L$16"}</definedName>
    <definedName name="___CN1_2" hidden="1">{"'Sheet1'!$L$16"}</definedName>
    <definedName name="___Goi8" localSheetId="0" hidden="1">{"'Sheet1'!$L$16"}</definedName>
    <definedName name="___Goi8" localSheetId="7" hidden="1">{"'Sheet1'!$L$16"}</definedName>
    <definedName name="___Goi8" localSheetId="3" hidden="1">{"'Sheet1'!$L$16"}</definedName>
    <definedName name="___Goi8" hidden="1">{"'Sheet1'!$L$16"}</definedName>
    <definedName name="___Goi8_1" hidden="1">{"'Sheet1'!$L$16"}</definedName>
    <definedName name="___Goi8_2" hidden="1">{"'Sheet1'!$L$16"}</definedName>
    <definedName name="___huy1" localSheetId="0" hidden="1">{"'Sheet1'!$L$16"}</definedName>
    <definedName name="___huy1" localSheetId="7" hidden="1">{"'Sheet1'!$L$16"}</definedName>
    <definedName name="___huy1" localSheetId="3" hidden="1">{"'Sheet1'!$L$16"}</definedName>
    <definedName name="___huy1" hidden="1">{"'Sheet1'!$L$16"}</definedName>
    <definedName name="___huy1_1" hidden="1">{"'Sheet1'!$L$16"}</definedName>
    <definedName name="___huy1_2" hidden="1">{"'Sheet1'!$L$16"}</definedName>
    <definedName name="___huy2" localSheetId="0" hidden="1">{"'Sheet1'!$L$16"}</definedName>
    <definedName name="___huy2" localSheetId="7" hidden="1">{"'Sheet1'!$L$16"}</definedName>
    <definedName name="___huy2" localSheetId="3" hidden="1">{"'Sheet1'!$L$16"}</definedName>
    <definedName name="___huy2" hidden="1">{"'Sheet1'!$L$16"}</definedName>
    <definedName name="___huy2_1" hidden="1">{"'Sheet1'!$L$16"}</definedName>
    <definedName name="___huy2_2" hidden="1">{"'Sheet1'!$L$16"}</definedName>
    <definedName name="___lan1" localSheetId="0" hidden="1">{#N/A,#N/A,TRUE,"BT M200 da 10x20"}</definedName>
    <definedName name="___lan1" localSheetId="7" hidden="1">{#N/A,#N/A,TRUE,"BT M200 da 10x20"}</definedName>
    <definedName name="___lan1" localSheetId="3" hidden="1">{#N/A,#N/A,TRUE,"BT M200 da 10x20"}</definedName>
    <definedName name="___lan1" hidden="1">{#N/A,#N/A,TRUE,"BT M200 da 10x20"}</definedName>
    <definedName name="___lan1_1" hidden="1">{#N/A,#N/A,TRUE,"BT M200 da 10x20"}</definedName>
    <definedName name="___lan1_2" hidden="1">{#N/A,#N/A,TRUE,"BT M200 da 10x20"}</definedName>
    <definedName name="___nso1" localSheetId="0" hidden="1">{"'Sheet1'!$L$16"}</definedName>
    <definedName name="___nso1" localSheetId="7" hidden="1">{"'Sheet1'!$L$16"}</definedName>
    <definedName name="___nso1" localSheetId="3" hidden="1">{"'Sheet1'!$L$16"}</definedName>
    <definedName name="___nso1" hidden="1">{"'Sheet1'!$L$16"}</definedName>
    <definedName name="___nso1_1" hidden="1">{"'Sheet1'!$L$16"}</definedName>
    <definedName name="___nso1_2" hidden="1">{"'Sheet1'!$L$16"}</definedName>
    <definedName name="___NSO2" localSheetId="0" hidden="1">{"'Sheet1'!$L$16"}</definedName>
    <definedName name="___NSO2" localSheetId="7" hidden="1">{"'Sheet1'!$L$16"}</definedName>
    <definedName name="___NSO2" localSheetId="3" hidden="1">{"'Sheet1'!$L$16"}</definedName>
    <definedName name="___NSO2" hidden="1">{"'Sheet1'!$L$16"}</definedName>
    <definedName name="___NSO2_1" hidden="1">{"'Sheet1'!$L$16"}</definedName>
    <definedName name="___NSO2_2" hidden="1">{"'Sheet1'!$L$16"}</definedName>
    <definedName name="___PA3" localSheetId="0" hidden="1">{"'Sheet1'!$L$16"}</definedName>
    <definedName name="___PA3" localSheetId="7" hidden="1">{"'Sheet1'!$L$16"}</definedName>
    <definedName name="___PA3" localSheetId="3" hidden="1">{"'Sheet1'!$L$16"}</definedName>
    <definedName name="___PA3" hidden="1">{"'Sheet1'!$L$16"}</definedName>
    <definedName name="___PA3_1" hidden="1">{"'Sheet1'!$L$16"}</definedName>
    <definedName name="___PA3_2" hidden="1">{"'Sheet1'!$L$16"}</definedName>
    <definedName name="___SCL4" localSheetId="0" hidden="1">{"'Sheet1'!$L$16"}</definedName>
    <definedName name="___SCL4" localSheetId="7" hidden="1">{"'Sheet1'!$L$16"}</definedName>
    <definedName name="___SCL4" localSheetId="3" hidden="1">{"'Sheet1'!$L$16"}</definedName>
    <definedName name="___SCL4" hidden="1">{"'Sheet1'!$L$16"}</definedName>
    <definedName name="___SCL4_1" hidden="1">{"'Sheet1'!$L$16"}</definedName>
    <definedName name="___SCL4_2" hidden="1">{"'Sheet1'!$L$16"}</definedName>
    <definedName name="___T3" localSheetId="0" hidden="1">{"'Sheet1'!$L$16"}</definedName>
    <definedName name="___T3" localSheetId="7" hidden="1">{"'Sheet1'!$L$16"}</definedName>
    <definedName name="___T3" localSheetId="3" hidden="1">{"'Sheet1'!$L$16"}</definedName>
    <definedName name="___T3" hidden="1">{"'Sheet1'!$L$16"}</definedName>
    <definedName name="___T3_1" hidden="1">{"'Sheet1'!$L$16"}</definedName>
    <definedName name="___T3_2" hidden="1">{"'Sheet1'!$L$16"}</definedName>
    <definedName name="___ttt1" localSheetId="0" hidden="1">{"'Sheet1'!$L$16"}</definedName>
    <definedName name="___ttt1" localSheetId="7" hidden="1">{"'Sheet1'!$L$16"}</definedName>
    <definedName name="___ttt1" localSheetId="3" hidden="1">{"'Sheet1'!$L$16"}</definedName>
    <definedName name="___ttt1" hidden="1">{"'Sheet1'!$L$16"}</definedName>
    <definedName name="___ttt1_1" hidden="1">{"'Sheet1'!$L$16"}</definedName>
    <definedName name="___ttt1_2" hidden="1">{"'Sheet1'!$L$16"}</definedName>
    <definedName name="___xlfn.BAHTTEXT" hidden="1">#NAME?</definedName>
    <definedName name="__123Graph_A" hidden="1">#N/A</definedName>
    <definedName name="__123Graph_A120.CGM" hidden="1">#N/A</definedName>
    <definedName name="__123Graph_A150.CGM" hidden="1">#N/A</definedName>
    <definedName name="__123Graph_A180.CGM" hidden="1">#N/A</definedName>
    <definedName name="__123Graph_A210.CGM" hidden="1">#N/A</definedName>
    <definedName name="__123Graph_A240.CGM" hidden="1">#N/A</definedName>
    <definedName name="__123Graph_A270.CGM" hidden="1">#N/A</definedName>
    <definedName name="__123Graph_A300.CGM" hidden="1">#N/A</definedName>
    <definedName name="__123Graph_A60.CGN" hidden="1">#N/A</definedName>
    <definedName name="__123Graph_A90.CGM" hidden="1">#N/A</definedName>
    <definedName name="__123Graph_B" hidden="1">#N/A</definedName>
    <definedName name="__123Graph_B120.CGM" hidden="1">#N/A</definedName>
    <definedName name="__123Graph_B150.CGM" hidden="1">#N/A</definedName>
    <definedName name="__123Graph_B180.CGM" hidden="1">#N/A</definedName>
    <definedName name="__123Graph_B210.CGM" hidden="1">#N/A</definedName>
    <definedName name="__123Graph_B240.CGM" hidden="1">#N/A</definedName>
    <definedName name="__123Graph_B270.CGM" hidden="1">#N/A</definedName>
    <definedName name="__123Graph_B300.CGM" hidden="1">#N/A</definedName>
    <definedName name="__123Graph_B60.CGN" hidden="1">#N/A</definedName>
    <definedName name="__123Graph_B90.CGM" hidden="1">#N/A</definedName>
    <definedName name="__123Graph_LBL_A" hidden="1">#N/A</definedName>
    <definedName name="__123Graph_LBL_A120.CGM" hidden="1">#N/A</definedName>
    <definedName name="__123Graph_LBL_A150.CGM" hidden="1">#N/A</definedName>
    <definedName name="__123Graph_LBL_A180.CGM" hidden="1">#N/A</definedName>
    <definedName name="__123Graph_LBL_A210.CGM" hidden="1">#N/A</definedName>
    <definedName name="__123Graph_LBL_A240.CGM" hidden="1">#N/A</definedName>
    <definedName name="__123Graph_LBL_A270.CGM" hidden="1">#N/A</definedName>
    <definedName name="__123Graph_LBL_A300.CGM" hidden="1">#N/A</definedName>
    <definedName name="__123Graph_LBL_A60.CGN" hidden="1">#N/A</definedName>
    <definedName name="__123Graph_LBL_A90.CGM" hidden="1">#N/A</definedName>
    <definedName name="__123Graph_X" hidden="1">#N/A</definedName>
    <definedName name="__123Graph_X120.CGM" hidden="1">#N/A</definedName>
    <definedName name="__123Graph_X150.CGM" hidden="1">#N/A</definedName>
    <definedName name="__123Graph_X180.CGM" hidden="1">#N/A</definedName>
    <definedName name="__123Graph_X210.CGM" hidden="1">#N/A</definedName>
    <definedName name="__123Graph_X240.CGM" hidden="1">#N/A</definedName>
    <definedName name="__123Graph_X270.CGM" hidden="1">#N/A</definedName>
    <definedName name="__123Graph_X300.CGM" hidden="1">#N/A</definedName>
    <definedName name="__123Graph_X60.CGN" hidden="1">#N/A</definedName>
    <definedName name="__123Graph_X90.CGM" hidden="1">#N/A</definedName>
    <definedName name="__a1" localSheetId="0" hidden="1">{"'Sheet1'!$L$16"}</definedName>
    <definedName name="__a1" localSheetId="7" hidden="1">{"'Sheet1'!$L$16"}</definedName>
    <definedName name="__a1" localSheetId="3" hidden="1">{"'Sheet1'!$L$16"}</definedName>
    <definedName name="__a1" hidden="1">{"'Sheet1'!$L$16"}</definedName>
    <definedName name="__a1_1" hidden="1">{"'Sheet1'!$L$16"}</definedName>
    <definedName name="__a1_2" hidden="1">{"'Sheet1'!$L$16"}</definedName>
    <definedName name="__a129" localSheetId="0" hidden="1">{"Offgrid",#N/A,FALSE,"OFFGRID";"Region",#N/A,FALSE,"REGION";"Offgrid -2",#N/A,FALSE,"OFFGRID";"WTP",#N/A,FALSE,"WTP";"WTP -2",#N/A,FALSE,"WTP";"Project",#N/A,FALSE,"PROJECT";"Summary -2",#N/A,FALSE,"SUMMARY"}</definedName>
    <definedName name="__a129" localSheetId="7"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29_1" hidden="1">{"Offgrid",#N/A,FALSE,"OFFGRID";"Region",#N/A,FALSE,"REGION";"Offgrid -2",#N/A,FALSE,"OFFGRID";"WTP",#N/A,FALSE,"WTP";"WTP -2",#N/A,FALSE,"WTP";"Project",#N/A,FALSE,"PROJECT";"Summary -2",#N/A,FALSE,"SUMMARY"}</definedName>
    <definedName name="__a129_2"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localSheetId="7"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130_1" hidden="1">{"Offgrid",#N/A,FALSE,"OFFGRID";"Region",#N/A,FALSE,"REGION";"Offgrid -2",#N/A,FALSE,"OFFGRID";"WTP",#N/A,FALSE,"WTP";"WTP -2",#N/A,FALSE,"WTP";"Project",#N/A,FALSE,"PROJECT";"Summary -2",#N/A,FALSE,"SUMMARY"}</definedName>
    <definedName name="__a130_2" hidden="1">{"Offgrid",#N/A,FALSE,"OFFGRID";"Region",#N/A,FALSE,"REGION";"Offgrid -2",#N/A,FALSE,"OFFGRID";"WTP",#N/A,FALSE,"WTP";"WTP -2",#N/A,FALSE,"WTP";"Project",#N/A,FALSE,"PROJECT";"Summary -2",#N/A,FALSE,"SUMMARY"}</definedName>
    <definedName name="__a2" localSheetId="0" hidden="1">{"'Sheet1'!$L$16"}</definedName>
    <definedName name="__a2" localSheetId="7" hidden="1">{"'Sheet1'!$L$16"}</definedName>
    <definedName name="__a2" localSheetId="3" hidden="1">{"'Sheet1'!$L$16"}</definedName>
    <definedName name="__a2" hidden="1">{"'Sheet1'!$L$16"}</definedName>
    <definedName name="__a2_1" hidden="1">{"'Sheet1'!$L$16"}</definedName>
    <definedName name="__a2_2" hidden="1">{"'Sheet1'!$L$16"}</definedName>
    <definedName name="__a9" localSheetId="0" hidden="1">{"'Sheet1'!$L$16"}</definedName>
    <definedName name="__a9" localSheetId="7" hidden="1">{"'Sheet1'!$L$16"}</definedName>
    <definedName name="__a9" localSheetId="3" hidden="1">{"'Sheet1'!$L$16"}</definedName>
    <definedName name="__a9" hidden="1">{"'Sheet1'!$L$16"}</definedName>
    <definedName name="__a9_1" hidden="1">{"'Sheet1'!$L$16"}</definedName>
    <definedName name="__a9_2" hidden="1">{"'Sheet1'!$L$16"}</definedName>
    <definedName name="__BG12" localSheetId="0" hidden="1">{"'Sheet1'!$L$16"}</definedName>
    <definedName name="__BG12" localSheetId="7" hidden="1">{"'Sheet1'!$L$16"}</definedName>
    <definedName name="__BG12" localSheetId="3" hidden="1">{"'Sheet1'!$L$16"}</definedName>
    <definedName name="__BG12" hidden="1">{"'Sheet1'!$L$16"}</definedName>
    <definedName name="__BG12_1" hidden="1">{"'Sheet1'!$L$16"}</definedName>
    <definedName name="__BG12_2" hidden="1">{"'Sheet1'!$L$16"}</definedName>
    <definedName name="__CN1" localSheetId="0" hidden="1">{"'Sheet1'!$L$16"}</definedName>
    <definedName name="__CN1" localSheetId="7" hidden="1">{"'Sheet1'!$L$16"}</definedName>
    <definedName name="__CN1" localSheetId="3" hidden="1">{"'Sheet1'!$L$16"}</definedName>
    <definedName name="__CN1" hidden="1">{"'Sheet1'!$L$16"}</definedName>
    <definedName name="__CN1_1" hidden="1">{"'Sheet1'!$L$16"}</definedName>
    <definedName name="__CN1_2" hidden="1">{"'Sheet1'!$L$16"}</definedName>
    <definedName name="__Goi8" localSheetId="0" hidden="1">{"'Sheet1'!$L$16"}</definedName>
    <definedName name="__Goi8" localSheetId="7" hidden="1">{"'Sheet1'!$L$16"}</definedName>
    <definedName name="__Goi8" localSheetId="3" hidden="1">{"'Sheet1'!$L$16"}</definedName>
    <definedName name="__Goi8" hidden="1">{"'Sheet1'!$L$16"}</definedName>
    <definedName name="__Goi8_1" hidden="1">{"'Sheet1'!$L$16"}</definedName>
    <definedName name="__Goi8_2" hidden="1">{"'Sheet1'!$L$16"}</definedName>
    <definedName name="__h1" localSheetId="0" hidden="1">{"'Sheet1'!$L$16"}</definedName>
    <definedName name="__h1" localSheetId="7" hidden="1">{"'Sheet1'!$L$16"}</definedName>
    <definedName name="__h1" localSheetId="3" hidden="1">{"'Sheet1'!$L$16"}</definedName>
    <definedName name="__h1" hidden="1">{"'Sheet1'!$L$16"}</definedName>
    <definedName name="__h1_1" hidden="1">{"'Sheet1'!$L$16"}</definedName>
    <definedName name="__h1_2" hidden="1">{"'Sheet1'!$L$16"}</definedName>
    <definedName name="__hu1" localSheetId="0" hidden="1">{"'Sheet1'!$L$16"}</definedName>
    <definedName name="__hu1" localSheetId="7" hidden="1">{"'Sheet1'!$L$16"}</definedName>
    <definedName name="__hu1" localSheetId="3" hidden="1">{"'Sheet1'!$L$16"}</definedName>
    <definedName name="__hu1" hidden="1">{"'Sheet1'!$L$16"}</definedName>
    <definedName name="__hu1_1" hidden="1">{"'Sheet1'!$L$16"}</definedName>
    <definedName name="__hu1_2" hidden="1">{"'Sheet1'!$L$16"}</definedName>
    <definedName name="__hu2" localSheetId="0" hidden="1">{"'Sheet1'!$L$16"}</definedName>
    <definedName name="__hu2" localSheetId="7" hidden="1">{"'Sheet1'!$L$16"}</definedName>
    <definedName name="__hu2" localSheetId="3" hidden="1">{"'Sheet1'!$L$16"}</definedName>
    <definedName name="__hu2" hidden="1">{"'Sheet1'!$L$16"}</definedName>
    <definedName name="__hu2_1" hidden="1">{"'Sheet1'!$L$16"}</definedName>
    <definedName name="__hu2_2" hidden="1">{"'Sheet1'!$L$16"}</definedName>
    <definedName name="__hu5" localSheetId="0" hidden="1">{"'Sheet1'!$L$16"}</definedName>
    <definedName name="__hu5" localSheetId="7" hidden="1">{"'Sheet1'!$L$16"}</definedName>
    <definedName name="__hu5" localSheetId="3" hidden="1">{"'Sheet1'!$L$16"}</definedName>
    <definedName name="__hu5" hidden="1">{"'Sheet1'!$L$16"}</definedName>
    <definedName name="__hu5_1" hidden="1">{"'Sheet1'!$L$16"}</definedName>
    <definedName name="__hu5_2" hidden="1">{"'Sheet1'!$L$16"}</definedName>
    <definedName name="__hu6" localSheetId="0" hidden="1">{"'Sheet1'!$L$16"}</definedName>
    <definedName name="__hu6" localSheetId="7" hidden="1">{"'Sheet1'!$L$16"}</definedName>
    <definedName name="__hu6" localSheetId="3" hidden="1">{"'Sheet1'!$L$16"}</definedName>
    <definedName name="__hu6" hidden="1">{"'Sheet1'!$L$16"}</definedName>
    <definedName name="__hu6_1" hidden="1">{"'Sheet1'!$L$16"}</definedName>
    <definedName name="__hu6_2" hidden="1">{"'Sheet1'!$L$16"}</definedName>
    <definedName name="__huy1" localSheetId="0" hidden="1">{"'Sheet1'!$L$16"}</definedName>
    <definedName name="__huy1" localSheetId="7" hidden="1">{"'Sheet1'!$L$16"}</definedName>
    <definedName name="__huy1" localSheetId="3" hidden="1">{"'Sheet1'!$L$16"}</definedName>
    <definedName name="__huy1" hidden="1">{"'Sheet1'!$L$16"}</definedName>
    <definedName name="__huy1_1" hidden="1">{"'Sheet1'!$L$16"}</definedName>
    <definedName name="__huy1_2" hidden="1">{"'Sheet1'!$L$16"}</definedName>
    <definedName name="__huy2" localSheetId="0" hidden="1">{"'Sheet1'!$L$16"}</definedName>
    <definedName name="__huy2" localSheetId="7" hidden="1">{"'Sheet1'!$L$16"}</definedName>
    <definedName name="__huy2" localSheetId="3" hidden="1">{"'Sheet1'!$L$16"}</definedName>
    <definedName name="__huy2" hidden="1">{"'Sheet1'!$L$16"}</definedName>
    <definedName name="__huy2_1" hidden="1">{"'Sheet1'!$L$16"}</definedName>
    <definedName name="__huy2_2" hidden="1">{"'Sheet1'!$L$16"}</definedName>
    <definedName name="__IntlFixup" hidden="1">TRUE</definedName>
    <definedName name="__lan1" localSheetId="0" hidden="1">{#N/A,#N/A,TRUE,"BT M200 da 10x20"}</definedName>
    <definedName name="__lan1" localSheetId="7" hidden="1">{#N/A,#N/A,TRUE,"BT M200 da 10x20"}</definedName>
    <definedName name="__lan1" localSheetId="3" hidden="1">{#N/A,#N/A,TRUE,"BT M200 da 10x20"}</definedName>
    <definedName name="__lan1" hidden="1">{#N/A,#N/A,TRUE,"BT M200 da 10x20"}</definedName>
    <definedName name="__lan1_1" hidden="1">{#N/A,#N/A,TRUE,"BT M200 da 10x20"}</definedName>
    <definedName name="__lan1_2" hidden="1">{#N/A,#N/A,TRUE,"BT M200 da 10x20"}</definedName>
    <definedName name="__nso1" localSheetId="0" hidden="1">{"'Sheet1'!$L$16"}</definedName>
    <definedName name="__nso1" localSheetId="7" hidden="1">{"'Sheet1'!$L$16"}</definedName>
    <definedName name="__nso1" localSheetId="3" hidden="1">{"'Sheet1'!$L$16"}</definedName>
    <definedName name="__nso1" hidden="1">{"'Sheet1'!$L$16"}</definedName>
    <definedName name="__nso1_1" hidden="1">{"'Sheet1'!$L$16"}</definedName>
    <definedName name="__nso1_2" hidden="1">{"'Sheet1'!$L$16"}</definedName>
    <definedName name="__NSO2" localSheetId="0" hidden="1">{"'Sheet1'!$L$16"}</definedName>
    <definedName name="__NSO2" localSheetId="7" hidden="1">{"'Sheet1'!$L$16"}</definedName>
    <definedName name="__NSO2" localSheetId="3" hidden="1">{"'Sheet1'!$L$16"}</definedName>
    <definedName name="__NSO2" hidden="1">{"'Sheet1'!$L$16"}</definedName>
    <definedName name="__NSO2_1" hidden="1">{"'Sheet1'!$L$16"}</definedName>
    <definedName name="__NSO2_2" hidden="1">{"'Sheet1'!$L$16"}</definedName>
    <definedName name="__PA3" localSheetId="0" hidden="1">{"'Sheet1'!$L$16"}</definedName>
    <definedName name="__PA3" localSheetId="7" hidden="1">{"'Sheet1'!$L$16"}</definedName>
    <definedName name="__PA3" localSheetId="3" hidden="1">{"'Sheet1'!$L$16"}</definedName>
    <definedName name="__PA3" hidden="1">{"'Sheet1'!$L$16"}</definedName>
    <definedName name="__PA3_1" hidden="1">{"'Sheet1'!$L$16"}</definedName>
    <definedName name="__PA3_2" hidden="1">{"'Sheet1'!$L$16"}</definedName>
    <definedName name="__SCL4" localSheetId="0" hidden="1">{"'Sheet1'!$L$16"}</definedName>
    <definedName name="__SCL4" localSheetId="7" hidden="1">{"'Sheet1'!$L$16"}</definedName>
    <definedName name="__SCL4" localSheetId="3" hidden="1">{"'Sheet1'!$L$16"}</definedName>
    <definedName name="__SCL4" hidden="1">{"'Sheet1'!$L$16"}</definedName>
    <definedName name="__SCL4_1" hidden="1">{"'Sheet1'!$L$16"}</definedName>
    <definedName name="__SCL4_2" hidden="1">{"'Sheet1'!$L$16"}</definedName>
    <definedName name="__T3" localSheetId="0" hidden="1">{"'Sheet1'!$L$16"}</definedName>
    <definedName name="__T3" localSheetId="7" hidden="1">{"'Sheet1'!$L$16"}</definedName>
    <definedName name="__T3" localSheetId="3" hidden="1">{"'Sheet1'!$L$16"}</definedName>
    <definedName name="__T3" hidden="1">{"'Sheet1'!$L$16"}</definedName>
    <definedName name="__T3_1" hidden="1">{"'Sheet1'!$L$16"}</definedName>
    <definedName name="__T3_2" hidden="1">{"'Sheet1'!$L$16"}</definedName>
    <definedName name="__ttt1" localSheetId="0" hidden="1">{"'Sheet1'!$L$16"}</definedName>
    <definedName name="__ttt1" localSheetId="7" hidden="1">{"'Sheet1'!$L$16"}</definedName>
    <definedName name="__ttt1" localSheetId="3" hidden="1">{"'Sheet1'!$L$16"}</definedName>
    <definedName name="__ttt1" hidden="1">{"'Sheet1'!$L$16"}</definedName>
    <definedName name="__ttt1_1" hidden="1">{"'Sheet1'!$L$16"}</definedName>
    <definedName name="__ttt1_2" hidden="1">{"'Sheet1'!$L$16"}</definedName>
    <definedName name="__xlfn.BAHTTEXT" hidden="1">#NAME?</definedName>
    <definedName name="_10_____123Graph_Aｸﾞﾗﾌ_4" localSheetId="1" hidden="1">#REF!</definedName>
    <definedName name="_10_____123Graph_Aｸﾞﾗﾌ_4" localSheetId="7" hidden="1">#REF!</definedName>
    <definedName name="_10_____123Graph_Aｸﾞﾗﾌ_4" localSheetId="3" hidden="1">#REF!</definedName>
    <definedName name="_10_____123Graph_Aｸﾞﾗﾌ_4" hidden="1">#REF!</definedName>
    <definedName name="_10___123Graph_Aｸﾞﾗﾌ_4" localSheetId="1" hidden="1">#REF!</definedName>
    <definedName name="_10___123Graph_Aｸﾞﾗﾌ_4" localSheetId="7" hidden="1">#REF!</definedName>
    <definedName name="_10___123Graph_Aｸﾞﾗﾌ_4" localSheetId="3" hidden="1">#REF!</definedName>
    <definedName name="_10___123Graph_Aｸﾞﾗﾌ_4" hidden="1">#REF!</definedName>
    <definedName name="_100__123Graph_Xｸﾞﾗﾌ_3" localSheetId="0" hidden="1">#REF!</definedName>
    <definedName name="_100__123Graph_Xｸﾞﾗﾌ_3" localSheetId="1" hidden="1">#REF!</definedName>
    <definedName name="_100__123Graph_Xｸﾞﾗﾌ_3" localSheetId="7" hidden="1">#REF!</definedName>
    <definedName name="_100__123Graph_Xｸﾞﾗﾌ_3" localSheetId="3" hidden="1">#REF!</definedName>
    <definedName name="_100__123Graph_Xｸﾞﾗﾌ_3" hidden="1">#REF!</definedName>
    <definedName name="_103__123Graph_X????_4" localSheetId="0" hidden="1">#REF!</definedName>
    <definedName name="_103__123Graph_X????_4" localSheetId="1" hidden="1">#REF!</definedName>
    <definedName name="_103__123Graph_X????_4" localSheetId="7" hidden="1">#REF!</definedName>
    <definedName name="_103__123Graph_X????_4" localSheetId="3" hidden="1">#REF!</definedName>
    <definedName name="_103__123Graph_X????_4" hidden="1">#REF!</definedName>
    <definedName name="_103__123Graph_Xｸﾞﾗﾌ_5" localSheetId="0" hidden="1">#REF!</definedName>
    <definedName name="_103__123Graph_Xｸﾞﾗﾌ_5" localSheetId="1" hidden="1">#REF!</definedName>
    <definedName name="_103__123Graph_Xｸﾞﾗﾌ_5" localSheetId="7" hidden="1">#REF!</definedName>
    <definedName name="_103__123Graph_Xｸﾞﾗﾌ_5" localSheetId="3" hidden="1">#REF!</definedName>
    <definedName name="_103__123Graph_Xｸﾞﾗﾌ_5" hidden="1">#REF!</definedName>
    <definedName name="_106__123Graph_Xｸﾞﾗﾌ_4" localSheetId="0" hidden="1">#REF!</definedName>
    <definedName name="_106__123Graph_Xｸﾞﾗﾌ_4" localSheetId="1" hidden="1">#REF!</definedName>
    <definedName name="_106__123Graph_Xｸﾞﾗﾌ_4" localSheetId="7" hidden="1">#REF!</definedName>
    <definedName name="_106__123Graph_Xｸﾞﾗﾌ_4" localSheetId="3" hidden="1">#REF!</definedName>
    <definedName name="_106__123Graph_Xｸﾞﾗﾌ_4" hidden="1">#REF!</definedName>
    <definedName name="_108__123Graph_X????_5" localSheetId="0" hidden="1">#REF!</definedName>
    <definedName name="_108__123Graph_X????_5" localSheetId="1" hidden="1">#REF!</definedName>
    <definedName name="_108__123Graph_X????_5" localSheetId="7" hidden="1">#REF!</definedName>
    <definedName name="_108__123Graph_X????_5" localSheetId="3" hidden="1">#REF!</definedName>
    <definedName name="_108__123Graph_X????_5" hidden="1">#REF!</definedName>
    <definedName name="_11_____123Graph_Aｸﾞﾗﾌ_5" localSheetId="1" hidden="1">#REF!</definedName>
    <definedName name="_11_____123Graph_Aｸﾞﾗﾌ_5" localSheetId="7" hidden="1">#REF!</definedName>
    <definedName name="_11_____123Graph_Aｸﾞﾗﾌ_5" localSheetId="3" hidden="1">#REF!</definedName>
    <definedName name="_11_____123Graph_Aｸﾞﾗﾌ_5" hidden="1">#REF!</definedName>
    <definedName name="_11____123Graph_A????_1" hidden="1">#N/A</definedName>
    <definedName name="_11___123Graph_Aｸﾞﾗﾌ_5" localSheetId="1" hidden="1">#REF!</definedName>
    <definedName name="_11___123Graph_Aｸﾞﾗﾌ_5" localSheetId="7" hidden="1">#REF!</definedName>
    <definedName name="_11___123Graph_Aｸﾞﾗﾌ_5" localSheetId="3" hidden="1">#REF!</definedName>
    <definedName name="_11___123Graph_Aｸﾞﾗﾌ_5" hidden="1">#REF!</definedName>
    <definedName name="_112__123Graph_Xｸﾞﾗﾌ_5" localSheetId="0" hidden="1">#REF!</definedName>
    <definedName name="_112__123Graph_Xｸﾞﾗﾌ_5" localSheetId="1" hidden="1">#REF!</definedName>
    <definedName name="_112__123Graph_Xｸﾞﾗﾌ_5" localSheetId="7" hidden="1">#REF!</definedName>
    <definedName name="_112__123Graph_Xｸﾞﾗﾌ_5" localSheetId="3" hidden="1">#REF!</definedName>
    <definedName name="_112__123Graph_Xｸﾞﾗﾌ_5" hidden="1">#REF!</definedName>
    <definedName name="_116__123Graph_Xｸﾞﾗﾌ_1" localSheetId="0" hidden="1">#REF!</definedName>
    <definedName name="_116__123Graph_Xｸﾞﾗﾌ_1" localSheetId="1" hidden="1">#REF!</definedName>
    <definedName name="_116__123Graph_Xｸﾞﾗﾌ_1" localSheetId="7" hidden="1">#REF!</definedName>
    <definedName name="_116__123Graph_Xｸﾞﾗﾌ_1" localSheetId="3" hidden="1">#REF!</definedName>
    <definedName name="_116__123Graph_Xｸﾞﾗﾌ_1" hidden="1">#REF!</definedName>
    <definedName name="_12_____123Graph_X????_1" localSheetId="1" hidden="1">#REF!</definedName>
    <definedName name="_12_____123Graph_X????_1" localSheetId="7" hidden="1">#REF!</definedName>
    <definedName name="_12_____123Graph_X????_1" localSheetId="3" hidden="1">#REF!</definedName>
    <definedName name="_12_____123Graph_X????_1" hidden="1">#REF!</definedName>
    <definedName name="_12____123Graph_A????_2" hidden="1">#N/A</definedName>
    <definedName name="_12___123Graph_X????_1" localSheetId="1" hidden="1">#REF!</definedName>
    <definedName name="_12___123Graph_X????_1" localSheetId="7" hidden="1">#REF!</definedName>
    <definedName name="_12___123Graph_X????_1" localSheetId="3" hidden="1">#REF!</definedName>
    <definedName name="_12___123Graph_X????_1" hidden="1">#REF!</definedName>
    <definedName name="_12__123Graph_A????_2" localSheetId="0" hidden="1">#REF!</definedName>
    <definedName name="_12__123Graph_A????_2" localSheetId="1" hidden="1">#REF!</definedName>
    <definedName name="_12__123Graph_A????_2" localSheetId="7" hidden="1">#REF!</definedName>
    <definedName name="_12__123Graph_A????_2" localSheetId="3" hidden="1">#REF!</definedName>
    <definedName name="_12__123Graph_A????_2" hidden="1">#REF!</definedName>
    <definedName name="_124__123Graph_Xｸﾞﾗﾌ_2" localSheetId="0" hidden="1">#REF!</definedName>
    <definedName name="_124__123Graph_Xｸﾞﾗﾌ_2" localSheetId="1" hidden="1">#REF!</definedName>
    <definedName name="_124__123Graph_Xｸﾞﾗﾌ_2" localSheetId="7" hidden="1">#REF!</definedName>
    <definedName name="_124__123Graph_Xｸﾞﾗﾌ_2" localSheetId="3" hidden="1">#REF!</definedName>
    <definedName name="_124__123Graph_Xｸﾞﾗﾌ_2" hidden="1">#REF!</definedName>
    <definedName name="_13_____123Graph_X????_2" localSheetId="1" hidden="1">#REF!</definedName>
    <definedName name="_13_____123Graph_X????_2" localSheetId="7" hidden="1">#REF!</definedName>
    <definedName name="_13_____123Graph_X????_2" localSheetId="3" hidden="1">#REF!</definedName>
    <definedName name="_13_____123Graph_X????_2" hidden="1">#REF!</definedName>
    <definedName name="_13____123Graph_A????_3" hidden="1">#N/A</definedName>
    <definedName name="_13___123Graph_X????_2" localSheetId="1" hidden="1">#REF!</definedName>
    <definedName name="_13___123Graph_X????_2" localSheetId="7" hidden="1">#REF!</definedName>
    <definedName name="_13___123Graph_X????_2" localSheetId="3" hidden="1">#REF!</definedName>
    <definedName name="_13___123Graph_X????_2" hidden="1">#REF!</definedName>
    <definedName name="_132__123Graph_Xｸﾞﾗﾌ_3" localSheetId="0" hidden="1">#REF!</definedName>
    <definedName name="_132__123Graph_Xｸﾞﾗﾌ_3" localSheetId="1" hidden="1">#REF!</definedName>
    <definedName name="_132__123Graph_Xｸﾞﾗﾌ_3" localSheetId="7" hidden="1">#REF!</definedName>
    <definedName name="_132__123Graph_Xｸﾞﾗﾌ_3" localSheetId="3" hidden="1">#REF!</definedName>
    <definedName name="_132__123Graph_Xｸﾞﾗﾌ_3" hidden="1">#REF!</definedName>
    <definedName name="_14_____123Graph_X????_3" localSheetId="1" hidden="1">#REF!</definedName>
    <definedName name="_14_____123Graph_X????_3" localSheetId="7" hidden="1">#REF!</definedName>
    <definedName name="_14_____123Graph_X????_3" localSheetId="3" hidden="1">#REF!</definedName>
    <definedName name="_14_____123Graph_X????_3" hidden="1">#REF!</definedName>
    <definedName name="_14____123Graph_A????_4" hidden="1">#N/A</definedName>
    <definedName name="_14___123Graph_X????_3" localSheetId="1" hidden="1">#REF!</definedName>
    <definedName name="_14___123Graph_X????_3" localSheetId="7" hidden="1">#REF!</definedName>
    <definedName name="_14___123Graph_X????_3" localSheetId="3" hidden="1">#REF!</definedName>
    <definedName name="_14___123Graph_X????_3" hidden="1">#REF!</definedName>
    <definedName name="_140__123Graph_Xｸﾞﾗﾌ_4" localSheetId="0" hidden="1">#REF!</definedName>
    <definedName name="_140__123Graph_Xｸﾞﾗﾌ_4" localSheetId="1" hidden="1">#REF!</definedName>
    <definedName name="_140__123Graph_Xｸﾞﾗﾌ_4" localSheetId="7" hidden="1">#REF!</definedName>
    <definedName name="_140__123Graph_Xｸﾞﾗﾌ_4" localSheetId="3" hidden="1">#REF!</definedName>
    <definedName name="_140__123Graph_Xｸﾞﾗﾌ_4" hidden="1">#REF!</definedName>
    <definedName name="_148__123Graph_Xｸﾞﾗﾌ_5" localSheetId="0" hidden="1">#REF!</definedName>
    <definedName name="_148__123Graph_Xｸﾞﾗﾌ_5" localSheetId="1" hidden="1">#REF!</definedName>
    <definedName name="_148__123Graph_Xｸﾞﾗﾌ_5" localSheetId="7" hidden="1">#REF!</definedName>
    <definedName name="_148__123Graph_Xｸﾞﾗﾌ_5" localSheetId="3" hidden="1">#REF!</definedName>
    <definedName name="_148__123Graph_Xｸﾞﾗﾌ_5" hidden="1">#REF!</definedName>
    <definedName name="_15_____123Graph_X????_4" localSheetId="1" hidden="1">#REF!</definedName>
    <definedName name="_15_____123Graph_X????_4" localSheetId="7" hidden="1">#REF!</definedName>
    <definedName name="_15_____123Graph_X????_4" localSheetId="3" hidden="1">#REF!</definedName>
    <definedName name="_15_____123Graph_X????_4" hidden="1">#REF!</definedName>
    <definedName name="_15____123Graph_A????_5" hidden="1">#N/A</definedName>
    <definedName name="_15___123Graph_X????_4" localSheetId="1" hidden="1">#REF!</definedName>
    <definedName name="_15___123Graph_X????_4" localSheetId="7" hidden="1">#REF!</definedName>
    <definedName name="_15___123Graph_X????_4" localSheetId="3" hidden="1">#REF!</definedName>
    <definedName name="_15___123Graph_X????_4" hidden="1">#REF!</definedName>
    <definedName name="_16_____123Graph_X????_5" localSheetId="1" hidden="1">#REF!</definedName>
    <definedName name="_16_____123Graph_X????_5" localSheetId="7" hidden="1">#REF!</definedName>
    <definedName name="_16_____123Graph_X????_5" localSheetId="3" hidden="1">#REF!</definedName>
    <definedName name="_16_____123Graph_X????_5" hidden="1">#REF!</definedName>
    <definedName name="_16____123Graph_Aｸﾞﾗﾌ_1" hidden="1">#N/A</definedName>
    <definedName name="_16___123Graph_X????_5" localSheetId="1" hidden="1">#REF!</definedName>
    <definedName name="_16___123Graph_X????_5" localSheetId="7" hidden="1">#REF!</definedName>
    <definedName name="_16___123Graph_X????_5" localSheetId="3" hidden="1">#REF!</definedName>
    <definedName name="_16___123Graph_X????_5" hidden="1">#REF!</definedName>
    <definedName name="_17_____123Graph_Xｸﾞﾗﾌ_1" localSheetId="1" hidden="1">#REF!</definedName>
    <definedName name="_17_____123Graph_Xｸﾞﾗﾌ_1" localSheetId="7" hidden="1">#REF!</definedName>
    <definedName name="_17_____123Graph_Xｸﾞﾗﾌ_1" localSheetId="3" hidden="1">#REF!</definedName>
    <definedName name="_17_____123Graph_Xｸﾞﾗﾌ_1" hidden="1">#REF!</definedName>
    <definedName name="_17____123Graph_Aｸﾞﾗﾌ_2" hidden="1">#N/A</definedName>
    <definedName name="_17___123Graph_Xｸﾞﾗﾌ_1" localSheetId="1" hidden="1">#REF!</definedName>
    <definedName name="_17___123Graph_Xｸﾞﾗﾌ_1" localSheetId="7" hidden="1">#REF!</definedName>
    <definedName name="_17___123Graph_Xｸﾞﾗﾌ_1" localSheetId="3" hidden="1">#REF!</definedName>
    <definedName name="_17___123Graph_Xｸﾞﾗﾌ_1" hidden="1">#REF!</definedName>
    <definedName name="_17__123Graph_A????_1" localSheetId="0" hidden="1">#REF!</definedName>
    <definedName name="_17__123Graph_A????_1" localSheetId="1" hidden="1">#REF!</definedName>
    <definedName name="_17__123Graph_A????_1" localSheetId="7" hidden="1">#REF!</definedName>
    <definedName name="_17__123Graph_A????_1" localSheetId="3" hidden="1">#REF!</definedName>
    <definedName name="_17__123Graph_A????_1" hidden="1">#REF!</definedName>
    <definedName name="_17__123Graph_A????_3" localSheetId="0" hidden="1">#REF!</definedName>
    <definedName name="_17__123Graph_A????_3" localSheetId="1" hidden="1">#REF!</definedName>
    <definedName name="_17__123Graph_A????_3" localSheetId="7" hidden="1">#REF!</definedName>
    <definedName name="_17__123Graph_A????_3" localSheetId="3" hidden="1">#REF!</definedName>
    <definedName name="_17__123Graph_A????_3" hidden="1">#REF!</definedName>
    <definedName name="_18_____123Graph_Xｸﾞﾗﾌ_2" localSheetId="1" hidden="1">#REF!</definedName>
    <definedName name="_18_____123Graph_Xｸﾞﾗﾌ_2" localSheetId="7" hidden="1">#REF!</definedName>
    <definedName name="_18_____123Graph_Xｸﾞﾗﾌ_2" localSheetId="3" hidden="1">#REF!</definedName>
    <definedName name="_18_____123Graph_Xｸﾞﾗﾌ_2" hidden="1">#REF!</definedName>
    <definedName name="_18____123Graph_Aｸﾞﾗﾌ_3" hidden="1">#N/A</definedName>
    <definedName name="_18___123Graph_Xｸﾞﾗﾌ_2" localSheetId="1" hidden="1">#REF!</definedName>
    <definedName name="_18___123Graph_Xｸﾞﾗﾌ_2" localSheetId="7" hidden="1">#REF!</definedName>
    <definedName name="_18___123Graph_Xｸﾞﾗﾌ_2" localSheetId="3" hidden="1">#REF!</definedName>
    <definedName name="_18___123Graph_Xｸﾞﾗﾌ_2" hidden="1">#REF!</definedName>
    <definedName name="_19_____123Graph_Xｸﾞﾗﾌ_3" localSheetId="1" hidden="1">#REF!</definedName>
    <definedName name="_19_____123Graph_Xｸﾞﾗﾌ_3" localSheetId="7" hidden="1">#REF!</definedName>
    <definedName name="_19_____123Graph_Xｸﾞﾗﾌ_3" localSheetId="3" hidden="1">#REF!</definedName>
    <definedName name="_19_____123Graph_Xｸﾞﾗﾌ_3" hidden="1">#REF!</definedName>
    <definedName name="_19____123Graph_Aｸﾞﾗﾌ_4" hidden="1">#N/A</definedName>
    <definedName name="_19___123Graph_Xｸﾞﾗﾌ_3" localSheetId="1" hidden="1">#REF!</definedName>
    <definedName name="_19___123Graph_Xｸﾞﾗﾌ_3" localSheetId="7" hidden="1">#REF!</definedName>
    <definedName name="_19___123Graph_Xｸﾞﾗﾌ_3" localSheetId="3" hidden="1">#REF!</definedName>
    <definedName name="_19___123Graph_Xｸﾞﾗﾌ_3" hidden="1">#REF!</definedName>
    <definedName name="_2_____123Graph_A????_1" localSheetId="1" hidden="1">#REF!</definedName>
    <definedName name="_2_____123Graph_A????_1" localSheetId="7" hidden="1">#REF!</definedName>
    <definedName name="_2_____123Graph_A????_1" localSheetId="3" hidden="1">#REF!</definedName>
    <definedName name="_2_____123Graph_A????_1" hidden="1">#REF!</definedName>
    <definedName name="_2___123Graph_A????_1" localSheetId="1" hidden="1">#REF!</definedName>
    <definedName name="_2___123Graph_A????_1" localSheetId="7" hidden="1">#REF!</definedName>
    <definedName name="_2___123Graph_A????_1" localSheetId="3" hidden="1">#REF!</definedName>
    <definedName name="_2___123Graph_A????_1" hidden="1">#REF!</definedName>
    <definedName name="_20_____123Graph_Xｸﾞﾗﾌ_4" localSheetId="1" hidden="1">#REF!</definedName>
    <definedName name="_20_____123Graph_Xｸﾞﾗﾌ_4" localSheetId="7" hidden="1">#REF!</definedName>
    <definedName name="_20_____123Graph_Xｸﾞﾗﾌ_4" localSheetId="3" hidden="1">#REF!</definedName>
    <definedName name="_20_____123Graph_Xｸﾞﾗﾌ_4" hidden="1">#REF!</definedName>
    <definedName name="_20____123Graph_Aｸﾞﾗﾌ_5" hidden="1">#N/A</definedName>
    <definedName name="_20___123Graph_Xｸﾞﾗﾌ_4" localSheetId="1" hidden="1">#REF!</definedName>
    <definedName name="_20___123Graph_Xｸﾞﾗﾌ_4" localSheetId="7" hidden="1">#REF!</definedName>
    <definedName name="_20___123Graph_Xｸﾞﾗﾌ_4" localSheetId="3" hidden="1">#REF!</definedName>
    <definedName name="_20___123Graph_Xｸﾞﾗﾌ_4" hidden="1">#REF!</definedName>
    <definedName name="_21_____123Graph_Xｸﾞﾗﾌ_5" localSheetId="1" hidden="1">#REF!</definedName>
    <definedName name="_21_____123Graph_Xｸﾞﾗﾌ_5" localSheetId="7" hidden="1">#REF!</definedName>
    <definedName name="_21_____123Graph_Xｸﾞﾗﾌ_5" localSheetId="3" hidden="1">#REF!</definedName>
    <definedName name="_21_____123Graph_Xｸﾞﾗﾌ_5" hidden="1">#REF!</definedName>
    <definedName name="_21____123Graph_X????_1" hidden="1">#N/A</definedName>
    <definedName name="_21___123Graph_Xｸﾞﾗﾌ_5" localSheetId="1" hidden="1">#REF!</definedName>
    <definedName name="_21___123Graph_Xｸﾞﾗﾌ_5" localSheetId="7" hidden="1">#REF!</definedName>
    <definedName name="_21___123Graph_Xｸﾞﾗﾌ_5" localSheetId="3" hidden="1">#REF!</definedName>
    <definedName name="_21___123Graph_Xｸﾞﾗﾌ_5" hidden="1">#REF!</definedName>
    <definedName name="_21__123Graph_A????_2" localSheetId="0" hidden="1">#REF!</definedName>
    <definedName name="_21__123Graph_A????_2" localSheetId="1" hidden="1">#REF!</definedName>
    <definedName name="_21__123Graph_A????_2" localSheetId="7" hidden="1">#REF!</definedName>
    <definedName name="_21__123Graph_A????_2" localSheetId="3" hidden="1">#REF!</definedName>
    <definedName name="_21__123Graph_A????_2" hidden="1">#REF!</definedName>
    <definedName name="_22____123Graph_X????_2" hidden="1">#N/A</definedName>
    <definedName name="_22__123Graph_A????_4" localSheetId="0" hidden="1">#REF!</definedName>
    <definedName name="_22__123Graph_A????_4" localSheetId="1" hidden="1">#REF!</definedName>
    <definedName name="_22__123Graph_A????_4" localSheetId="7" hidden="1">#REF!</definedName>
    <definedName name="_22__123Graph_A????_4" localSheetId="3" hidden="1">#REF!</definedName>
    <definedName name="_22__123Graph_A????_4" hidden="1">#REF!</definedName>
    <definedName name="_23____123Graph_X????_3" hidden="1">#N/A</definedName>
    <definedName name="_23__123Graph_A????_1" localSheetId="0" hidden="1">#REF!</definedName>
    <definedName name="_23__123Graph_A????_1" localSheetId="1" hidden="1">#REF!</definedName>
    <definedName name="_23__123Graph_A????_1" localSheetId="7" hidden="1">#REF!</definedName>
    <definedName name="_23__123Graph_A????_1" localSheetId="3" hidden="1">#REF!</definedName>
    <definedName name="_23__123Graph_A????_1" hidden="1">#REF!</definedName>
    <definedName name="_24____123Graph_X????_4" hidden="1">#N/A</definedName>
    <definedName name="_25____123Graph_X????_5" hidden="1">#N/A</definedName>
    <definedName name="_25__123Graph_A????_3" localSheetId="0" hidden="1">#REF!</definedName>
    <definedName name="_25__123Graph_A????_3" localSheetId="1" hidden="1">#REF!</definedName>
    <definedName name="_25__123Graph_A????_3" localSheetId="7" hidden="1">#REF!</definedName>
    <definedName name="_25__123Graph_A????_3" localSheetId="3" hidden="1">#REF!</definedName>
    <definedName name="_25__123Graph_A????_3" hidden="1">#REF!</definedName>
    <definedName name="_26____123Graph_Xｸﾞﾗﾌ_1" hidden="1">#N/A</definedName>
    <definedName name="_27____123Graph_Xｸﾞﾗﾌ_2" hidden="1">#N/A</definedName>
    <definedName name="_27__123Graph_A????_5" localSheetId="0" hidden="1">#REF!</definedName>
    <definedName name="_27__123Graph_A????_5" localSheetId="1" hidden="1">#REF!</definedName>
    <definedName name="_27__123Graph_A????_5" localSheetId="7" hidden="1">#REF!</definedName>
    <definedName name="_27__123Graph_A????_5" localSheetId="3" hidden="1">#REF!</definedName>
    <definedName name="_27__123Graph_A????_5" hidden="1">#REF!</definedName>
    <definedName name="_28____123Graph_Xｸﾞﾗﾌ_3" hidden="1">#N/A</definedName>
    <definedName name="_28__123Graph_A????_2" localSheetId="0" hidden="1">#REF!</definedName>
    <definedName name="_28__123Graph_A????_2" localSheetId="1" hidden="1">#REF!</definedName>
    <definedName name="_28__123Graph_A????_2" localSheetId="7" hidden="1">#REF!</definedName>
    <definedName name="_28__123Graph_A????_2" localSheetId="3" hidden="1">#REF!</definedName>
    <definedName name="_28__123Graph_A????_2" hidden="1">#REF!</definedName>
    <definedName name="_29____123Graph_Xｸﾞﾗﾌ_4" hidden="1">#N/A</definedName>
    <definedName name="_29__123Graph_A????_4" localSheetId="0" hidden="1">#REF!</definedName>
    <definedName name="_29__123Graph_A????_4" localSheetId="1" hidden="1">#REF!</definedName>
    <definedName name="_29__123Graph_A????_4" localSheetId="7" hidden="1">#REF!</definedName>
    <definedName name="_29__123Graph_A????_4" localSheetId="3" hidden="1">#REF!</definedName>
    <definedName name="_29__123Graph_A????_4" hidden="1">#REF!</definedName>
    <definedName name="_3_____123Graph_A????_2" localSheetId="1" hidden="1">#REF!</definedName>
    <definedName name="_3_____123Graph_A????_2" localSheetId="7" hidden="1">#REF!</definedName>
    <definedName name="_3_____123Graph_A????_2" localSheetId="3" hidden="1">#REF!</definedName>
    <definedName name="_3_____123Graph_A????_2" hidden="1">#REF!</definedName>
    <definedName name="_3___123Graph_A????_2" localSheetId="1" hidden="1">#REF!</definedName>
    <definedName name="_3___123Graph_A????_2" localSheetId="7" hidden="1">#REF!</definedName>
    <definedName name="_3___123Graph_A????_2" localSheetId="3" hidden="1">#REF!</definedName>
    <definedName name="_3___123Graph_A????_2" hidden="1">#REF!</definedName>
    <definedName name="_30____123Graph_Xｸﾞﾗﾌ_5" hidden="1">#N/A</definedName>
    <definedName name="_31___123Graph_A????_1" hidden="1">#N/A</definedName>
    <definedName name="_32___123Graph_A????_2" hidden="1">#N/A</definedName>
    <definedName name="_33___123Graph_A????_3" hidden="1">#N/A</definedName>
    <definedName name="_33__123Graph_A????_3" localSheetId="0" hidden="1">#REF!</definedName>
    <definedName name="_33__123Graph_A????_3" localSheetId="1" hidden="1">#REF!</definedName>
    <definedName name="_33__123Graph_A????_3" localSheetId="7" hidden="1">#REF!</definedName>
    <definedName name="_33__123Graph_A????_3" localSheetId="3" hidden="1">#REF!</definedName>
    <definedName name="_33__123Graph_A????_3" hidden="1">#REF!</definedName>
    <definedName name="_33__123Graph_A????_5" localSheetId="0" hidden="1">#REF!</definedName>
    <definedName name="_33__123Graph_A????_5" localSheetId="1" hidden="1">#REF!</definedName>
    <definedName name="_33__123Graph_A????_5" localSheetId="7" hidden="1">#REF!</definedName>
    <definedName name="_33__123Graph_A????_5" localSheetId="3" hidden="1">#REF!</definedName>
    <definedName name="_33__123Graph_A????_5" hidden="1">#REF!</definedName>
    <definedName name="_33__123Graph_Aｸﾞﾗﾌ_1" localSheetId="0" hidden="1">#REF!</definedName>
    <definedName name="_33__123Graph_Aｸﾞﾗﾌ_1" localSheetId="1" hidden="1">#REF!</definedName>
    <definedName name="_33__123Graph_Aｸﾞﾗﾌ_1" localSheetId="7" hidden="1">#REF!</definedName>
    <definedName name="_33__123Graph_Aｸﾞﾗﾌ_1" localSheetId="3" hidden="1">#REF!</definedName>
    <definedName name="_33__123Graph_Aｸﾞﾗﾌ_1" hidden="1">#REF!</definedName>
    <definedName name="_34___123Graph_A????_4" hidden="1">#N/A</definedName>
    <definedName name="_35___123Graph_A????_5" hidden="1">#N/A</definedName>
    <definedName name="_36___123Graph_Aｸﾞﾗﾌ_1" hidden="1">#N/A</definedName>
    <definedName name="_37___123Graph_Aｸﾞﾗﾌ_2" hidden="1">#N/A</definedName>
    <definedName name="_38___123Graph_Aｸﾞﾗﾌ_3" hidden="1">#N/A</definedName>
    <definedName name="_38__123Graph_A????_4" localSheetId="0" hidden="1">#REF!</definedName>
    <definedName name="_38__123Graph_A????_4" localSheetId="1" hidden="1">#REF!</definedName>
    <definedName name="_38__123Graph_A????_4" localSheetId="7" hidden="1">#REF!</definedName>
    <definedName name="_38__123Graph_A????_4" localSheetId="3" hidden="1">#REF!</definedName>
    <definedName name="_38__123Graph_A????_4" hidden="1">#REF!</definedName>
    <definedName name="_38__123Graph_Aｸﾞﾗﾌ_1" localSheetId="0" hidden="1">#REF!</definedName>
    <definedName name="_38__123Graph_Aｸﾞﾗﾌ_1" localSheetId="1" hidden="1">#REF!</definedName>
    <definedName name="_38__123Graph_Aｸﾞﾗﾌ_1" localSheetId="7" hidden="1">#REF!</definedName>
    <definedName name="_38__123Graph_Aｸﾞﾗﾌ_1" localSheetId="3" hidden="1">#REF!</definedName>
    <definedName name="_38__123Graph_Aｸﾞﾗﾌ_1" hidden="1">#REF!</definedName>
    <definedName name="_39___123Graph_Aｸﾞﾗﾌ_4" hidden="1">#N/A</definedName>
    <definedName name="_39__123Graph_Aｸﾞﾗﾌ_2" localSheetId="0" hidden="1">#REF!</definedName>
    <definedName name="_39__123Graph_Aｸﾞﾗﾌ_2" localSheetId="1" hidden="1">#REF!</definedName>
    <definedName name="_39__123Graph_Aｸﾞﾗﾌ_2" localSheetId="7" hidden="1">#REF!</definedName>
    <definedName name="_39__123Graph_Aｸﾞﾗﾌ_2" localSheetId="3" hidden="1">#REF!</definedName>
    <definedName name="_39__123Graph_Aｸﾞﾗﾌ_2" hidden="1">#REF!</definedName>
    <definedName name="_4_____123Graph_A????_3" localSheetId="1" hidden="1">#REF!</definedName>
    <definedName name="_4_____123Graph_A????_3" localSheetId="7" hidden="1">#REF!</definedName>
    <definedName name="_4_____123Graph_A????_3" localSheetId="3" hidden="1">#REF!</definedName>
    <definedName name="_4_____123Graph_A????_3" hidden="1">#REF!</definedName>
    <definedName name="_4___123Graph_A????_3" localSheetId="1" hidden="1">#REF!</definedName>
    <definedName name="_4___123Graph_A????_3" localSheetId="7" hidden="1">#REF!</definedName>
    <definedName name="_4___123Graph_A????_3" localSheetId="3" hidden="1">#REF!</definedName>
    <definedName name="_4___123Graph_A????_3" hidden="1">#REF!</definedName>
    <definedName name="_40___123Graph_Aｸﾞﾗﾌ_5" hidden="1">#N/A</definedName>
    <definedName name="_41___123Graph_X????_1" hidden="1">#N/A</definedName>
    <definedName name="_42___123Graph_X????_2" hidden="1">#N/A</definedName>
    <definedName name="_43___123Graph_X????_3" hidden="1">#N/A</definedName>
    <definedName name="_43__123Graph_A????_5" localSheetId="0" hidden="1">#REF!</definedName>
    <definedName name="_43__123Graph_A????_5" localSheetId="1" hidden="1">#REF!</definedName>
    <definedName name="_43__123Graph_A????_5" localSheetId="7" hidden="1">#REF!</definedName>
    <definedName name="_43__123Graph_A????_5" localSheetId="3" hidden="1">#REF!</definedName>
    <definedName name="_43__123Graph_A????_5" hidden="1">#REF!</definedName>
    <definedName name="_43__123Graph_Aｸﾞﾗﾌ_2" localSheetId="0" hidden="1">#REF!</definedName>
    <definedName name="_43__123Graph_Aｸﾞﾗﾌ_2" localSheetId="1" hidden="1">#REF!</definedName>
    <definedName name="_43__123Graph_Aｸﾞﾗﾌ_2" localSheetId="7" hidden="1">#REF!</definedName>
    <definedName name="_43__123Graph_Aｸﾞﾗﾌ_2" localSheetId="3" hidden="1">#REF!</definedName>
    <definedName name="_43__123Graph_Aｸﾞﾗﾌ_2" hidden="1">#REF!</definedName>
    <definedName name="_44___123Graph_X????_4" hidden="1">#N/A</definedName>
    <definedName name="_45___123Graph_X????_5" hidden="1">#N/A</definedName>
    <definedName name="_45__123Graph_Aｸﾞﾗﾌ_3" localSheetId="0" hidden="1">#REF!</definedName>
    <definedName name="_45__123Graph_Aｸﾞﾗﾌ_3" localSheetId="1" hidden="1">#REF!</definedName>
    <definedName name="_45__123Graph_Aｸﾞﾗﾌ_3" localSheetId="7" hidden="1">#REF!</definedName>
    <definedName name="_45__123Graph_Aｸﾞﾗﾌ_3" localSheetId="3" hidden="1">#REF!</definedName>
    <definedName name="_45__123Graph_Aｸﾞﾗﾌ_3" hidden="1">#REF!</definedName>
    <definedName name="_46___123Graph_Xｸﾞﾗﾌ_1" hidden="1">#N/A</definedName>
    <definedName name="_47___123Graph_Xｸﾞﾗﾌ_2" hidden="1">#N/A</definedName>
    <definedName name="_48___123Graph_Xｸﾞﾗﾌ_3" hidden="1">#N/A</definedName>
    <definedName name="_48__123Graph_Aｸﾞﾗﾌ_3" localSheetId="0" hidden="1">#REF!</definedName>
    <definedName name="_48__123Graph_Aｸﾞﾗﾌ_3" localSheetId="1" hidden="1">#REF!</definedName>
    <definedName name="_48__123Graph_Aｸﾞﾗﾌ_3" localSheetId="7" hidden="1">#REF!</definedName>
    <definedName name="_48__123Graph_Aｸﾞﾗﾌ_3" localSheetId="3" hidden="1">#REF!</definedName>
    <definedName name="_48__123Graph_Aｸﾞﾗﾌ_3" hidden="1">#REF!</definedName>
    <definedName name="_49___123Graph_Xｸﾞﾗﾌ_4" hidden="1">#N/A</definedName>
    <definedName name="_5_____123Graph_A????_4" localSheetId="1" hidden="1">#REF!</definedName>
    <definedName name="_5_____123Graph_A????_4" localSheetId="7" hidden="1">#REF!</definedName>
    <definedName name="_5_____123Graph_A????_4" localSheetId="3" hidden="1">#REF!</definedName>
    <definedName name="_5_____123Graph_A????_4" hidden="1">#REF!</definedName>
    <definedName name="_5___123Graph_A????_4" localSheetId="1" hidden="1">#REF!</definedName>
    <definedName name="_5___123Graph_A????_4" localSheetId="7" hidden="1">#REF!</definedName>
    <definedName name="_5___123Graph_A????_4" localSheetId="3" hidden="1">#REF!</definedName>
    <definedName name="_5___123Graph_A????_4" hidden="1">#REF!</definedName>
    <definedName name="_50___123Graph_Xｸﾞﾗﾌ_5" hidden="1">#N/A</definedName>
    <definedName name="_51__123Graph_Aｸﾞﾗﾌ_1" localSheetId="0" hidden="1">#REF!</definedName>
    <definedName name="_51__123Graph_Aｸﾞﾗﾌ_1" localSheetId="1" hidden="1">#REF!</definedName>
    <definedName name="_51__123Graph_Aｸﾞﾗﾌ_1" localSheetId="7" hidden="1">#REF!</definedName>
    <definedName name="_51__123Graph_Aｸﾞﾗﾌ_1" localSheetId="3" hidden="1">#REF!</definedName>
    <definedName name="_51__123Graph_Aｸﾞﾗﾌ_1" hidden="1">#REF!</definedName>
    <definedName name="_51__123Graph_Aｸﾞﾗﾌ_4" localSheetId="0" hidden="1">#REF!</definedName>
    <definedName name="_51__123Graph_Aｸﾞﾗﾌ_4" localSheetId="1" hidden="1">#REF!</definedName>
    <definedName name="_51__123Graph_Aｸﾞﾗﾌ_4" localSheetId="7" hidden="1">#REF!</definedName>
    <definedName name="_51__123Graph_Aｸﾞﾗﾌ_4" localSheetId="3" hidden="1">#REF!</definedName>
    <definedName name="_51__123Graph_Aｸﾞﾗﾌ_4" hidden="1">#REF!</definedName>
    <definedName name="_53__123Graph_Aｸﾞﾗﾌ_4" localSheetId="0" hidden="1">#REF!</definedName>
    <definedName name="_53__123Graph_Aｸﾞﾗﾌ_4" localSheetId="1" hidden="1">#REF!</definedName>
    <definedName name="_53__123Graph_Aｸﾞﾗﾌ_4" localSheetId="7" hidden="1">#REF!</definedName>
    <definedName name="_53__123Graph_Aｸﾞﾗﾌ_4" localSheetId="3" hidden="1">#REF!</definedName>
    <definedName name="_53__123Graph_Aｸﾞﾗﾌ_4" hidden="1">#REF!</definedName>
    <definedName name="_57__123Graph_Aｸﾞﾗﾌ_5" localSheetId="0" hidden="1">#REF!</definedName>
    <definedName name="_57__123Graph_Aｸﾞﾗﾌ_5" localSheetId="1" hidden="1">#REF!</definedName>
    <definedName name="_57__123Graph_Aｸﾞﾗﾌ_5" localSheetId="7" hidden="1">#REF!</definedName>
    <definedName name="_57__123Graph_Aｸﾞﾗﾌ_5" localSheetId="3" hidden="1">#REF!</definedName>
    <definedName name="_57__123Graph_Aｸﾞﾗﾌ_5" hidden="1">#REF!</definedName>
    <definedName name="_58__123Graph_Aｸﾞﾗﾌ_5" localSheetId="0" hidden="1">#REF!</definedName>
    <definedName name="_58__123Graph_Aｸﾞﾗﾌ_5" localSheetId="1" hidden="1">#REF!</definedName>
    <definedName name="_58__123Graph_Aｸﾞﾗﾌ_5" localSheetId="7" hidden="1">#REF!</definedName>
    <definedName name="_58__123Graph_Aｸﾞﾗﾌ_5" localSheetId="3" hidden="1">#REF!</definedName>
    <definedName name="_58__123Graph_Aｸﾞﾗﾌ_5" hidden="1">#REF!</definedName>
    <definedName name="_59__123Graph_Aｸﾞﾗﾌ_2" localSheetId="0" hidden="1">#REF!</definedName>
    <definedName name="_59__123Graph_Aｸﾞﾗﾌ_2" localSheetId="1" hidden="1">#REF!</definedName>
    <definedName name="_59__123Graph_Aｸﾞﾗﾌ_2" localSheetId="7" hidden="1">#REF!</definedName>
    <definedName name="_59__123Graph_Aｸﾞﾗﾌ_2" localSheetId="3" hidden="1">#REF!</definedName>
    <definedName name="_59__123Graph_Aｸﾞﾗﾌ_2" hidden="1">#REF!</definedName>
    <definedName name="_6_____123Graph_A????_5" localSheetId="1" hidden="1">#REF!</definedName>
    <definedName name="_6_____123Graph_A????_5" localSheetId="7" hidden="1">#REF!</definedName>
    <definedName name="_6_____123Graph_A????_5" localSheetId="3" hidden="1">#REF!</definedName>
    <definedName name="_6_____123Graph_A????_5" hidden="1">#REF!</definedName>
    <definedName name="_6___123Graph_A????_5" localSheetId="1" hidden="1">#REF!</definedName>
    <definedName name="_6___123Graph_A????_5" localSheetId="7" hidden="1">#REF!</definedName>
    <definedName name="_6___123Graph_A????_5" localSheetId="3" hidden="1">#REF!</definedName>
    <definedName name="_6___123Graph_A????_5" hidden="1">#REF!</definedName>
    <definedName name="_62__123Graph_X????_1" localSheetId="0" hidden="1">#REF!</definedName>
    <definedName name="_62__123Graph_X????_1" localSheetId="1" hidden="1">#REF!</definedName>
    <definedName name="_62__123Graph_X????_1" localSheetId="7" hidden="1">#REF!</definedName>
    <definedName name="_62__123Graph_X????_1" localSheetId="3" hidden="1">#REF!</definedName>
    <definedName name="_62__123Graph_X????_1" hidden="1">#REF!</definedName>
    <definedName name="_66__123Graph_X????_2" localSheetId="0" hidden="1">#REF!</definedName>
    <definedName name="_66__123Graph_X????_2" localSheetId="1" hidden="1">#REF!</definedName>
    <definedName name="_66__123Graph_X????_2" localSheetId="7" hidden="1">#REF!</definedName>
    <definedName name="_66__123Graph_X????_2" localSheetId="3" hidden="1">#REF!</definedName>
    <definedName name="_66__123Graph_X????_2" hidden="1">#REF!</definedName>
    <definedName name="_67__123Graph_Aｸﾞﾗﾌ_3" localSheetId="0" hidden="1">#REF!</definedName>
    <definedName name="_67__123Graph_Aｸﾞﾗﾌ_3" localSheetId="1" hidden="1">#REF!</definedName>
    <definedName name="_67__123Graph_Aｸﾞﾗﾌ_3" localSheetId="7" hidden="1">#REF!</definedName>
    <definedName name="_67__123Graph_Aｸﾞﾗﾌ_3" localSheetId="3" hidden="1">#REF!</definedName>
    <definedName name="_67__123Graph_Aｸﾞﾗﾌ_3" hidden="1">#REF!</definedName>
    <definedName name="_67__123Graph_X????_2" localSheetId="0" hidden="1">#REF!</definedName>
    <definedName name="_67__123Graph_X????_2" localSheetId="1" hidden="1">#REF!</definedName>
    <definedName name="_67__123Graph_X????_2" localSheetId="7" hidden="1">#REF!</definedName>
    <definedName name="_67__123Graph_X????_2" localSheetId="3" hidden="1">#REF!</definedName>
    <definedName name="_67__123Graph_X????_2" hidden="1">#REF!</definedName>
    <definedName name="_7_____123Graph_Aｸﾞﾗﾌ_1" localSheetId="1" hidden="1">#REF!</definedName>
    <definedName name="_7_____123Graph_Aｸﾞﾗﾌ_1" localSheetId="7" hidden="1">#REF!</definedName>
    <definedName name="_7_____123Graph_Aｸﾞﾗﾌ_1" localSheetId="3" hidden="1">#REF!</definedName>
    <definedName name="_7_____123Graph_Aｸﾞﾗﾌ_1" hidden="1">#REF!</definedName>
    <definedName name="_7___123Graph_Aｸﾞﾗﾌ_1" localSheetId="1" hidden="1">#REF!</definedName>
    <definedName name="_7___123Graph_Aｸﾞﾗﾌ_1" localSheetId="7" hidden="1">#REF!</definedName>
    <definedName name="_7___123Graph_Aｸﾞﾗﾌ_1" localSheetId="3" hidden="1">#REF!</definedName>
    <definedName name="_7___123Graph_Aｸﾞﾗﾌ_1" hidden="1">#REF!</definedName>
    <definedName name="_7__123Graph_A????_1" localSheetId="0" hidden="1">#REF!</definedName>
    <definedName name="_7__123Graph_A????_1" localSheetId="1" hidden="1">#REF!</definedName>
    <definedName name="_7__123Graph_A????_1" localSheetId="7" hidden="1">#REF!</definedName>
    <definedName name="_7__123Graph_A????_1" localSheetId="3" hidden="1">#REF!</definedName>
    <definedName name="_7__123Graph_A????_1" hidden="1">#REF!</definedName>
    <definedName name="_70__123Graph_X????_3" localSheetId="0" hidden="1">#REF!</definedName>
    <definedName name="_70__123Graph_X????_3" localSheetId="1" hidden="1">#REF!</definedName>
    <definedName name="_70__123Graph_X????_3" localSheetId="7" hidden="1">#REF!</definedName>
    <definedName name="_70__123Graph_X????_3" localSheetId="3" hidden="1">#REF!</definedName>
    <definedName name="_70__123Graph_X????_3" hidden="1">#REF!</definedName>
    <definedName name="_72__123Graph_X????_3" localSheetId="0" hidden="1">#REF!</definedName>
    <definedName name="_72__123Graph_X????_3" localSheetId="1" hidden="1">#REF!</definedName>
    <definedName name="_72__123Graph_X????_3" localSheetId="7" hidden="1">#REF!</definedName>
    <definedName name="_72__123Graph_X????_3" localSheetId="3" hidden="1">#REF!</definedName>
    <definedName name="_72__123Graph_X????_3" hidden="1">#REF!</definedName>
    <definedName name="_74__123Graph_X????_4" localSheetId="0" hidden="1">#REF!</definedName>
    <definedName name="_74__123Graph_X????_4" localSheetId="1" hidden="1">#REF!</definedName>
    <definedName name="_74__123Graph_X????_4" localSheetId="7" hidden="1">#REF!</definedName>
    <definedName name="_74__123Graph_X????_4" localSheetId="3" hidden="1">#REF!</definedName>
    <definedName name="_74__123Graph_X????_4" hidden="1">#REF!</definedName>
    <definedName name="_75__123Graph_Aｸﾞﾗﾌ_4" localSheetId="0" hidden="1">#REF!</definedName>
    <definedName name="_75__123Graph_Aｸﾞﾗﾌ_4" localSheetId="1" hidden="1">#REF!</definedName>
    <definedName name="_75__123Graph_Aｸﾞﾗﾌ_4" localSheetId="7" hidden="1">#REF!</definedName>
    <definedName name="_75__123Graph_Aｸﾞﾗﾌ_4" localSheetId="3" hidden="1">#REF!</definedName>
    <definedName name="_75__123Graph_Aｸﾞﾗﾌ_4" hidden="1">#REF!</definedName>
    <definedName name="_77__123Graph_X????_4" localSheetId="0" hidden="1">#REF!</definedName>
    <definedName name="_77__123Graph_X????_4" localSheetId="1" hidden="1">#REF!</definedName>
    <definedName name="_77__123Graph_X????_4" localSheetId="7" hidden="1">#REF!</definedName>
    <definedName name="_77__123Graph_X????_4" localSheetId="3" hidden="1">#REF!</definedName>
    <definedName name="_77__123Graph_X????_4" hidden="1">#REF!</definedName>
    <definedName name="_78__123Graph_X????_5" localSheetId="0" hidden="1">#REF!</definedName>
    <definedName name="_78__123Graph_X????_5" localSheetId="1" hidden="1">#REF!</definedName>
    <definedName name="_78__123Graph_X????_5" localSheetId="7" hidden="1">#REF!</definedName>
    <definedName name="_78__123Graph_X????_5" localSheetId="3" hidden="1">#REF!</definedName>
    <definedName name="_78__123Graph_X????_5" hidden="1">#REF!</definedName>
    <definedName name="_8_____123Graph_Aｸﾞﾗﾌ_2" localSheetId="1" hidden="1">#REF!</definedName>
    <definedName name="_8_____123Graph_Aｸﾞﾗﾌ_2" localSheetId="7" hidden="1">#REF!</definedName>
    <definedName name="_8_____123Graph_Aｸﾞﾗﾌ_2" localSheetId="3" hidden="1">#REF!</definedName>
    <definedName name="_8_____123Graph_Aｸﾞﾗﾌ_2" hidden="1">#REF!</definedName>
    <definedName name="_8___123Graph_Aｸﾞﾗﾌ_2" localSheetId="1" hidden="1">#REF!</definedName>
    <definedName name="_8___123Graph_Aｸﾞﾗﾌ_2" localSheetId="7" hidden="1">#REF!</definedName>
    <definedName name="_8___123Graph_Aｸﾞﾗﾌ_2" localSheetId="3" hidden="1">#REF!</definedName>
    <definedName name="_8___123Graph_Aｸﾞﾗﾌ_2" hidden="1">#REF!</definedName>
    <definedName name="_82__123Graph_X????_5" localSheetId="0" hidden="1">#REF!</definedName>
    <definedName name="_82__123Graph_X????_5" localSheetId="1" hidden="1">#REF!</definedName>
    <definedName name="_82__123Graph_X????_5" localSheetId="7" hidden="1">#REF!</definedName>
    <definedName name="_82__123Graph_X????_5" localSheetId="3" hidden="1">#REF!</definedName>
    <definedName name="_82__123Graph_X????_5" hidden="1">#REF!</definedName>
    <definedName name="_83__123Graph_Aｸﾞﾗﾌ_5" localSheetId="0" hidden="1">#REF!</definedName>
    <definedName name="_83__123Graph_Aｸﾞﾗﾌ_5" localSheetId="1" hidden="1">#REF!</definedName>
    <definedName name="_83__123Graph_Aｸﾞﾗﾌ_5" localSheetId="7" hidden="1">#REF!</definedName>
    <definedName name="_83__123Graph_Aｸﾞﾗﾌ_5" localSheetId="3" hidden="1">#REF!</definedName>
    <definedName name="_83__123Graph_Aｸﾞﾗﾌ_5" hidden="1">#REF!</definedName>
    <definedName name="_83__123Graph_Xｸﾞﾗﾌ_1" localSheetId="0" hidden="1">#REF!</definedName>
    <definedName name="_83__123Graph_Xｸﾞﾗﾌ_1" localSheetId="1" hidden="1">#REF!</definedName>
    <definedName name="_83__123Graph_Xｸﾞﾗﾌ_1" localSheetId="7" hidden="1">#REF!</definedName>
    <definedName name="_83__123Graph_Xｸﾞﾗﾌ_1" localSheetId="3" hidden="1">#REF!</definedName>
    <definedName name="_83__123Graph_Xｸﾞﾗﾌ_1" hidden="1">#REF!</definedName>
    <definedName name="_88__123Graph_X????_1" localSheetId="0" hidden="1">#REF!</definedName>
    <definedName name="_88__123Graph_X????_1" localSheetId="1" hidden="1">#REF!</definedName>
    <definedName name="_88__123Graph_X????_1" localSheetId="7" hidden="1">#REF!</definedName>
    <definedName name="_88__123Graph_X????_1" localSheetId="3" hidden="1">#REF!</definedName>
    <definedName name="_88__123Graph_X????_1" hidden="1">#REF!</definedName>
    <definedName name="_88__123Graph_Xｸﾞﾗﾌ_1" localSheetId="0" hidden="1">#REF!</definedName>
    <definedName name="_88__123Graph_Xｸﾞﾗﾌ_1" localSheetId="1" hidden="1">#REF!</definedName>
    <definedName name="_88__123Graph_Xｸﾞﾗﾌ_1" localSheetId="7" hidden="1">#REF!</definedName>
    <definedName name="_88__123Graph_Xｸﾞﾗﾌ_1" localSheetId="3" hidden="1">#REF!</definedName>
    <definedName name="_88__123Graph_Xｸﾞﾗﾌ_1" hidden="1">#REF!</definedName>
    <definedName name="_88__123Graph_Xｸﾞﾗﾌ_2" localSheetId="0" hidden="1">#REF!</definedName>
    <definedName name="_88__123Graph_Xｸﾞﾗﾌ_2" localSheetId="1" hidden="1">#REF!</definedName>
    <definedName name="_88__123Graph_Xｸﾞﾗﾌ_2" localSheetId="7" hidden="1">#REF!</definedName>
    <definedName name="_88__123Graph_Xｸﾞﾗﾌ_2" localSheetId="3" hidden="1">#REF!</definedName>
    <definedName name="_88__123Graph_Xｸﾞﾗﾌ_2" hidden="1">#REF!</definedName>
    <definedName name="_9_____123Graph_Aｸﾞﾗﾌ_3" localSheetId="1" hidden="1">#REF!</definedName>
    <definedName name="_9_____123Graph_Aｸﾞﾗﾌ_3" localSheetId="7" hidden="1">#REF!</definedName>
    <definedName name="_9_____123Graph_Aｸﾞﾗﾌ_3" localSheetId="3" hidden="1">#REF!</definedName>
    <definedName name="_9_____123Graph_Aｸﾞﾗﾌ_3" hidden="1">#REF!</definedName>
    <definedName name="_9___123Graph_Aｸﾞﾗﾌ_3" localSheetId="1" hidden="1">#REF!</definedName>
    <definedName name="_9___123Graph_Aｸﾞﾗﾌ_3" localSheetId="7" hidden="1">#REF!</definedName>
    <definedName name="_9___123Graph_Aｸﾞﾗﾌ_3" localSheetId="3" hidden="1">#REF!</definedName>
    <definedName name="_9___123Graph_Aｸﾞﾗﾌ_3" hidden="1">#REF!</definedName>
    <definedName name="_93__123Graph_X????_2" localSheetId="0" hidden="1">#REF!</definedName>
    <definedName name="_93__123Graph_X????_2" localSheetId="1" hidden="1">#REF!</definedName>
    <definedName name="_93__123Graph_X????_2" localSheetId="7" hidden="1">#REF!</definedName>
    <definedName name="_93__123Graph_X????_2" localSheetId="3" hidden="1">#REF!</definedName>
    <definedName name="_93__123Graph_X????_2" hidden="1">#REF!</definedName>
    <definedName name="_93__123Graph_Xｸﾞﾗﾌ_3" localSheetId="0" hidden="1">#REF!</definedName>
    <definedName name="_93__123Graph_Xｸﾞﾗﾌ_3" localSheetId="1" hidden="1">#REF!</definedName>
    <definedName name="_93__123Graph_Xｸﾞﾗﾌ_3" localSheetId="7" hidden="1">#REF!</definedName>
    <definedName name="_93__123Graph_Xｸﾞﾗﾌ_3" localSheetId="3" hidden="1">#REF!</definedName>
    <definedName name="_93__123Graph_Xｸﾞﾗﾌ_3" hidden="1">#REF!</definedName>
    <definedName name="_94__123Graph_Xｸﾞﾗﾌ_2" localSheetId="0" hidden="1">#REF!</definedName>
    <definedName name="_94__123Graph_Xｸﾞﾗﾌ_2" localSheetId="1" hidden="1">#REF!</definedName>
    <definedName name="_94__123Graph_Xｸﾞﾗﾌ_2" localSheetId="7" hidden="1">#REF!</definedName>
    <definedName name="_94__123Graph_Xｸﾞﾗﾌ_2" localSheetId="3" hidden="1">#REF!</definedName>
    <definedName name="_94__123Graph_Xｸﾞﾗﾌ_2" hidden="1">#REF!</definedName>
    <definedName name="_98__123Graph_X????_3" localSheetId="0" hidden="1">#REF!</definedName>
    <definedName name="_98__123Graph_X????_3" localSheetId="1" hidden="1">#REF!</definedName>
    <definedName name="_98__123Graph_X????_3" localSheetId="7" hidden="1">#REF!</definedName>
    <definedName name="_98__123Graph_X????_3" localSheetId="3" hidden="1">#REF!</definedName>
    <definedName name="_98__123Graph_X????_3" hidden="1">#REF!</definedName>
    <definedName name="_98__123Graph_Xｸﾞﾗﾌ_4" localSheetId="0" hidden="1">#REF!</definedName>
    <definedName name="_98__123Graph_Xｸﾞﾗﾌ_4" localSheetId="1" hidden="1">#REF!</definedName>
    <definedName name="_98__123Graph_Xｸﾞﾗﾌ_4" localSheetId="7" hidden="1">#REF!</definedName>
    <definedName name="_98__123Graph_Xｸﾞﾗﾌ_4" localSheetId="3" hidden="1">#REF!</definedName>
    <definedName name="_98__123Graph_Xｸﾞﾗﾌ_4" hidden="1">#REF!</definedName>
    <definedName name="_a1" localSheetId="0" hidden="1">{"'Sheet1'!$L$16"}</definedName>
    <definedName name="_a1" localSheetId="7" hidden="1">{"'Sheet1'!$L$16"}</definedName>
    <definedName name="_a1" localSheetId="3" hidden="1">{"'Sheet1'!$L$16"}</definedName>
    <definedName name="_a1" hidden="1">{"'Sheet1'!$L$16"}</definedName>
    <definedName name="_a1_1" hidden="1">{"'Sheet1'!$L$16"}</definedName>
    <definedName name="_a1_2" hidden="1">{"'Sheet1'!$L$16"}</definedName>
    <definedName name="_a129" localSheetId="7"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29_1" hidden="1">{"Offgrid",#N/A,FALSE,"OFFGRID";"Region",#N/A,FALSE,"REGION";"Offgrid -2",#N/A,FALSE,"OFFGRID";"WTP",#N/A,FALSE,"WTP";"WTP -2",#N/A,FALSE,"WTP";"Project",#N/A,FALSE,"PROJECT";"Summary -2",#N/A,FALSE,"SUMMARY"}</definedName>
    <definedName name="_a129_2" hidden="1">{"Offgrid",#N/A,FALSE,"OFFGRID";"Region",#N/A,FALSE,"REGION";"Offgrid -2",#N/A,FALSE,"OFFGRID";"WTP",#N/A,FALSE,"WTP";"WTP -2",#N/A,FALSE,"WTP";"Project",#N/A,FALSE,"PROJECT";"Summary -2",#N/A,FALSE,"SUMMARY"}</definedName>
    <definedName name="_a130" localSheetId="7"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30_1" hidden="1">{"Offgrid",#N/A,FALSE,"OFFGRID";"Region",#N/A,FALSE,"REGION";"Offgrid -2",#N/A,FALSE,"OFFGRID";"WTP",#N/A,FALSE,"WTP";"WTP -2",#N/A,FALSE,"WTP";"Project",#N/A,FALSE,"PROJECT";"Summary -2",#N/A,FALSE,"SUMMARY"}</definedName>
    <definedName name="_a130_2" hidden="1">{"Offgrid",#N/A,FALSE,"OFFGRID";"Region",#N/A,FALSE,"REGION";"Offgrid -2",#N/A,FALSE,"OFFGRID";"WTP",#N/A,FALSE,"WTP";"WTP -2",#N/A,FALSE,"WTP";"Project",#N/A,FALSE,"PROJECT";"Summary -2",#N/A,FALSE,"SUMMARY"}</definedName>
    <definedName name="_a2" localSheetId="0" hidden="1">{"'Sheet1'!$L$16"}</definedName>
    <definedName name="_a2" localSheetId="7" hidden="1">{"'Sheet1'!$L$16"}</definedName>
    <definedName name="_a2" localSheetId="3" hidden="1">{"'Sheet1'!$L$16"}</definedName>
    <definedName name="_a2" hidden="1">{"'Sheet1'!$L$16"}</definedName>
    <definedName name="_a2_1" hidden="1">{"'Sheet1'!$L$16"}</definedName>
    <definedName name="_a2_2" hidden="1">{"'Sheet1'!$L$16"}</definedName>
    <definedName name="_bht6" localSheetId="0" hidden="1">{"'Sheet1'!$L$16"}</definedName>
    <definedName name="_bht6" localSheetId="7" hidden="1">{"'Sheet1'!$L$16"}</definedName>
    <definedName name="_bht6" localSheetId="3" hidden="1">{"'Sheet1'!$L$16"}</definedName>
    <definedName name="_bht6" hidden="1">{"'Sheet1'!$L$16"}</definedName>
    <definedName name="_bht6_1" hidden="1">{"'Sheet1'!$L$16"}</definedName>
    <definedName name="_bht6_2" hidden="1">{"'Sheet1'!$L$16"}</definedName>
    <definedName name="_Builtin155" hidden="1">#N/A</definedName>
    <definedName name="_CD2" localSheetId="7" hidden="1">{"'Sheet1'!$L$16"}</definedName>
    <definedName name="_CD2" localSheetId="3" hidden="1">{"'Sheet1'!$L$16"}</definedName>
    <definedName name="_CD2" hidden="1">{"'Sheet1'!$L$16"}</definedName>
    <definedName name="_CD2_1" hidden="1">{"'Sheet1'!$L$16"}</definedName>
    <definedName name="_CD2_2" hidden="1">{"'Sheet1'!$L$16"}</definedName>
    <definedName name="_Coc39" localSheetId="7" hidden="1">{"'Sheet1'!$L$16"}</definedName>
    <definedName name="_Coc39" localSheetId="3" hidden="1">{"'Sheet1'!$L$16"}</definedName>
    <definedName name="_Coc39" hidden="1">{"'Sheet1'!$L$16"}</definedName>
    <definedName name="_Coc39_1" hidden="1">{"'Sheet1'!$L$16"}</definedName>
    <definedName name="_Coc39_2" hidden="1">{"'Sheet1'!$L$16"}</definedName>
    <definedName name="_Fill" localSheetId="2" hidden="1">#REF!</definedName>
    <definedName name="_Fill" localSheetId="0" hidden="1">#REF!</definedName>
    <definedName name="_Fill" localSheetId="5" hidden="1">#REF!</definedName>
    <definedName name="_Fill" localSheetId="1" hidden="1">#REF!</definedName>
    <definedName name="_Fill" localSheetId="7" hidden="1">#REF!</definedName>
    <definedName name="_Fill" localSheetId="3" hidden="1">#REF!</definedName>
    <definedName name="_Fill" localSheetId="4" hidden="1">#REF!</definedName>
    <definedName name="_Fill" hidden="1">#REF!</definedName>
    <definedName name="_Fill1" localSheetId="0" hidden="1">#REF!</definedName>
    <definedName name="_Fill1" localSheetId="1" hidden="1">#REF!</definedName>
    <definedName name="_Fill1" localSheetId="7" hidden="1">#REF!</definedName>
    <definedName name="_Fill1" localSheetId="3" hidden="1">#REF!</definedName>
    <definedName name="_Fill1" hidden="1">#REF!</definedName>
    <definedName name="_Fill2" localSheetId="0" hidden="1">#REF!</definedName>
    <definedName name="_Fill2" localSheetId="1" hidden="1">#REF!</definedName>
    <definedName name="_Fill2" localSheetId="7" hidden="1">#REF!</definedName>
    <definedName name="_Fill2" localSheetId="3" hidden="1">#REF!</definedName>
    <definedName name="_Fill2" hidden="1">#REF!</definedName>
    <definedName name="_xlnm._FilterDatabase" localSheetId="0" hidden="1">#REF!</definedName>
    <definedName name="_xlnm._FilterDatabase" localSheetId="6" hidden="1">'Dien giai KL'!$A$1:$K$349</definedName>
    <definedName name="_xlnm._FilterDatabase" localSheetId="5" hidden="1">'KL TONG HOP'!$A$5:$G$6</definedName>
    <definedName name="_xlnm._FilterDatabase" localSheetId="1" hidden="1">'PL SOAT XET'!$A$5:$Q$66</definedName>
    <definedName name="_xlnm._FilterDatabase" localSheetId="4" hidden="1">'TONG HOP GT'!$A$5:$O$18</definedName>
    <definedName name="_xlnm._FilterDatabase" hidden="1">#N/A</definedName>
    <definedName name="_Goi8" localSheetId="0" hidden="1">{"'Sheet1'!$L$16"}</definedName>
    <definedName name="_Goi8" localSheetId="7" hidden="1">{"'Sheet1'!$L$16"}</definedName>
    <definedName name="_Goi8" localSheetId="3" hidden="1">{"'Sheet1'!$L$16"}</definedName>
    <definedName name="_Goi8" hidden="1">{"'Sheet1'!$L$16"}</definedName>
    <definedName name="_Goi8_1" hidden="1">{"'Sheet1'!$L$16"}</definedName>
    <definedName name="_Goi8_2" hidden="1">{"'Sheet1'!$L$16"}</definedName>
    <definedName name="_h1" localSheetId="0" hidden="1">{"'Sheet1'!$L$16"}</definedName>
    <definedName name="_h1" localSheetId="7" hidden="1">{"'Sheet1'!$L$16"}</definedName>
    <definedName name="_h1" localSheetId="3" hidden="1">{"'Sheet1'!$L$16"}</definedName>
    <definedName name="_h1" hidden="1">{"'Sheet1'!$L$16"}</definedName>
    <definedName name="_h1_1" hidden="1">{"'Sheet1'!$L$16"}</definedName>
    <definedName name="_h1_2" hidden="1">{"'Sheet1'!$L$16"}</definedName>
    <definedName name="_hu1" localSheetId="0" hidden="1">{"'Sheet1'!$L$16"}</definedName>
    <definedName name="_hu1" localSheetId="7" hidden="1">{"'Sheet1'!$L$16"}</definedName>
    <definedName name="_hu1" localSheetId="3" hidden="1">{"'Sheet1'!$L$16"}</definedName>
    <definedName name="_hu1" hidden="1">{"'Sheet1'!$L$16"}</definedName>
    <definedName name="_hu1_1" hidden="1">{"'Sheet1'!$L$16"}</definedName>
    <definedName name="_hu1_2" hidden="1">{"'Sheet1'!$L$16"}</definedName>
    <definedName name="_hu2" localSheetId="0" hidden="1">{"'Sheet1'!$L$16"}</definedName>
    <definedName name="_hu2" localSheetId="7" hidden="1">{"'Sheet1'!$L$16"}</definedName>
    <definedName name="_hu2" localSheetId="3" hidden="1">{"'Sheet1'!$L$16"}</definedName>
    <definedName name="_hu2" hidden="1">{"'Sheet1'!$L$16"}</definedName>
    <definedName name="_hu2_1" hidden="1">{"'Sheet1'!$L$16"}</definedName>
    <definedName name="_hu2_2" hidden="1">{"'Sheet1'!$L$16"}</definedName>
    <definedName name="_hu5" localSheetId="0" hidden="1">{"'Sheet1'!$L$16"}</definedName>
    <definedName name="_hu5" localSheetId="7" hidden="1">{"'Sheet1'!$L$16"}</definedName>
    <definedName name="_hu5" localSheetId="3" hidden="1">{"'Sheet1'!$L$16"}</definedName>
    <definedName name="_hu5" hidden="1">{"'Sheet1'!$L$16"}</definedName>
    <definedName name="_hu5_1" hidden="1">{"'Sheet1'!$L$16"}</definedName>
    <definedName name="_hu5_2" hidden="1">{"'Sheet1'!$L$16"}</definedName>
    <definedName name="_hu6" localSheetId="0" hidden="1">{"'Sheet1'!$L$16"}</definedName>
    <definedName name="_hu6" localSheetId="7" hidden="1">{"'Sheet1'!$L$16"}</definedName>
    <definedName name="_hu6" localSheetId="3" hidden="1">{"'Sheet1'!$L$16"}</definedName>
    <definedName name="_hu6" hidden="1">{"'Sheet1'!$L$16"}</definedName>
    <definedName name="_hu6_1" hidden="1">{"'Sheet1'!$L$16"}</definedName>
    <definedName name="_hu6_2" hidden="1">{"'Sheet1'!$L$16"}</definedName>
    <definedName name="_huy1" localSheetId="0" hidden="1">{"'Sheet1'!$L$16"}</definedName>
    <definedName name="_huy1" localSheetId="7" hidden="1">{"'Sheet1'!$L$16"}</definedName>
    <definedName name="_huy1" localSheetId="3" hidden="1">{"'Sheet1'!$L$16"}</definedName>
    <definedName name="_huy1" hidden="1">{"'Sheet1'!$L$16"}</definedName>
    <definedName name="_huy1_1" hidden="1">{"'Sheet1'!$L$16"}</definedName>
    <definedName name="_huy1_2" hidden="1">{"'Sheet1'!$L$16"}</definedName>
    <definedName name="_huy2" localSheetId="0" hidden="1">{"'Sheet1'!$L$16"}</definedName>
    <definedName name="_huy2" localSheetId="7" hidden="1">{"'Sheet1'!$L$16"}</definedName>
    <definedName name="_huy2" localSheetId="3" hidden="1">{"'Sheet1'!$L$16"}</definedName>
    <definedName name="_huy2" hidden="1">{"'Sheet1'!$L$16"}</definedName>
    <definedName name="_huy2_1" hidden="1">{"'Sheet1'!$L$16"}</definedName>
    <definedName name="_huy2_2" hidden="1">{"'Sheet1'!$L$16"}</definedName>
    <definedName name="_K146" localSheetId="7" hidden="1">{"'Sheet1'!$L$16"}</definedName>
    <definedName name="_K146" localSheetId="3" hidden="1">{"'Sheet1'!$L$16"}</definedName>
    <definedName name="_K146" hidden="1">{"'Sheet1'!$L$16"}</definedName>
    <definedName name="_K146_1" hidden="1">{"'Sheet1'!$L$16"}</definedName>
    <definedName name="_K146_2" hidden="1">{"'Sheet1'!$L$16"}</definedName>
    <definedName name="_Key1" localSheetId="2" hidden="1">#REF!</definedName>
    <definedName name="_Key1" localSheetId="0" hidden="1">#REF!</definedName>
    <definedName name="_Key1" localSheetId="5" hidden="1">#REF!</definedName>
    <definedName name="_Key1" localSheetId="1" hidden="1">#REF!</definedName>
    <definedName name="_Key1" localSheetId="7" hidden="1">#REF!</definedName>
    <definedName name="_Key1" localSheetId="3" hidden="1">#REF!</definedName>
    <definedName name="_Key1" localSheetId="4" hidden="1">#REF!</definedName>
    <definedName name="_Key1" hidden="1">#REF!</definedName>
    <definedName name="_Key2" localSheetId="2" hidden="1">#REF!</definedName>
    <definedName name="_Key2" localSheetId="0" hidden="1">#REF!</definedName>
    <definedName name="_Key2" localSheetId="5" hidden="1">#REF!</definedName>
    <definedName name="_Key2" localSheetId="1" hidden="1">#REF!</definedName>
    <definedName name="_Key2" localSheetId="7" hidden="1">#REF!</definedName>
    <definedName name="_Key2" localSheetId="3" hidden="1">#REF!</definedName>
    <definedName name="_Key2" localSheetId="4" hidden="1">#REF!</definedName>
    <definedName name="_Key2" hidden="1">#REF!</definedName>
    <definedName name="_lan1" localSheetId="0" hidden="1">{#N/A,#N/A,TRUE,"BT M200 da 10x20"}</definedName>
    <definedName name="_Lan1" localSheetId="7" hidden="1">{"'Sheet1'!$L$16"}</definedName>
    <definedName name="_Lan1" localSheetId="3" hidden="1">{"'Sheet1'!$L$16"}</definedName>
    <definedName name="_Lan1" hidden="1">{"'Sheet1'!$L$16"}</definedName>
    <definedName name="_Lan1_1" hidden="1">{"'Sheet1'!$L$16"}</definedName>
    <definedName name="_Lan1_2" hidden="1">{"'Sheet1'!$L$16"}</definedName>
    <definedName name="_LAN3" localSheetId="7" hidden="1">{"'Sheet1'!$L$16"}</definedName>
    <definedName name="_LAN3" localSheetId="3" hidden="1">{"'Sheet1'!$L$16"}</definedName>
    <definedName name="_LAN3" hidden="1">{"'Sheet1'!$L$16"}</definedName>
    <definedName name="_LAN3_1" hidden="1">{"'Sheet1'!$L$16"}</definedName>
    <definedName name="_LAN3_2" hidden="1">{"'Sheet1'!$L$16"}</definedName>
    <definedName name="_lk2" localSheetId="7" hidden="1">{"'Sheet1'!$L$16"}</definedName>
    <definedName name="_lk2" localSheetId="3" hidden="1">{"'Sheet1'!$L$16"}</definedName>
    <definedName name="_lk2" hidden="1">{"'Sheet1'!$L$16"}</definedName>
    <definedName name="_lk2_1" hidden="1">{"'Sheet1'!$L$16"}</definedName>
    <definedName name="_lk2_2" hidden="1">{"'Sheet1'!$L$16"}</definedName>
    <definedName name="_NK5" localSheetId="7" hidden="1">{"'Sheet1'!$L$16"}</definedName>
    <definedName name="_NK5" localSheetId="3" hidden="1">{"'Sheet1'!$L$16"}</definedName>
    <definedName name="_NK5" hidden="1">{"'Sheet1'!$L$16"}</definedName>
    <definedName name="_NK5_1" hidden="1">{"'Sheet1'!$L$16"}</definedName>
    <definedName name="_NK5_2" hidden="1">{"'Sheet1'!$L$16"}</definedName>
    <definedName name="_NO2" localSheetId="0" hidden="1">#REF!</definedName>
    <definedName name="_NO2" localSheetId="1" hidden="1">#REF!</definedName>
    <definedName name="_NO2" localSheetId="7" hidden="1">#REF!</definedName>
    <definedName name="_NO2" localSheetId="3" hidden="1">#REF!</definedName>
    <definedName name="_NO2" hidden="1">#REF!</definedName>
    <definedName name="_nso1" localSheetId="0" hidden="1">{"'Sheet1'!$L$16"}</definedName>
    <definedName name="_nso1" localSheetId="7" hidden="1">{"'Sheet1'!$L$16"}</definedName>
    <definedName name="_nso1" localSheetId="3" hidden="1">{"'Sheet1'!$L$16"}</definedName>
    <definedName name="_nso1" hidden="1">{"'Sheet1'!$L$16"}</definedName>
    <definedName name="_nso1_1" hidden="1">{"'Sheet1'!$L$16"}</definedName>
    <definedName name="_nso1_2" hidden="1">{"'Sheet1'!$L$16"}</definedName>
    <definedName name="_NSO2" localSheetId="0" hidden="1">{"'Sheet1'!$L$16"}</definedName>
    <definedName name="_NSO2" localSheetId="7" hidden="1">{"'Sheet1'!$L$16"}</definedName>
    <definedName name="_NSO2" localSheetId="3" hidden="1">{"'Sheet1'!$L$16"}</definedName>
    <definedName name="_NSO2" hidden="1">{"'Sheet1'!$L$16"}</definedName>
    <definedName name="_NSO2_1" hidden="1">{"'Sheet1'!$L$16"}</definedName>
    <definedName name="_NSO2_2" hidden="1">{"'Sheet1'!$L$16"}</definedName>
    <definedName name="_Order1" hidden="1">255</definedName>
    <definedName name="_Order2" hidden="1">255</definedName>
    <definedName name="_PA3" localSheetId="0" hidden="1">{"'Sheet1'!$L$16"}</definedName>
    <definedName name="_PA3" localSheetId="7" hidden="1">{"'Sheet1'!$L$16"}</definedName>
    <definedName name="_PA3" localSheetId="3" hidden="1">{"'Sheet1'!$L$16"}</definedName>
    <definedName name="_PA3" hidden="1">{"'Sheet1'!$L$16"}</definedName>
    <definedName name="_PA3_1" hidden="1">{"'Sheet1'!$L$16"}</definedName>
    <definedName name="_PA3_2" hidden="1">{"'Sheet1'!$L$16"}</definedName>
    <definedName name="_pa4" localSheetId="7" hidden="1">{"'Sheet1'!$L$16"}</definedName>
    <definedName name="_pa4" localSheetId="3" hidden="1">{"'Sheet1'!$L$16"}</definedName>
    <definedName name="_pa4" hidden="1">{"'Sheet1'!$L$16"}</definedName>
    <definedName name="_pa4_1" hidden="1">{"'Sheet1'!$L$16"}</definedName>
    <definedName name="_pa4_2" hidden="1">{"'Sheet1'!$L$16"}</definedName>
    <definedName name="_Parse_Out" hidden="1">#N/A</definedName>
    <definedName name="_SCL4" localSheetId="0" hidden="1">{"'Sheet1'!$L$16"}</definedName>
    <definedName name="_SCL4" localSheetId="7" hidden="1">{"'Sheet1'!$L$16"}</definedName>
    <definedName name="_SCL4" localSheetId="3" hidden="1">{"'Sheet1'!$L$16"}</definedName>
    <definedName name="_SCL4" hidden="1">{"'Sheet1'!$L$16"}</definedName>
    <definedName name="_SCL4_1" hidden="1">{"'Sheet1'!$L$16"}</definedName>
    <definedName name="_SCL4_2" hidden="1">{"'Sheet1'!$L$16"}</definedName>
    <definedName name="_Sort" localSheetId="2" hidden="1">#REF!</definedName>
    <definedName name="_Sort" localSheetId="0" hidden="1">#REF!</definedName>
    <definedName name="_Sort" localSheetId="5" hidden="1">#REF!</definedName>
    <definedName name="_Sort" localSheetId="1" hidden="1">#REF!</definedName>
    <definedName name="_Sort" localSheetId="7" hidden="1">#REF!</definedName>
    <definedName name="_Sort" localSheetId="3" hidden="1">#REF!</definedName>
    <definedName name="_Sort" localSheetId="4" hidden="1">#REF!</definedName>
    <definedName name="_Sort" hidden="1">#REF!</definedName>
    <definedName name="_sxt5" localSheetId="0" hidden="1">{"'Sheet1'!$L$16"}</definedName>
    <definedName name="_sxt5" localSheetId="7" hidden="1">{"'Sheet1'!$L$16"}</definedName>
    <definedName name="_sxt5" localSheetId="3" hidden="1">{"'Sheet1'!$L$16"}</definedName>
    <definedName name="_sxt5" hidden="1">{"'Sheet1'!$L$16"}</definedName>
    <definedName name="_sxt5_1" hidden="1">{"'Sheet1'!$L$16"}</definedName>
    <definedName name="_sxt5_2" hidden="1">{"'Sheet1'!$L$16"}</definedName>
    <definedName name="_T3" localSheetId="0" hidden="1">{"'Sheet1'!$L$16"}</definedName>
    <definedName name="_T3" localSheetId="7" hidden="1">{"'Sheet1'!$L$16"}</definedName>
    <definedName name="_T3" localSheetId="3" hidden="1">{"'Sheet1'!$L$16"}</definedName>
    <definedName name="_T3" hidden="1">{"'Sheet1'!$L$16"}</definedName>
    <definedName name="_T3_1" hidden="1">{"'Sheet1'!$L$16"}</definedName>
    <definedName name="_T3_2" hidden="1">{"'Sheet1'!$L$16"}</definedName>
    <definedName name="_Table1_In1" localSheetId="0" hidden="1">#REF!</definedName>
    <definedName name="_Table1_In1" localSheetId="1" hidden="1">#REF!</definedName>
    <definedName name="_Table1_In1" localSheetId="7" hidden="1">#REF!</definedName>
    <definedName name="_Table1_In1" localSheetId="3" hidden="1">#REF!</definedName>
    <definedName name="_Table1_In1" hidden="1">#REF!</definedName>
    <definedName name="_Table1_Out" localSheetId="0" hidden="1">#REF!</definedName>
    <definedName name="_Table1_Out" localSheetId="1" hidden="1">#REF!</definedName>
    <definedName name="_Table1_Out" localSheetId="7" hidden="1">#REF!</definedName>
    <definedName name="_Table1_Out" localSheetId="3" hidden="1">#REF!</definedName>
    <definedName name="_Table1_Out" hidden="1">#REF!</definedName>
    <definedName name="_Table2_In1" localSheetId="0" hidden="1">#REF!</definedName>
    <definedName name="_Table2_In1" localSheetId="1" hidden="1">#REF!</definedName>
    <definedName name="_Table2_In1" localSheetId="7" hidden="1">#REF!</definedName>
    <definedName name="_Table2_In1" localSheetId="3" hidden="1">#REF!</definedName>
    <definedName name="_Table2_In1" hidden="1">#REF!</definedName>
    <definedName name="_Table2_Out" localSheetId="0" hidden="1">#REF!</definedName>
    <definedName name="_Table2_Out" localSheetId="1" hidden="1">#REF!</definedName>
    <definedName name="_Table2_Out" localSheetId="7" hidden="1">#REF!</definedName>
    <definedName name="_Table2_Out" localSheetId="3" hidden="1">#REF!</definedName>
    <definedName name="_Table2_Out" hidden="1">#REF!</definedName>
    <definedName name="_tb2" localSheetId="7" hidden="1">{"'Sheet1'!$L$16"}</definedName>
    <definedName name="_tb2" localSheetId="3" hidden="1">{"'Sheet1'!$L$16"}</definedName>
    <definedName name="_tb2" hidden="1">{"'Sheet1'!$L$16"}</definedName>
    <definedName name="_tb2_1" hidden="1">{"'Sheet1'!$L$16"}</definedName>
    <definedName name="_tb2_2" hidden="1">{"'Sheet1'!$L$16"}</definedName>
    <definedName name="_td1" localSheetId="7" hidden="1">{"'Sheet1'!$L$16"}</definedName>
    <definedName name="_td1" localSheetId="3" hidden="1">{"'Sheet1'!$L$16"}</definedName>
    <definedName name="_td1" hidden="1">{"'Sheet1'!$L$16"}</definedName>
    <definedName name="_td1_1" hidden="1">{"'Sheet1'!$L$16"}</definedName>
    <definedName name="_td1_2" hidden="1">{"'Sheet1'!$L$16"}</definedName>
    <definedName name="_tt3" localSheetId="7" hidden="1">{"'Sheet1'!$L$16"}</definedName>
    <definedName name="_tt3" localSheetId="3" hidden="1">{"'Sheet1'!$L$16"}</definedName>
    <definedName name="_tt3" hidden="1">{"'Sheet1'!$L$16"}</definedName>
    <definedName name="_tt3_1" hidden="1">{"'Sheet1'!$L$16"}</definedName>
    <definedName name="_tt3_2" hidden="1">{"'Sheet1'!$L$16"}</definedName>
    <definedName name="_ttt1" localSheetId="0" hidden="1">{"'Sheet1'!$L$16"}</definedName>
    <definedName name="_ttt1" localSheetId="7" hidden="1">{"'Sheet1'!$L$16"}</definedName>
    <definedName name="_ttt1" localSheetId="3" hidden="1">{"'Sheet1'!$L$16"}</definedName>
    <definedName name="_ttt1" hidden="1">{"'Sheet1'!$L$16"}</definedName>
    <definedName name="_ttt1_1" hidden="1">{"'Sheet1'!$L$16"}</definedName>
    <definedName name="_ttt1_2" hidden="1">{"'Sheet1'!$L$16"}</definedName>
    <definedName name="_vpt5" localSheetId="0" hidden="1">{"'Sheet1'!$L$16"}</definedName>
    <definedName name="_vpt5" localSheetId="7" hidden="1">{"'Sheet1'!$L$16"}</definedName>
    <definedName name="_vpt5" localSheetId="3" hidden="1">{"'Sheet1'!$L$16"}</definedName>
    <definedName name="_vpt5" hidden="1">{"'Sheet1'!$L$16"}</definedName>
    <definedName name="_vpt5_1" hidden="1">{"'Sheet1'!$L$16"}</definedName>
    <definedName name="_vpt5_2" hidden="1">{"'Sheet1'!$L$16"}</definedName>
    <definedName name="_vpt6" localSheetId="0" hidden="1">{"'Sheet1'!$L$16"}</definedName>
    <definedName name="_vpt6" localSheetId="7" hidden="1">{"'Sheet1'!$L$16"}</definedName>
    <definedName name="_vpt6" localSheetId="3" hidden="1">{"'Sheet1'!$L$16"}</definedName>
    <definedName name="_vpt6" hidden="1">{"'Sheet1'!$L$16"}</definedName>
    <definedName name="_vpt6_1" hidden="1">{"'Sheet1'!$L$16"}</definedName>
    <definedName name="_vpt6_2" hidden="1">{"'Sheet1'!$L$16"}</definedName>
    <definedName name="â" localSheetId="7" hidden="1">{"'Sheet1'!$L$16"}</definedName>
    <definedName name="â" localSheetId="3" hidden="1">{"'Sheet1'!$L$16"}</definedName>
    <definedName name="â" hidden="1">{"'Sheet1'!$L$16"}</definedName>
    <definedName name="ầ" localSheetId="0" hidden="1">{"'Sheet1'!$L$16"}</definedName>
    <definedName name="ầ" localSheetId="7" hidden="1">{"'Sheet1'!$L$16"}</definedName>
    <definedName name="ầ" localSheetId="3" hidden="1">{"'Sheet1'!$L$16"}</definedName>
    <definedName name="ầ" hidden="1">{"'Sheet1'!$L$16"}</definedName>
    <definedName name="â_1" hidden="1">{"'Sheet1'!$L$16"}</definedName>
    <definedName name="ầ_1" hidden="1">{"'Sheet1'!$L$16"}</definedName>
    <definedName name="â_2" hidden="1">{"'Sheet1'!$L$16"}</definedName>
    <definedName name="ầ_2" hidden="1">{"'Sheet1'!$L$16"}</definedName>
    <definedName name="AccessDatabase" hidden="1">"C:\My Documents\LeBinh\Xls\VP Cong ty\FORM.mdb"</definedName>
    <definedName name="Acell" hidden="1">INDIRECT(ADDRESS(ROW(),COLUMN()))</definedName>
    <definedName name="AD" localSheetId="0" hidden="1">#REF!</definedName>
    <definedName name="AD" localSheetId="1" hidden="1">#REF!</definedName>
    <definedName name="AD" localSheetId="7" hidden="1">#REF!</definedName>
    <definedName name="AD" localSheetId="3" hidden="1">#REF!</definedName>
    <definedName name="AD" hidden="1">#REF!</definedName>
    <definedName name="adcfgf" localSheetId="2" hidden="1">{"'Sheet1'!$L$16"}</definedName>
    <definedName name="adcfgf" hidden="1">{"'Sheet1'!$L$16"}</definedName>
    <definedName name="ádsấ" localSheetId="0" hidden="1">{#N/A,#N/A,FALSE,"Tabelle2";#N/A,#N/A,FALSE,"Tabelle1"}</definedName>
    <definedName name="ádsấ" localSheetId="7" hidden="1">{#N/A,#N/A,FALSE,"Tabelle2";#N/A,#N/A,FALSE,"Tabelle1"}</definedName>
    <definedName name="ádsấ" localSheetId="3" hidden="1">{#N/A,#N/A,FALSE,"Tabelle2";#N/A,#N/A,FALSE,"Tabelle1"}</definedName>
    <definedName name="ádsấ" hidden="1">{#N/A,#N/A,FALSE,"Tabelle2";#N/A,#N/A,FALSE,"Tabelle1"}</definedName>
    <definedName name="ádsấ_1" hidden="1">{#N/A,#N/A,FALSE,"Tabelle2";#N/A,#N/A,FALSE,"Tabelle1"}</definedName>
    <definedName name="ádsấ_2" hidden="1">{#N/A,#N/A,FALSE,"Tabelle2";#N/A,#N/A,FALSE,"Tabelle1"}</definedName>
    <definedName name="adsadsa" localSheetId="0" hidden="1">{#N/A,#N/A,TRUE,"CS&amp;SS(AG)";#N/A,#N/A,TRUE,"CS(UG)";#N/A,#N/A,TRUE,"CSCL(UG)";#N/A,#N/A,TRUE,"KYNAR";#N/A,#N/A,TRUE,"ALLOY904";#N/A,#N/A,TRUE,"TITANIUM";#N/A,#N/A,TRUE,"STMTRACE"}</definedName>
    <definedName name="adsadsa" localSheetId="7" hidden="1">{#N/A,#N/A,TRUE,"CS&amp;SS(AG)";#N/A,#N/A,TRUE,"CS(UG)";#N/A,#N/A,TRUE,"CSCL(UG)";#N/A,#N/A,TRUE,"KYNAR";#N/A,#N/A,TRUE,"ALLOY904";#N/A,#N/A,TRUE,"TITANIUM";#N/A,#N/A,TRUE,"STMTRACE"}</definedName>
    <definedName name="adsadsa" localSheetId="3" hidden="1">{#N/A,#N/A,TRUE,"CS&amp;SS(AG)";#N/A,#N/A,TRUE,"CS(UG)";#N/A,#N/A,TRUE,"CSCL(UG)";#N/A,#N/A,TRUE,"KYNAR";#N/A,#N/A,TRUE,"ALLOY904";#N/A,#N/A,TRUE,"TITANIUM";#N/A,#N/A,TRUE,"STMTRACE"}</definedName>
    <definedName name="adsadsa" hidden="1">{#N/A,#N/A,TRUE,"CS&amp;SS(AG)";#N/A,#N/A,TRUE,"CS(UG)";#N/A,#N/A,TRUE,"CSCL(UG)";#N/A,#N/A,TRUE,"KYNAR";#N/A,#N/A,TRUE,"ALLOY904";#N/A,#N/A,TRUE,"TITANIUM";#N/A,#N/A,TRUE,"STMTRACE"}</definedName>
    <definedName name="adsadsa_1" hidden="1">{#N/A,#N/A,TRUE,"CS&amp;SS(AG)";#N/A,#N/A,TRUE,"CS(UG)";#N/A,#N/A,TRUE,"CSCL(UG)";#N/A,#N/A,TRUE,"KYNAR";#N/A,#N/A,TRUE,"ALLOY904";#N/A,#N/A,TRUE,"TITANIUM";#N/A,#N/A,TRUE,"STMTRACE"}</definedName>
    <definedName name="adsadsa_2" hidden="1">{#N/A,#N/A,TRUE,"CS&amp;SS(AG)";#N/A,#N/A,TRUE,"CS(UG)";#N/A,#N/A,TRUE,"CSCL(UG)";#N/A,#N/A,TRUE,"KYNAR";#N/A,#N/A,TRUE,"ALLOY904";#N/A,#N/A,TRUE,"TITANIUM";#N/A,#N/A,TRUE,"STMTRACE"}</definedName>
    <definedName name="afaf" localSheetId="0" hidden="1">{#N/A,#N/A,FALSE,"Chi tiÆt"}</definedName>
    <definedName name="afaf" localSheetId="7" hidden="1">{#N/A,#N/A,FALSE,"Chi tiÆt"}</definedName>
    <definedName name="afaf" localSheetId="3" hidden="1">{#N/A,#N/A,FALSE,"Chi tiÆt"}</definedName>
    <definedName name="afaf" hidden="1">{#N/A,#N/A,FALSE,"Chi tiÆt"}</definedName>
    <definedName name="afaf_1" hidden="1">{#N/A,#N/A,FALSE,"Chi tiÆt"}</definedName>
    <definedName name="afaf_2" hidden="1">{#N/A,#N/A,FALSE,"Chi tiÆt"}</definedName>
    <definedName name="afff" localSheetId="0" hidden="1">{"'Sheet1'!$L$16"}</definedName>
    <definedName name="afff" localSheetId="7" hidden="1">{"'Sheet1'!$L$16"}</definedName>
    <definedName name="afff" localSheetId="3" hidden="1">{"'Sheet1'!$L$16"}</definedName>
    <definedName name="afff" hidden="1">{"'Sheet1'!$L$16"}</definedName>
    <definedName name="afff_1" hidden="1">{"'Sheet1'!$L$16"}</definedName>
    <definedName name="afff_2" hidden="1">{"'Sheet1'!$L$16"}</definedName>
    <definedName name="ahah" localSheetId="0" hidden="1">{"'Sheet1'!$L$16"}</definedName>
    <definedName name="ahah" localSheetId="7" hidden="1">{"'Sheet1'!$L$16"}</definedName>
    <definedName name="ahah" localSheetId="3" hidden="1">{"'Sheet1'!$L$16"}</definedName>
    <definedName name="ahah" hidden="1">{"'Sheet1'!$L$16"}</definedName>
    <definedName name="ahah_1" hidden="1">{"'Sheet1'!$L$16"}</definedName>
    <definedName name="ahah_2" hidden="1">{"'Sheet1'!$L$16"}</definedName>
    <definedName name="ahajdks" localSheetId="0" hidden="1">{"'Sheet1'!$L$16"}</definedName>
    <definedName name="ahajdks" localSheetId="7" hidden="1">{"'Sheet1'!$L$16"}</definedName>
    <definedName name="ahajdks" localSheetId="3" hidden="1">{"'Sheet1'!$L$16"}</definedName>
    <definedName name="ahajdks" hidden="1">{"'Sheet1'!$L$16"}</definedName>
    <definedName name="ahajdks_1" hidden="1">{"'Sheet1'!$L$16"}</definedName>
    <definedName name="ahajdks_2" hidden="1">{"'Sheet1'!$L$16"}</definedName>
    <definedName name="anh" localSheetId="0" hidden="1">#REF!</definedName>
    <definedName name="anh" localSheetId="1" hidden="1">#REF!</definedName>
    <definedName name="anh" localSheetId="7" hidden="1">#REF!</definedName>
    <definedName name="anh" localSheetId="3" hidden="1">#REF!</definedName>
    <definedName name="anh" hidden="1">#REF!</definedName>
    <definedName name="anscount" hidden="1">1</definedName>
    <definedName name="Antoan" localSheetId="7" hidden="1">{"'Sheet1'!$L$16"}</definedName>
    <definedName name="Antoan" localSheetId="3" hidden="1">{"'Sheet1'!$L$16"}</definedName>
    <definedName name="Antoan" hidden="1">{"'Sheet1'!$L$16"}</definedName>
    <definedName name="Antoan_1" hidden="1">{"'Sheet1'!$L$16"}</definedName>
    <definedName name="Antoan_2" hidden="1">{"'Sheet1'!$L$16"}</definedName>
    <definedName name="AS2DocOpenMode" hidden="1">"AS2DocumentEdit"</definedName>
    <definedName name="AS2ReportLS" hidden="1">1</definedName>
    <definedName name="AS2SyncStepLS" hidden="1">0</definedName>
    <definedName name="AS2VersionLS" hidden="1">300</definedName>
    <definedName name="asdsadasd" localSheetId="5" hidden="1">#REF!</definedName>
    <definedName name="asdsadasd" localSheetId="1" hidden="1">#REF!</definedName>
    <definedName name="asdsadasd" localSheetId="7" hidden="1">#REF!</definedName>
    <definedName name="asdsadasd" localSheetId="3" hidden="1">#REF!</definedName>
    <definedName name="asdsadasd" localSheetId="4" hidden="1">#REF!</definedName>
    <definedName name="asdsadasd" hidden="1">#REF!</definedName>
    <definedName name="assss" hidden="1">#N/A</definedName>
    <definedName name="AT" localSheetId="0" hidden="1">#REF!</definedName>
    <definedName name="AT" localSheetId="1" hidden="1">#REF!</definedName>
    <definedName name="AT" localSheetId="7" hidden="1">#REF!</definedName>
    <definedName name="AT" localSheetId="3" hidden="1">#REF!</definedName>
    <definedName name="AT" hidden="1">#REF!</definedName>
    <definedName name="atdakdh" localSheetId="0" hidden="1">#REF!</definedName>
    <definedName name="atdakdh" localSheetId="1" hidden="1">#REF!</definedName>
    <definedName name="atdakdh" localSheetId="7" hidden="1">#REF!</definedName>
    <definedName name="atdakdh" localSheetId="3" hidden="1">#REF!</definedName>
    <definedName name="atdakdh" hidden="1">#REF!</definedName>
    <definedName name="ATGT" localSheetId="0" hidden="1">{"'Sheet1'!$L$16"}</definedName>
    <definedName name="ATGT" localSheetId="7" hidden="1">{"'Sheet1'!$L$16"}</definedName>
    <definedName name="ATGT" localSheetId="3" hidden="1">{"'Sheet1'!$L$16"}</definedName>
    <definedName name="ATGT" hidden="1">{"'Sheet1'!$L$16"}</definedName>
    <definedName name="ATGT_1" hidden="1">{"'Sheet1'!$L$16"}</definedName>
    <definedName name="ATGT_2" hidden="1">{"'Sheet1'!$L$16"}</definedName>
    <definedName name="atien1" localSheetId="0" hidden="1">{"'Sheet1'!$L$16"}</definedName>
    <definedName name="atien1" localSheetId="7" hidden="1">{"'Sheet1'!$L$16"}</definedName>
    <definedName name="atien1" localSheetId="3" hidden="1">{"'Sheet1'!$L$16"}</definedName>
    <definedName name="atien1" hidden="1">{"'Sheet1'!$L$16"}</definedName>
    <definedName name="atien1_1" hidden="1">{"'Sheet1'!$L$16"}</definedName>
    <definedName name="atien1_2" hidden="1">{"'Sheet1'!$L$16"}</definedName>
    <definedName name="awegw" localSheetId="0" hidden="1">{#N/A,#N/A,TRUE,"BT M200 da 10x20"}</definedName>
    <definedName name="awegw" localSheetId="7" hidden="1">{#N/A,#N/A,TRUE,"BT M200 da 10x20"}</definedName>
    <definedName name="awegw" localSheetId="3" hidden="1">{#N/A,#N/A,TRUE,"BT M200 da 10x20"}</definedName>
    <definedName name="awegw" hidden="1">{#N/A,#N/A,TRUE,"BT M200 da 10x20"}</definedName>
    <definedName name="awegw_1" hidden="1">{#N/A,#N/A,TRUE,"BT M200 da 10x20"}</definedName>
    <definedName name="awegw_2" hidden="1">{#N/A,#N/A,TRUE,"BT M200 da 10x20"}</definedName>
    <definedName name="b" localSheetId="0" hidden="1">#REF!</definedName>
    <definedName name="b" localSheetId="1" hidden="1">#REF!</definedName>
    <definedName name="b" localSheetId="7" hidden="1">#REF!</definedName>
    <definedName name="b" localSheetId="3" hidden="1">#REF!</definedName>
    <definedName name="b" hidden="1">#REF!</definedName>
    <definedName name="BBB" localSheetId="0" hidden="1">{"'Sheet1'!$L$16"}</definedName>
    <definedName name="BBB" localSheetId="7" hidden="1">{"'Sheet1'!$L$16"}</definedName>
    <definedName name="BBB" localSheetId="3" hidden="1">{"'Sheet1'!$L$16"}</definedName>
    <definedName name="BBB" hidden="1">{"'Sheet1'!$L$16"}</definedName>
    <definedName name="BBB_1" hidden="1">{"'Sheet1'!$L$16"}</definedName>
    <definedName name="BBB_2" hidden="1">{"'Sheet1'!$L$16"}</definedName>
    <definedName name="bc" localSheetId="0" hidden="1">{"'Sheet1'!$L$16"}</definedName>
    <definedName name="bc" localSheetId="7" hidden="1">{"'Sheet1'!$L$16"}</definedName>
    <definedName name="bc" localSheetId="3" hidden="1">{"'Sheet1'!$L$16"}</definedName>
    <definedName name="bc" hidden="1">{"'Sheet1'!$L$16"}</definedName>
    <definedName name="bc_1" hidden="1">{"'Sheet1'!$L$16"}</definedName>
    <definedName name="bc_2" hidden="1">{"'Sheet1'!$L$16"}</definedName>
    <definedName name="BCTQ" localSheetId="0" hidden="1">{"'Sheet1'!$L$16"}</definedName>
    <definedName name="BCTQ" localSheetId="7" hidden="1">{"'Sheet1'!$L$16"}</definedName>
    <definedName name="BCTQ" localSheetId="3" hidden="1">{"'Sheet1'!$L$16"}</definedName>
    <definedName name="BCTQ" hidden="1">{"'Sheet1'!$L$16"}</definedName>
    <definedName name="BCTQ_1" hidden="1">{"'Sheet1'!$L$16"}</definedName>
    <definedName name="BCTQ_2" hidden="1">{"'Sheet1'!$L$16"}</definedName>
    <definedName name="bg" localSheetId="0" hidden="1">{"'Sheet1'!$L$16"}</definedName>
    <definedName name="bg" localSheetId="7" hidden="1">{"'Sheet1'!$L$16"}</definedName>
    <definedName name="bg" localSheetId="3" hidden="1">{"'Sheet1'!$L$16"}</definedName>
    <definedName name="bg" hidden="1">{"'Sheet1'!$L$16"}</definedName>
    <definedName name="bg_1" hidden="1">{"'Sheet1'!$L$16"}</definedName>
    <definedName name="bg_2" hidden="1">{"'Sheet1'!$L$16"}</definedName>
    <definedName name="BG_Del" hidden="1">15</definedName>
    <definedName name="BG_Ins" hidden="1">4</definedName>
    <definedName name="BG_Mod" hidden="1">6</definedName>
    <definedName name="bhthang6" localSheetId="0" hidden="1">{"'Sheet1'!$L$16"}</definedName>
    <definedName name="bhthang6" localSheetId="7" hidden="1">{"'Sheet1'!$L$16"}</definedName>
    <definedName name="bhthang6" localSheetId="3" hidden="1">{"'Sheet1'!$L$16"}</definedName>
    <definedName name="bhthang6" hidden="1">{"'Sheet1'!$L$16"}</definedName>
    <definedName name="bhthang6_1" hidden="1">{"'Sheet1'!$L$16"}</definedName>
    <definedName name="bhthang6_2" hidden="1">{"'Sheet1'!$L$16"}</definedName>
    <definedName name="BI" localSheetId="0" hidden="1">{#N/A,#N/A,FALSE,"이태원철근"}</definedName>
    <definedName name="BI" localSheetId="7" hidden="1">{#N/A,#N/A,FALSE,"이태원철근"}</definedName>
    <definedName name="BI" localSheetId="3" hidden="1">{#N/A,#N/A,FALSE,"이태원철근"}</definedName>
    <definedName name="BI" hidden="1">{#N/A,#N/A,FALSE,"이태원철근"}</definedName>
    <definedName name="BI_1" hidden="1">{#N/A,#N/A,FALSE,"이태원철근"}</definedName>
    <definedName name="BI_2" hidden="1">{#N/A,#N/A,FALSE,"이태원철근"}</definedName>
    <definedName name="BIGC" localSheetId="0" hidden="1">{#N/A,#N/A,TRUE,"Str.";#N/A,#N/A,TRUE,"Steel &amp; Roof";#N/A,#N/A,TRUE,"Arc.";#N/A,#N/A,TRUE,"Preliminary";#N/A,#N/A,TRUE,"Sum_Prelim"}</definedName>
    <definedName name="BIGC" localSheetId="7" hidden="1">{#N/A,#N/A,TRUE,"Str.";#N/A,#N/A,TRUE,"Steel &amp; Roof";#N/A,#N/A,TRUE,"Arc.";#N/A,#N/A,TRUE,"Preliminary";#N/A,#N/A,TRUE,"Sum_Prelim"}</definedName>
    <definedName name="BIGC" localSheetId="3" hidden="1">{#N/A,#N/A,TRUE,"Str.";#N/A,#N/A,TRUE,"Steel &amp; Roof";#N/A,#N/A,TRUE,"Arc.";#N/A,#N/A,TRUE,"Preliminary";#N/A,#N/A,TRUE,"Sum_Prelim"}</definedName>
    <definedName name="BIGC" hidden="1">{#N/A,#N/A,TRUE,"Str.";#N/A,#N/A,TRUE,"Steel &amp; Roof";#N/A,#N/A,TRUE,"Arc.";#N/A,#N/A,TRUE,"Preliminary";#N/A,#N/A,TRUE,"Sum_Prelim"}</definedName>
    <definedName name="BIGC_1" hidden="1">{#N/A,#N/A,TRUE,"Str.";#N/A,#N/A,TRUE,"Steel &amp; Roof";#N/A,#N/A,TRUE,"Arc.";#N/A,#N/A,TRUE,"Preliminary";#N/A,#N/A,TRUE,"Sum_Prelim"}</definedName>
    <definedName name="BIGC_2" hidden="1">{#N/A,#N/A,TRUE,"Str.";#N/A,#N/A,TRUE,"Steel &amp; Roof";#N/A,#N/A,TRUE,"Arc.";#N/A,#N/A,TRUE,"Preliminary";#N/A,#N/A,TRUE,"Sum_Prelim"}</definedName>
    <definedName name="BOQCongtruong" localSheetId="0" hidden="1">#REF!</definedName>
    <definedName name="BOQCongtruong" localSheetId="1" hidden="1">#REF!</definedName>
    <definedName name="BOQCongtruong" localSheetId="7" hidden="1">#REF!</definedName>
    <definedName name="BOQCongtruong" localSheetId="3" hidden="1">#REF!</definedName>
    <definedName name="BOQCongtruong" hidden="1">#REF!</definedName>
    <definedName name="bosung" localSheetId="7" hidden="1">{"'Sheet1'!$L$16"}</definedName>
    <definedName name="bosung" localSheetId="3" hidden="1">{"'Sheet1'!$L$16"}</definedName>
    <definedName name="bosung" hidden="1">{"'Sheet1'!$L$16"}</definedName>
    <definedName name="bosung_1" hidden="1">{"'Sheet1'!$L$16"}</definedName>
    <definedName name="bosung_2" hidden="1">{"'Sheet1'!$L$16"}</definedName>
    <definedName name="btl" localSheetId="0" hidden="1">{"'Sheet1'!$L$16"}</definedName>
    <definedName name="btl" localSheetId="7" hidden="1">{"'Sheet1'!$L$16"}</definedName>
    <definedName name="btl" localSheetId="3" hidden="1">{"'Sheet1'!$L$16"}</definedName>
    <definedName name="btl" hidden="1">{"'Sheet1'!$L$16"}</definedName>
    <definedName name="btl_1" hidden="1">{"'Sheet1'!$L$16"}</definedName>
    <definedName name="btl_2" hidden="1">{"'Sheet1'!$L$16"}</definedName>
    <definedName name="chilk" localSheetId="7" hidden="1">{"'Sheet1'!$L$16"}</definedName>
    <definedName name="chilk" localSheetId="3" hidden="1">{"'Sheet1'!$L$16"}</definedName>
    <definedName name="chilk" hidden="1">{"'Sheet1'!$L$16"}</definedName>
    <definedName name="chilk_1" hidden="1">{"'Sheet1'!$L$16"}</definedName>
    <definedName name="chilk_2" hidden="1">{"'Sheet1'!$L$16"}</definedName>
    <definedName name="Chiphi" localSheetId="7" hidden="1">{"'Sheet1'!$L$16"}</definedName>
    <definedName name="Chiphi" localSheetId="3" hidden="1">{"'Sheet1'!$L$16"}</definedName>
    <definedName name="Chiphi" hidden="1">{"'Sheet1'!$L$16"}</definedName>
    <definedName name="Chiphi_1" hidden="1">{"'Sheet1'!$L$16"}</definedName>
    <definedName name="Chiphi_2" hidden="1">{"'Sheet1'!$L$16"}</definedName>
    <definedName name="chitiet3" localSheetId="7" hidden="1">{"'Sheet1'!$L$16"}</definedName>
    <definedName name="chitiet3" localSheetId="3" hidden="1">{"'Sheet1'!$L$16"}</definedName>
    <definedName name="chitiet3" hidden="1">{"'Sheet1'!$L$16"}</definedName>
    <definedName name="chitiet3_1" hidden="1">{"'Sheet1'!$L$16"}</definedName>
    <definedName name="chitiet3_2" hidden="1">{"'Sheet1'!$L$16"}</definedName>
    <definedName name="chitietbgiang2" localSheetId="0" hidden="1">{"'Sheet1'!$L$16"}</definedName>
    <definedName name="chitietbgiang2" localSheetId="7" hidden="1">{"'Sheet1'!$L$16"}</definedName>
    <definedName name="chitietbgiang2" localSheetId="3" hidden="1">{"'Sheet1'!$L$16"}</definedName>
    <definedName name="chitietbgiang2" hidden="1">{"'Sheet1'!$L$16"}</definedName>
    <definedName name="chitietbgiang2_1" hidden="1">{"'Sheet1'!$L$16"}</definedName>
    <definedName name="chitietbgiang2_2" hidden="1">{"'Sheet1'!$L$16"}</definedName>
    <definedName name="chl" localSheetId="7" hidden="1">{"'Sheet1'!$L$16"}</definedName>
    <definedName name="chl" localSheetId="3" hidden="1">{"'Sheet1'!$L$16"}</definedName>
    <definedName name="chl" hidden="1">{"'Sheet1'!$L$16"}</definedName>
    <definedName name="chl_1" hidden="1">{"'Sheet1'!$L$16"}</definedName>
    <definedName name="chl_2"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 localSheetId="1" hidden="1">IF(LEFT(OFFSET([0]!ADAY,0,-6),1)="1",[0]!dVTu_TtGg,IF(LEFT(OFFSET([0]!ADAY,0,-6),1)="2",[0]!dNCong_TtTb,'PL SOAT XET'!dCuocVC_Bachang))</definedName>
    <definedName name="cho" localSheetId="7" hidden="1">IF(LEFT(OFFSET([0]!ADAY,0,-6),1)="1",[0]!dVTu_TtGg,IF(LEFT(OFFSET([0]!ADAY,0,-6),1)="2",[0]!dNCong_TtTb,'TK THÉP SÀN'!dCuocVC_Bachang))</definedName>
    <definedName name="cho" localSheetId="3" hidden="1">IF(LEFT(OFFSET('TK VAT TU Hoa Sen'!ADAY,0,-6),1)="1",[0]!dVTu_TtGg,IF(LEFT(OFFSET('TK VAT TU Hoa Sen'!ADAY,0,-6),1)="2",[0]!dNCong_TtTb,'TK VAT TU Hoa Sen'!dCuocVC_Bachang))</definedName>
    <definedName name="cho" hidden="1">IF(LEFT(OFFSET([0]!ADAY,0,-6),1)="1",[0]!dVTu_TtGg,IF(LEFT(OFFSET([0]!ADAY,0,-6),1)="2",[0]!dNCong_TtTb,dCuocVC_Bachang))</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oc_60" localSheetId="7" hidden="1">{"'Sheet1'!$L$16"}</definedName>
    <definedName name="Coc_60" localSheetId="3" hidden="1">{"'Sheet1'!$L$16"}</definedName>
    <definedName name="Coc_60" hidden="1">{"'Sheet1'!$L$16"}</definedName>
    <definedName name="Coc_60_1" hidden="1">{"'Sheet1'!$L$16"}</definedName>
    <definedName name="Coc_60_2" hidden="1">{"'Sheet1'!$L$16"}</definedName>
    <definedName name="Code" localSheetId="0" hidden="1">#REF!</definedName>
    <definedName name="Code" localSheetId="5" hidden="1">#REF!</definedName>
    <definedName name="Code" localSheetId="1" hidden="1">#REF!</definedName>
    <definedName name="Code" localSheetId="7" hidden="1">#REF!</definedName>
    <definedName name="Code" localSheetId="3" hidden="1">#REF!</definedName>
    <definedName name="Code" localSheetId="4" hidden="1">#REF!</definedName>
    <definedName name="Code" hidden="1">#REF!</definedName>
    <definedName name="Column" localSheetId="0" hidden="1">#REF!</definedName>
    <definedName name="Column" localSheetId="1" hidden="1">#REF!</definedName>
    <definedName name="Column" localSheetId="7" hidden="1">#REF!</definedName>
    <definedName name="Column" localSheetId="3" hidden="1">#REF!</definedName>
    <definedName name="Column" hidden="1">#REF!</definedName>
    <definedName name="CTCT1" localSheetId="0" hidden="1">{"'Sheet1'!$L$16"}</definedName>
    <definedName name="CTCT1" localSheetId="7" hidden="1">{"'Sheet1'!$L$16"}</definedName>
    <definedName name="CTCT1" localSheetId="3" hidden="1">{"'Sheet1'!$L$16"}</definedName>
    <definedName name="CTCT1" hidden="1">{"'Sheet1'!$L$16"}</definedName>
    <definedName name="CTCT1_1" hidden="1">{"'Sheet1'!$L$16"}</definedName>
    <definedName name="CTCT1_2" hidden="1">{"'Sheet1'!$L$16"}</definedName>
    <definedName name="dafas" localSheetId="0" hidden="1">{#N/A,#N/A,TRUE,"BT M200 da 10x20"}</definedName>
    <definedName name="dafas" localSheetId="7" hidden="1">{#N/A,#N/A,TRUE,"BT M200 da 10x20"}</definedName>
    <definedName name="dafas" localSheetId="3" hidden="1">{#N/A,#N/A,TRUE,"BT M200 da 10x20"}</definedName>
    <definedName name="dafas" hidden="1">{#N/A,#N/A,TRUE,"BT M200 da 10x20"}</definedName>
    <definedName name="dafas_1" hidden="1">{#N/A,#N/A,TRUE,"BT M200 da 10x20"}</definedName>
    <definedName name="dafas_2" hidden="1">{#N/A,#N/A,TRUE,"BT M200 da 10x20"}</definedName>
    <definedName name="data1" localSheetId="0" hidden="1">#REF!</definedName>
    <definedName name="data1" localSheetId="5" hidden="1">#REF!</definedName>
    <definedName name="data1" localSheetId="1" hidden="1">#REF!</definedName>
    <definedName name="data1" localSheetId="7" hidden="1">#REF!</definedName>
    <definedName name="data1" localSheetId="3" hidden="1">#REF!</definedName>
    <definedName name="data1" localSheetId="4" hidden="1">#REF!</definedName>
    <definedName name="data1" hidden="1">#REF!</definedName>
    <definedName name="data2" localSheetId="0" hidden="1">#REF!</definedName>
    <definedName name="data2" localSheetId="5" hidden="1">#REF!</definedName>
    <definedName name="data2" localSheetId="1" hidden="1">#REF!</definedName>
    <definedName name="data2" localSheetId="7" hidden="1">#REF!</definedName>
    <definedName name="data2" localSheetId="3" hidden="1">#REF!</definedName>
    <definedName name="data2" localSheetId="4" hidden="1">#REF!</definedName>
    <definedName name="data2" hidden="1">#REF!</definedName>
    <definedName name="data3" localSheetId="0" hidden="1">#REF!</definedName>
    <definedName name="data3" localSheetId="5" hidden="1">#REF!</definedName>
    <definedName name="data3" localSheetId="1" hidden="1">#REF!</definedName>
    <definedName name="data3" localSheetId="7" hidden="1">#REF!</definedName>
    <definedName name="data3" localSheetId="3" hidden="1">#REF!</definedName>
    <definedName name="data3" localSheetId="4" hidden="1">#REF!</definedName>
    <definedName name="data3" hidden="1">#REF!</definedName>
    <definedName name="dc" localSheetId="0" hidden="1">{"'Sheet1'!$L$16"}</definedName>
    <definedName name="dc" localSheetId="7" hidden="1">{"'Sheet1'!$L$16"}</definedName>
    <definedName name="dc" localSheetId="3" hidden="1">{"'Sheet1'!$L$16"}</definedName>
    <definedName name="dc" hidden="1">{"'Sheet1'!$L$16"}</definedName>
    <definedName name="dc_1" hidden="1">{"'Sheet1'!$L$16"}</definedName>
    <definedName name="dc_2" hidden="1">{"'Sheet1'!$L$16"}</definedName>
    <definedName name="dCuocVC_Bachang" localSheetId="1" hidden="1">#REF!</definedName>
    <definedName name="dCuocVC_Bachang" localSheetId="7" hidden="1">#REF!</definedName>
    <definedName name="dCuocVC_Bachang" localSheetId="3" hidden="1">#REF!</definedName>
    <definedName name="dCuocVC_Bachang" hidden="1">#REF!</definedName>
    <definedName name="ddc" localSheetId="0" hidden="1">{"'Sheet1'!$L$16"}</definedName>
    <definedName name="ddc" localSheetId="7" hidden="1">{"'Sheet1'!$L$16"}</definedName>
    <definedName name="ddc" localSheetId="3" hidden="1">{"'Sheet1'!$L$16"}</definedName>
    <definedName name="ddc" hidden="1">{"'Sheet1'!$L$16"}</definedName>
    <definedName name="ddc_1" hidden="1">{"'Sheet1'!$L$16"}</definedName>
    <definedName name="ddc_2" hidden="1">{"'Sheet1'!$L$16"}</definedName>
    <definedName name="ddd" localSheetId="7" hidden="1">{"'Sheet1'!$L$16"}</definedName>
    <definedName name="ddd" localSheetId="3" hidden="1">{"'Sheet1'!$L$16"}</definedName>
    <definedName name="ddd" hidden="1">{"'Sheet1'!$L$16"}</definedName>
    <definedName name="ddd_1" hidden="1">{"'Sheet1'!$L$16"}</definedName>
    <definedName name="ddd_2" hidden="1">{"'Sheet1'!$L$16"}</definedName>
    <definedName name="dddd" localSheetId="0" hidden="1">{#N/A,#N/A,FALSE,"Chi tiÆt"}</definedName>
    <definedName name="dddd" localSheetId="7" hidden="1">{"'Sheet1'!$L$16"}</definedName>
    <definedName name="dddd" localSheetId="3" hidden="1">{"'Sheet1'!$L$16"}</definedName>
    <definedName name="dddd" hidden="1">{"'Sheet1'!$L$16"}</definedName>
    <definedName name="dddd_1" hidden="1">{"'Sheet1'!$L$16"}</definedName>
    <definedName name="dddd_2" hidden="1">{"'Sheet1'!$L$16"}</definedName>
    <definedName name="dfafa" localSheetId="0" hidden="1">{#N/A,#N/A,FALSE,"Chi tiÆt"}</definedName>
    <definedName name="dfafa" localSheetId="7" hidden="1">{#N/A,#N/A,FALSE,"Chi tiÆt"}</definedName>
    <definedName name="dfafa" localSheetId="3" hidden="1">{#N/A,#N/A,FALSE,"Chi tiÆt"}</definedName>
    <definedName name="dfafa" hidden="1">{#N/A,#N/A,FALSE,"Chi tiÆt"}</definedName>
    <definedName name="dfafa_1" hidden="1">{#N/A,#N/A,FALSE,"Chi tiÆt"}</definedName>
    <definedName name="dfafa_2" hidden="1">{#N/A,#N/A,FALSE,"Chi tiÆt"}</definedName>
    <definedName name="dfd" localSheetId="1" hidden="1">#REF!</definedName>
    <definedName name="dfd" localSheetId="7" hidden="1">#REF!</definedName>
    <definedName name="dfd" localSheetId="3" hidden="1">#REF!</definedName>
    <definedName name="dfd" hidden="1">#REF!</definedName>
    <definedName name="DFDF" localSheetId="0" hidden="1">{"ECA Qtrs C",#N/A,TRUE,"ECA_Qtrs_C";"ECA Qtrs D",#N/A,TRUE,"ECA_Qtrs_D";"ECA Qtrs F",#N/A,TRUE,"ECA_Qtrs_F";"ECA Qtrs G",#N/A,TRUE,"ECA_Qtrs_G";"ECA SisterApt",#N/A,TRUE,"ECA_SisterApt";"ECA Nurses",#N/A,TRUE,"ECA_NursesHostel"}</definedName>
    <definedName name="DFDF" localSheetId="7" hidden="1">{"ECA Qtrs C",#N/A,TRUE,"ECA_Qtrs_C";"ECA Qtrs D",#N/A,TRUE,"ECA_Qtrs_D";"ECA Qtrs F",#N/A,TRUE,"ECA_Qtrs_F";"ECA Qtrs G",#N/A,TRUE,"ECA_Qtrs_G";"ECA SisterApt",#N/A,TRUE,"ECA_SisterApt";"ECA Nurses",#N/A,TRUE,"ECA_NursesHostel"}</definedName>
    <definedName name="DFDF" localSheetId="3" hidden="1">{"ECA Qtrs C",#N/A,TRUE,"ECA_Qtrs_C";"ECA Qtrs D",#N/A,TRUE,"ECA_Qtrs_D";"ECA Qtrs F",#N/A,TRUE,"ECA_Qtrs_F";"ECA Qtrs G",#N/A,TRUE,"ECA_Qtrs_G";"ECA SisterApt",#N/A,TRUE,"ECA_SisterApt";"ECA Nurses",#N/A,TRUE,"ECA_NursesHostel"}</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_2" hidden="1">{"ECA Qtrs C",#N/A,TRUE,"ECA_Qtrs_C";"ECA Qtrs D",#N/A,TRUE,"ECA_Qtrs_D";"ECA Qtrs F",#N/A,TRUE,"ECA_Qtrs_F";"ECA Qtrs G",#N/A,TRUE,"ECA_Qtrs_G";"ECA SisterApt",#N/A,TRUE,"ECA_SisterApt";"ECA Nurses",#N/A,TRUE,"ECA_NursesHostel"}</definedName>
    <definedName name="DFDFGE" localSheetId="0" hidden="1">{#N/A,#N/A,FALSE,"Chi tiÆt"}</definedName>
    <definedName name="DFDFGE" localSheetId="7" hidden="1">{#N/A,#N/A,FALSE,"Chi tiÆt"}</definedName>
    <definedName name="DFDFGE" localSheetId="3" hidden="1">{#N/A,#N/A,FALSE,"Chi tiÆt"}</definedName>
    <definedName name="DFDFGE" hidden="1">{#N/A,#N/A,FALSE,"Chi tiÆt"}</definedName>
    <definedName name="DFDFGE_1" hidden="1">{#N/A,#N/A,FALSE,"Chi tiÆt"}</definedName>
    <definedName name="DFDFGE_2" hidden="1">{#N/A,#N/A,FALSE,"Chi tiÆt"}</definedName>
    <definedName name="dfgadfa" localSheetId="0" hidden="1">{#N/A,#N/A,TRUE,"BT M200 da 10x20"}</definedName>
    <definedName name="dfgadfa" localSheetId="7" hidden="1">{#N/A,#N/A,TRUE,"BT M200 da 10x20"}</definedName>
    <definedName name="dfgadfa" localSheetId="3" hidden="1">{#N/A,#N/A,TRUE,"BT M200 da 10x20"}</definedName>
    <definedName name="dfgadfa" hidden="1">{#N/A,#N/A,TRUE,"BT M200 da 10x20"}</definedName>
    <definedName name="dfgadfa_1" hidden="1">{#N/A,#N/A,TRUE,"BT M200 da 10x20"}</definedName>
    <definedName name="dfgadfa_2" hidden="1">{#N/A,#N/A,TRUE,"BT M200 da 10x20"}</definedName>
    <definedName name="dfgsdsdfe" localSheetId="0" hidden="1">{"'Sheet1'!$L$16"}</definedName>
    <definedName name="dfgsdsdfe" localSheetId="7" hidden="1">{"'Sheet1'!$L$16"}</definedName>
    <definedName name="dfgsdsdfe" localSheetId="3" hidden="1">{"'Sheet1'!$L$16"}</definedName>
    <definedName name="dfgsdsdfe" hidden="1">{"'Sheet1'!$L$16"}</definedName>
    <definedName name="dfgsdsdfe_1" hidden="1">{"'Sheet1'!$L$16"}</definedName>
    <definedName name="dfgsdsdfe_2" hidden="1">{"'Sheet1'!$L$16"}</definedName>
    <definedName name="DGKL" localSheetId="0" hidden="1">#REF!</definedName>
    <definedName name="DGKL" localSheetId="1" hidden="1">#REF!</definedName>
    <definedName name="DGKL" localSheetId="7" hidden="1">#REF!</definedName>
    <definedName name="DGKL" localSheetId="3" hidden="1">#REF!</definedName>
    <definedName name="DGKL" hidden="1">#REF!</definedName>
    <definedName name="diengiai" localSheetId="7" hidden="1">{"'Sheet1'!$L$16"}</definedName>
    <definedName name="diengiai" localSheetId="3" hidden="1">{"'Sheet1'!$L$16"}</definedName>
    <definedName name="diengiai" hidden="1">{"'Sheet1'!$L$16"}</definedName>
    <definedName name="diengiai_1" hidden="1">{"'Sheet1'!$L$16"}</definedName>
    <definedName name="diengiai_2" hidden="1">{"'Sheet1'!$L$16"}</definedName>
    <definedName name="Discount" localSheetId="0" hidden="1">#REF!</definedName>
    <definedName name="Discount" localSheetId="5" hidden="1">#REF!</definedName>
    <definedName name="Discount" localSheetId="1" hidden="1">#REF!</definedName>
    <definedName name="Discount" localSheetId="7" hidden="1">#REF!</definedName>
    <definedName name="Discount" localSheetId="3" hidden="1">#REF!</definedName>
    <definedName name="Discount" localSheetId="4" hidden="1">#REF!</definedName>
    <definedName name="Discount" hidden="1">#REF!</definedName>
    <definedName name="display_area_2" localSheetId="0" hidden="1">#REF!</definedName>
    <definedName name="display_area_2" localSheetId="5" hidden="1">#REF!</definedName>
    <definedName name="display_area_2" localSheetId="1" hidden="1">#REF!</definedName>
    <definedName name="display_area_2" localSheetId="7" hidden="1">#REF!</definedName>
    <definedName name="display_area_2" localSheetId="3" hidden="1">#REF!</definedName>
    <definedName name="display_area_2" localSheetId="4" hidden="1">#REF!</definedName>
    <definedName name="display_area_2" hidden="1">#REF!</definedName>
    <definedName name="DN1_CT5" localSheetId="0" hidden="1">{"'Sheet1'!$L$16"}</definedName>
    <definedName name="DN1_CT5" localSheetId="7" hidden="1">{"'Sheet1'!$L$16"}</definedName>
    <definedName name="DN1_CT5" localSheetId="3" hidden="1">{"'Sheet1'!$L$16"}</definedName>
    <definedName name="DN1_CT5" hidden="1">{"'Sheet1'!$L$16"}</definedName>
    <definedName name="DN1_CT5_1" hidden="1">{"'Sheet1'!$L$16"}</definedName>
    <definedName name="DN1_CT5_2" hidden="1">{"'Sheet1'!$L$16"}</definedName>
    <definedName name="dQlda_GxlGtbVal" localSheetId="1" hidden="1">DRATE+[0]!Dra</definedName>
    <definedName name="dQlda_GxlGtbVal" localSheetId="7" hidden="1">DRATE+[0]!Dra</definedName>
    <definedName name="dQlda_GxlGtbVal" localSheetId="3" hidden="1">DRATE+[0]!Dra</definedName>
    <definedName name="dQlda_GxlGtbVal" hidden="1">DRATE+[0]!Dra</definedName>
    <definedName name="dsaaee" localSheetId="0" hidden="1">{"'Sheet1'!$L$16"}</definedName>
    <definedName name="dsaaee" localSheetId="7" hidden="1">{"'Sheet1'!$L$16"}</definedName>
    <definedName name="dsaaee" localSheetId="3" hidden="1">{"'Sheet1'!$L$16"}</definedName>
    <definedName name="dsaaee" hidden="1">{"'Sheet1'!$L$16"}</definedName>
    <definedName name="dsaaee_1" hidden="1">{"'Sheet1'!$L$16"}</definedName>
    <definedName name="dsaaee_2" hidden="1">{"'Sheet1'!$L$16"}</definedName>
    <definedName name="dTHKP_Rng" localSheetId="1" hidden="1">#REF!</definedName>
    <definedName name="dTHKP_Rng" localSheetId="7" hidden="1">#REF!</definedName>
    <definedName name="dTHKP_Rng" localSheetId="3" hidden="1">#REF!</definedName>
    <definedName name="dTHKP_Rng" hidden="1">#REF!</definedName>
    <definedName name="DTKT3" localSheetId="7" hidden="1">{"'Sheet1'!$L$16"}</definedName>
    <definedName name="DTKT3" localSheetId="3" hidden="1">{"'Sheet1'!$L$16"}</definedName>
    <definedName name="DTKT3" hidden="1">{"'Sheet1'!$L$16"}</definedName>
    <definedName name="DTKT3_1" hidden="1">{"'Sheet1'!$L$16"}</definedName>
    <definedName name="DTKT3_2" hidden="1">{"'Sheet1'!$L$16"}</definedName>
    <definedName name="duc" localSheetId="0" hidden="1">{"'Sheet1'!$L$16"}</definedName>
    <definedName name="duc" localSheetId="7" hidden="1">{"'Sheet1'!$L$16"}</definedName>
    <definedName name="duc" localSheetId="3" hidden="1">{"'Sheet1'!$L$16"}</definedName>
    <definedName name="duc" hidden="1">{"'Sheet1'!$L$16"}</definedName>
    <definedName name="duc_1" hidden="1">{"'Sheet1'!$L$16"}</definedName>
    <definedName name="duc_2" hidden="1">{"'Sheet1'!$L$16"}</definedName>
    <definedName name="dutruchiphi" localSheetId="0" hidden="1">{"NGUYEN QUI THIEP - Personal View",#N/A,FALSE,"XDCB.HT.FUR."}</definedName>
    <definedName name="dutruchiphi" localSheetId="7" hidden="1">{"NGUYEN QUI THIEP - Personal View",#N/A,FALSE,"XDCB.HT.FUR."}</definedName>
    <definedName name="dutruchiphi" localSheetId="3" hidden="1">{"NGUYEN QUI THIEP - Personal View",#N/A,FALSE,"XDCB.HT.FUR."}</definedName>
    <definedName name="dutruchiphi" hidden="1">{"NGUYEN QUI THIEP - Personal View",#N/A,FALSE,"XDCB.HT.FUR."}</definedName>
    <definedName name="dutruchiphi_1" hidden="1">{"NGUYEN QUI THIEP - Personal View",#N/A,FALSE,"XDCB.HT.FUR."}</definedName>
    <definedName name="dutruchiphi_2" hidden="1">{"NGUYEN QUI THIEP - Personal View",#N/A,FALSE,"XDCB.HT.FUR."}</definedName>
    <definedName name="ẻger" localSheetId="0" hidden="1">{#N/A,#N/A,TRUE,"BT M200 da 10x20"}</definedName>
    <definedName name="ẻger" localSheetId="7" hidden="1">{#N/A,#N/A,TRUE,"BT M200 da 10x20"}</definedName>
    <definedName name="ẻger" localSheetId="3" hidden="1">{#N/A,#N/A,TRUE,"BT M200 da 10x20"}</definedName>
    <definedName name="ẻger" hidden="1">{#N/A,#N/A,TRUE,"BT M200 da 10x20"}</definedName>
    <definedName name="ẻger_1" hidden="1">{#N/A,#N/A,TRUE,"BT M200 da 10x20"}</definedName>
    <definedName name="ẻger_2" hidden="1">{#N/A,#N/A,TRUE,"BT M200 da 10x20"}</definedName>
    <definedName name="ẻgwe" localSheetId="0" hidden="1">{"'Sheet1'!$L$16"}</definedName>
    <definedName name="ẻgwe" localSheetId="7" hidden="1">{"'Sheet1'!$L$16"}</definedName>
    <definedName name="ẻgwe" localSheetId="3" hidden="1">{"'Sheet1'!$L$16"}</definedName>
    <definedName name="ẻgwe" hidden="1">{"'Sheet1'!$L$16"}</definedName>
    <definedName name="ẻgwe_1" hidden="1">{"'Sheet1'!$L$16"}</definedName>
    <definedName name="ẻgwe_2" hidden="1">{"'Sheet1'!$L$16"}</definedName>
    <definedName name="ẻgwrq" localSheetId="0" hidden="1">#REF!</definedName>
    <definedName name="ẻgwrq" localSheetId="1" hidden="1">#REF!</definedName>
    <definedName name="ẻgwrq" localSheetId="7" hidden="1">#REF!</definedName>
    <definedName name="ẻgwrq" localSheetId="3" hidden="1">#REF!</definedName>
    <definedName name="ẻgwrq" hidden="1">#REF!</definedName>
    <definedName name="ERT" localSheetId="0" hidden="1">{"'Sheet1'!$L$16"}</definedName>
    <definedName name="ERT" localSheetId="7" hidden="1">{"'Sheet1'!$L$16"}</definedName>
    <definedName name="ERT" localSheetId="3" hidden="1">{"'Sheet1'!$L$16"}</definedName>
    <definedName name="ERT" hidden="1">{"'Sheet1'!$L$16"}</definedName>
    <definedName name="ERT_1" hidden="1">{"'Sheet1'!$L$16"}</definedName>
    <definedName name="ERT_2" hidden="1">{"'Sheet1'!$L$16"}</definedName>
    <definedName name="ewfawg" localSheetId="0" hidden="1">#REF!</definedName>
    <definedName name="ewfawg" localSheetId="1" hidden="1">#REF!</definedName>
    <definedName name="ewfawg" localSheetId="7" hidden="1">#REF!</definedName>
    <definedName name="ewfawg" localSheetId="3" hidden="1">#REF!</definedName>
    <definedName name="ewfawg" hidden="1">#REF!</definedName>
    <definedName name="FCode" localSheetId="0" hidden="1">#REF!</definedName>
    <definedName name="FCode" localSheetId="5" hidden="1">#REF!</definedName>
    <definedName name="FCode" localSheetId="1" hidden="1">#REF!</definedName>
    <definedName name="FCode" localSheetId="7" hidden="1">#REF!</definedName>
    <definedName name="FCode" localSheetId="3" hidden="1">#REF!</definedName>
    <definedName name="FCode" localSheetId="4" hidden="1">#REF!</definedName>
    <definedName name="FCode" hidden="1">#REF!</definedName>
    <definedName name="fdgssda" localSheetId="0" hidden="1">{"'Sheet1'!$L$16"}</definedName>
    <definedName name="fdgssda" localSheetId="7" hidden="1">{"'Sheet1'!$L$16"}</definedName>
    <definedName name="fdgssda" localSheetId="3" hidden="1">{"'Sheet1'!$L$16"}</definedName>
    <definedName name="fdgssda" hidden="1">{"'Sheet1'!$L$16"}</definedName>
    <definedName name="fdgssda_1" hidden="1">{"'Sheet1'!$L$16"}</definedName>
    <definedName name="fdgssda_2" hidden="1">{"'Sheet1'!$L$16"}</definedName>
    <definedName name="ff" localSheetId="0" hidden="1">#REF!</definedName>
    <definedName name="ff" localSheetId="1" hidden="1">#REF!</definedName>
    <definedName name="ff" localSheetId="7" hidden="1">#REF!</definedName>
    <definedName name="ff" localSheetId="3" hidden="1">#REF!</definedName>
    <definedName name="ff" hidden="1">#REF!</definedName>
    <definedName name="fgff" localSheetId="0" hidden="1">{#N/A,#N/A,TRUE,"SUM";#N/A,#N/A,TRUE,"EE";#N/A,#N/A,TRUE,"AC";#N/A,#N/A,TRUE,"SN"}</definedName>
    <definedName name="fgff" localSheetId="7" hidden="1">{#N/A,#N/A,TRUE,"SUM";#N/A,#N/A,TRUE,"EE";#N/A,#N/A,TRUE,"AC";#N/A,#N/A,TRUE,"SN"}</definedName>
    <definedName name="fgff" localSheetId="3" hidden="1">{#N/A,#N/A,TRUE,"SUM";#N/A,#N/A,TRUE,"EE";#N/A,#N/A,TRUE,"AC";#N/A,#N/A,TRUE,"SN"}</definedName>
    <definedName name="fgff" hidden="1">{#N/A,#N/A,TRUE,"SUM";#N/A,#N/A,TRUE,"EE";#N/A,#N/A,TRUE,"AC";#N/A,#N/A,TRUE,"SN"}</definedName>
    <definedName name="fgff_1" hidden="1">{#N/A,#N/A,TRUE,"SUM";#N/A,#N/A,TRUE,"EE";#N/A,#N/A,TRUE,"AC";#N/A,#N/A,TRUE,"SN"}</definedName>
    <definedName name="fgff_2" hidden="1">{#N/A,#N/A,TRUE,"SUM";#N/A,#N/A,TRUE,"EE";#N/A,#N/A,TRUE,"AC";#N/A,#N/A,TRUE,"SN"}</definedName>
    <definedName name="fgn" localSheetId="7" hidden="1">{"'Sheet1'!$L$16"}</definedName>
    <definedName name="fgn" localSheetId="3" hidden="1">{"'Sheet1'!$L$16"}</definedName>
    <definedName name="fgn" hidden="1">{"'Sheet1'!$L$16"}</definedName>
    <definedName name="fgn_1" hidden="1">{"'Sheet1'!$L$16"}</definedName>
    <definedName name="fgn_2" hidden="1">{"'Sheet1'!$L$16"}</definedName>
    <definedName name="fgsdaa" localSheetId="0" hidden="1">{#N/A,#N/A,TRUE,"BT M200 da 10x20"}</definedName>
    <definedName name="fgsdaa" localSheetId="7" hidden="1">{#N/A,#N/A,TRUE,"BT M200 da 10x20"}</definedName>
    <definedName name="fgsdaa" localSheetId="3" hidden="1">{#N/A,#N/A,TRUE,"BT M200 da 10x20"}</definedName>
    <definedName name="fgsdaa" hidden="1">{#N/A,#N/A,TRUE,"BT M200 da 10x20"}</definedName>
    <definedName name="fgsdaa_1" hidden="1">{#N/A,#N/A,TRUE,"BT M200 da 10x20"}</definedName>
    <definedName name="fgsdaa_2" hidden="1">{#N/A,#N/A,TRUE,"BT M200 da 10x20"}</definedName>
    <definedName name="fill" localSheetId="0" hidden="1">#REF!</definedName>
    <definedName name="fill" localSheetId="1" hidden="1">#REF!</definedName>
    <definedName name="fill" localSheetId="7" hidden="1">#REF!</definedName>
    <definedName name="fill" localSheetId="3" hidden="1">#REF!</definedName>
    <definedName name="fill" hidden="1">#REF!</definedName>
    <definedName name="FILLL" localSheetId="0" hidden="1">#REF!</definedName>
    <definedName name="FILLL" localSheetId="1" hidden="1">#REF!</definedName>
    <definedName name="FILLL" localSheetId="7" hidden="1">#REF!</definedName>
    <definedName name="FILLL" localSheetId="3" hidden="1">#REF!</definedName>
    <definedName name="FILLL" hidden="1">#REF!</definedName>
    <definedName name="fsdfdsf" localSheetId="7" hidden="1">{"'Sheet1'!$L$16"}</definedName>
    <definedName name="fsdfdsf" localSheetId="3" hidden="1">{"'Sheet1'!$L$16"}</definedName>
    <definedName name="fsdfdsf" hidden="1">{"'Sheet1'!$L$16"}</definedName>
    <definedName name="fsdfdsf_1" hidden="1">{"'Sheet1'!$L$16"}</definedName>
    <definedName name="fsdfdsf_2" hidden="1">{"'Sheet1'!$L$16"}</definedName>
    <definedName name="fsfsfdd" localSheetId="0" hidden="1">{"'Sheet1'!$L$16"}</definedName>
    <definedName name="fsfsfdd" localSheetId="7" hidden="1">{"'Sheet1'!$L$16"}</definedName>
    <definedName name="fsfsfdd" localSheetId="3" hidden="1">{"'Sheet1'!$L$16"}</definedName>
    <definedName name="fsfsfdd" hidden="1">{"'Sheet1'!$L$16"}</definedName>
    <definedName name="fsfsfdd_1" hidden="1">{"'Sheet1'!$L$16"}</definedName>
    <definedName name="fsfsfdd_2" hidden="1">{"'Sheet1'!$L$16"}</definedName>
    <definedName name="ga" localSheetId="0" hidden="1">{"'Sheet1'!$L$16"}</definedName>
    <definedName name="ga" localSheetId="7" hidden="1">{"'Sheet1'!$L$16"}</definedName>
    <definedName name="ga" localSheetId="3" hidden="1">{"'Sheet1'!$L$16"}</definedName>
    <definedName name="ga" hidden="1">{"'Sheet1'!$L$16"}</definedName>
    <definedName name="ga_1" hidden="1">{"'Sheet1'!$L$16"}</definedName>
    <definedName name="ga_2" hidden="1">{"'Sheet1'!$L$16"}</definedName>
    <definedName name="găgawg" localSheetId="0" hidden="1">#REF!</definedName>
    <definedName name="găgawg" localSheetId="1" hidden="1">#REF!</definedName>
    <definedName name="găgawg" localSheetId="7" hidden="1">#REF!</definedName>
    <definedName name="găgawg" localSheetId="3" hidden="1">#REF!</definedName>
    <definedName name="găgawg" hidden="1">#REF!</definedName>
    <definedName name="ge" localSheetId="0" hidden="1">{"'Sheet1'!$L$16"}</definedName>
    <definedName name="ge" localSheetId="7" hidden="1">{"'Sheet1'!$L$16"}</definedName>
    <definedName name="ge" localSheetId="3" hidden="1">{"'Sheet1'!$L$16"}</definedName>
    <definedName name="ge" hidden="1">{"'Sheet1'!$L$16"}</definedName>
    <definedName name="ge_1" hidden="1">{"'Sheet1'!$L$16"}</definedName>
    <definedName name="ge_2" hidden="1">{"'Sheet1'!$L$16"}</definedName>
    <definedName name="gẻgweg" localSheetId="0" hidden="1">#REF!</definedName>
    <definedName name="gẻgweg" localSheetId="1" hidden="1">#REF!</definedName>
    <definedName name="gẻgweg" localSheetId="7" hidden="1">#REF!</definedName>
    <definedName name="gẻgweg" localSheetId="3" hidden="1">#REF!</definedName>
    <definedName name="gẻgweg" hidden="1">#REF!</definedName>
    <definedName name="gfh" localSheetId="7" hidden="1">{#N/A,#N/A,FALSE,"Chi tiÆt"}</definedName>
    <definedName name="gfh" localSheetId="3" hidden="1">{#N/A,#N/A,FALSE,"Chi tiÆt"}</definedName>
    <definedName name="gfh" hidden="1">{#N/A,#N/A,FALSE,"Chi tiÆt"}</definedName>
    <definedName name="gfh_1" hidden="1">{#N/A,#N/A,FALSE,"Chi tiÆt"}</definedName>
    <definedName name="gfh_2" hidden="1">{#N/A,#N/A,FALSE,"Chi tiÆt"}</definedName>
    <definedName name="GG" localSheetId="0" hidden="1">#REF!</definedName>
    <definedName name="GG" localSheetId="1" hidden="1">#REF!</definedName>
    <definedName name="GG" localSheetId="7" hidden="1">#REF!</definedName>
    <definedName name="GG" localSheetId="3" hidden="1">#REF!</definedName>
    <definedName name="GG" hidden="1">#REF!</definedName>
    <definedName name="GGGG" localSheetId="0" hidden="1">#REF!</definedName>
    <definedName name="GGGG" localSheetId="1" hidden="1">#REF!</definedName>
    <definedName name="GGGG" localSheetId="7" hidden="1">#REF!</definedName>
    <definedName name="GGGG" localSheetId="3" hidden="1">#REF!</definedName>
    <definedName name="GGGG" hidden="1">#REF!</definedName>
    <definedName name="GH" localSheetId="0" hidden="1">#REF!</definedName>
    <definedName name="GH" localSheetId="1" hidden="1">#REF!</definedName>
    <definedName name="GH" localSheetId="7" hidden="1">#REF!</definedName>
    <definedName name="GH" localSheetId="3" hidden="1">#REF!</definedName>
    <definedName name="GH" hidden="1">#REF!</definedName>
    <definedName name="ghfg" localSheetId="7" hidden="1">{#N/A,#N/A,FALSE,"Chi tiÆt"}</definedName>
    <definedName name="ghfg" localSheetId="3" hidden="1">{#N/A,#N/A,FALSE,"Chi tiÆt"}</definedName>
    <definedName name="ghfg" hidden="1">{#N/A,#N/A,FALSE,"Chi tiÆt"}</definedName>
    <definedName name="ghfg_1" hidden="1">{#N/A,#N/A,FALSE,"Chi tiÆt"}</definedName>
    <definedName name="ghfg_2" hidden="1">{#N/A,#N/A,FALSE,"Chi tiÆt"}</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geg" localSheetId="0" hidden="1">#REF!</definedName>
    <definedName name="grgeg" localSheetId="1" hidden="1">#REF!</definedName>
    <definedName name="grgeg" localSheetId="7" hidden="1">#REF!</definedName>
    <definedName name="grgeg" localSheetId="3" hidden="1">#REF!</definedName>
    <definedName name="grgeg" hidden="1">#REF!</definedName>
    <definedName name="GSF" localSheetId="0" hidden="1">#REF!</definedName>
    <definedName name="GSF" localSheetId="1" hidden="1">#REF!</definedName>
    <definedName name="GSF" localSheetId="7" hidden="1">#REF!</definedName>
    <definedName name="GSF" localSheetId="3" hidden="1">#REF!</definedName>
    <definedName name="GSF" hidden="1">#REF!</definedName>
    <definedName name="GTM" localSheetId="7" hidden="1">{"'Sheet1'!$L$16"}</definedName>
    <definedName name="GTM" localSheetId="3" hidden="1">{"'Sheet1'!$L$16"}</definedName>
    <definedName name="GTM" hidden="1">{"'Sheet1'!$L$16"}</definedName>
    <definedName name="GTM_1" hidden="1">{"'Sheet1'!$L$16"}</definedName>
    <definedName name="GTM_2"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YGY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 localSheetId="7" hidden="1">{"'Sheet1'!$L$16"}</definedName>
    <definedName name="h" localSheetId="3" hidden="1">{"'Sheet1'!$L$16"}</definedName>
    <definedName name="h" hidden="1">{"'Sheet1'!$L$16"}</definedName>
    <definedName name="h_1" hidden="1">{"'Sheet1'!$L$16"}</definedName>
    <definedName name="h_2" hidden="1">{"'Sheet1'!$L$16"}</definedName>
    <definedName name="h_xoa" localSheetId="0" hidden="1">{"'Sheet1'!$L$16"}</definedName>
    <definedName name="h_xoa" localSheetId="7" hidden="1">{"'Sheet1'!$L$16"}</definedName>
    <definedName name="h_xoa" localSheetId="3" hidden="1">{"'Sheet1'!$L$16"}</definedName>
    <definedName name="h_xoa" hidden="1">{"'Sheet1'!$L$16"}</definedName>
    <definedName name="h_xoa_1" hidden="1">{"'Sheet1'!$L$16"}</definedName>
    <definedName name="h_xoa_2" hidden="1">{"'Sheet1'!$L$16"}</definedName>
    <definedName name="h_xoa2" localSheetId="0" hidden="1">{"'Sheet1'!$L$16"}</definedName>
    <definedName name="h_xoa2" localSheetId="7" hidden="1">{"'Sheet1'!$L$16"}</definedName>
    <definedName name="h_xoa2" localSheetId="3" hidden="1">{"'Sheet1'!$L$16"}</definedName>
    <definedName name="h_xoa2" hidden="1">{"'Sheet1'!$L$16"}</definedName>
    <definedName name="h_xoa2_1" hidden="1">{"'Sheet1'!$L$16"}</definedName>
    <definedName name="h_xoa2_2" hidden="1">{"'Sheet1'!$L$16"}</definedName>
    <definedName name="hanh" localSheetId="0" hidden="1">{"'Sheet1'!$L$16"}</definedName>
    <definedName name="hanh" localSheetId="7" hidden="1">{"'Sheet1'!$L$16"}</definedName>
    <definedName name="hanh" localSheetId="3" hidden="1">{"'Sheet1'!$L$16"}</definedName>
    <definedName name="hanh" hidden="1">{"'Sheet1'!$L$16"}</definedName>
    <definedName name="hanh_1" hidden="1">{"'Sheet1'!$L$16"}</definedName>
    <definedName name="hanh_2" hidden="1">{"'Sheet1'!$L$16"}</definedName>
    <definedName name="hb" localSheetId="0" hidden="1">{"'Sheet1'!$L$16"}</definedName>
    <definedName name="hb" localSheetId="7" hidden="1">{"'Sheet1'!$L$16"}</definedName>
    <definedName name="hb" localSheetId="3" hidden="1">{"'Sheet1'!$L$16"}</definedName>
    <definedName name="hb" hidden="1">{"'Sheet1'!$L$16"}</definedName>
    <definedName name="hb_1" hidden="1">{"'Sheet1'!$L$16"}</definedName>
    <definedName name="hb_2" hidden="1">{"'Sheet1'!$L$16"}</definedName>
    <definedName name="HCNA" localSheetId="7" hidden="1">{"'Sheet1'!$L$16"}</definedName>
    <definedName name="HCNA" localSheetId="3" hidden="1">{"'Sheet1'!$L$16"}</definedName>
    <definedName name="HCNA" hidden="1">{"'Sheet1'!$L$16"}</definedName>
    <definedName name="HCNA_1" hidden="1">{"'Sheet1'!$L$16"}</definedName>
    <definedName name="HCNA_2" hidden="1">{"'Sheet1'!$L$16"}</definedName>
    <definedName name="hfgsdf" localSheetId="0" hidden="1">{"'Sheet1'!$L$16"}</definedName>
    <definedName name="hfgsdf" localSheetId="7" hidden="1">{"'Sheet1'!$L$16"}</definedName>
    <definedName name="hfgsdf" localSheetId="3" hidden="1">{"'Sheet1'!$L$16"}</definedName>
    <definedName name="hfgsdf" hidden="1">{"'Sheet1'!$L$16"}</definedName>
    <definedName name="hfgsdf_1" hidden="1">{"'Sheet1'!$L$16"}</definedName>
    <definedName name="hfgsdf_2" hidden="1">{"'Sheet1'!$L$16"}</definedName>
    <definedName name="hg" localSheetId="0" hidden="1">{"'Sheet1'!$L$16"}</definedName>
    <definedName name="hg" localSheetId="7" hidden="1">{"'Sheet1'!$L$16"}</definedName>
    <definedName name="hg" localSheetId="3" hidden="1">{"'Sheet1'!$L$16"}</definedName>
    <definedName name="hg" hidden="1">{"'Sheet1'!$L$16"}</definedName>
    <definedName name="hg_1" hidden="1">{"'Sheet1'!$L$16"}</definedName>
    <definedName name="hg_2"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b" localSheetId="0" hidden="1">{"'Sheet1'!$L$16"}</definedName>
    <definedName name="hhb" localSheetId="7" hidden="1">{"'Sheet1'!$L$16"}</definedName>
    <definedName name="hhb" localSheetId="3" hidden="1">{"'Sheet1'!$L$16"}</definedName>
    <definedName name="hhb" hidden="1">{"'Sheet1'!$L$16"}</definedName>
    <definedName name="hhb_1" hidden="1">{"'Sheet1'!$L$16"}</definedName>
    <definedName name="hhb_2" hidden="1">{"'Sheet1'!$L$16"}</definedName>
    <definedName name="hhh" localSheetId="0" hidden="1">#REF!</definedName>
    <definedName name="hhh" localSheetId="1" hidden="1">#REF!</definedName>
    <definedName name="hhh" localSheetId="7" hidden="1">#REF!</definedName>
    <definedName name="hhh" localSheetId="3" hidden="1">#REF!</definedName>
    <definedName name="hhh" hidden="1">#REF!</definedName>
    <definedName name="hhhhh" localSheetId="0" hidden="1">#REF!</definedName>
    <definedName name="hhhhh" localSheetId="1" hidden="1">#REF!</definedName>
    <definedName name="hhhhh" localSheetId="7" hidden="1">#REF!</definedName>
    <definedName name="hhhhh" localSheetId="3" hidden="1">#REF!</definedName>
    <definedName name="hhhhh" hidden="1">#REF!</definedName>
    <definedName name="HiddenRows" localSheetId="0" hidden="1">#REF!</definedName>
    <definedName name="HiddenRows" localSheetId="5" hidden="1">#REF!</definedName>
    <definedName name="HiddenRows" localSheetId="1" hidden="1">#REF!</definedName>
    <definedName name="HiddenRows" localSheetId="7" hidden="1">#REF!</definedName>
    <definedName name="HiddenRows" localSheetId="3" hidden="1">#REF!</definedName>
    <definedName name="HiddenRows" localSheetId="4" hidden="1">#REF!</definedName>
    <definedName name="HiddenRows" hidden="1">#REF!</definedName>
    <definedName name="HJHH" localSheetId="0" hidden="1">{"ECA Qtrs C",#N/A,TRUE,"ECA_Qtrs_C";"ECA Qtrs D",#N/A,TRUE,"ECA_Qtrs_D";"ECA Qtrs F",#N/A,TRUE,"ECA_Qtrs_F";"ECA Qtrs G",#N/A,TRUE,"ECA_Qtrs_G";"ECA SisterApt",#N/A,TRUE,"ECA_SisterApt";"ECA Nurses",#N/A,TRUE,"ECA_NursesHostel"}</definedName>
    <definedName name="HJHH" localSheetId="7" hidden="1">{"ECA Qtrs C",#N/A,TRUE,"ECA_Qtrs_C";"ECA Qtrs D",#N/A,TRUE,"ECA_Qtrs_D";"ECA Qtrs F",#N/A,TRUE,"ECA_Qtrs_F";"ECA Qtrs G",#N/A,TRUE,"ECA_Qtrs_G";"ECA SisterApt",#N/A,TRUE,"ECA_SisterApt";"ECA Nurses",#N/A,TRUE,"ECA_NursesHostel"}</definedName>
    <definedName name="HJHH" localSheetId="3" hidden="1">{"ECA Qtrs C",#N/A,TRUE,"ECA_Qtrs_C";"ECA Qtrs D",#N/A,TRUE,"ECA_Qtrs_D";"ECA Qtrs F",#N/A,TRUE,"ECA_Qtrs_F";"ECA Qtrs G",#N/A,TRUE,"ECA_Qtrs_G";"ECA SisterApt",#N/A,TRUE,"ECA_SisterApt";"ECA Nurses",#N/A,TRUE,"ECA_NursesHostel"}</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HH_2" hidden="1">{"ECA Qtrs C",#N/A,TRUE,"ECA_Qtrs_C";"ECA Qtrs D",#N/A,TRUE,"ECA_Qtrs_D";"ECA Qtrs F",#N/A,TRUE,"ECA_Qtrs_F";"ECA Qtrs G",#N/A,TRUE,"ECA_Qtrs_G";"ECA SisterApt",#N/A,TRUE,"ECA_SisterApt";"ECA Nurses",#N/A,TRUE,"ECA_NursesHostel"}</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HJ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tlm" localSheetId="0" hidden="1">{"'Sheet1'!$L$16"}</definedName>
    <definedName name="htlm" localSheetId="7" hidden="1">{"'Sheet1'!$L$16"}</definedName>
    <definedName name="htlm" localSheetId="3" hidden="1">{"'Sheet1'!$L$16"}</definedName>
    <definedName name="htlm" hidden="1">{"'Sheet1'!$L$16"}</definedName>
    <definedName name="htlm_1" hidden="1">{"'Sheet1'!$L$16"}</definedName>
    <definedName name="htlm_2" hidden="1">{"'Sheet1'!$L$16"}</definedName>
    <definedName name="HTML_CodePage" hidden="1">950</definedName>
    <definedName name="HTML_CodePage_1" hidden="1">950</definedName>
    <definedName name="HTML_Control" localSheetId="2" hidden="1">{"'Sheet1'!$L$16"}</definedName>
    <definedName name="HTML_Control" localSheetId="0" hidden="1">{"'Sheet1'!$L$16"}</definedName>
    <definedName name="HTML_Control" localSheetId="5" hidden="1">{"'Sheet1'!$L$16"}</definedName>
    <definedName name="HTML_Control" localSheetId="1" hidden="1">{"'Sheet1'!$L$16"}</definedName>
    <definedName name="HTML_Control" localSheetId="7" hidden="1">{"'Sheet1'!$L$16"}</definedName>
    <definedName name="HTML_Control" localSheetId="3" hidden="1">{"'Sheet1'!$L$16"}</definedName>
    <definedName name="HTML_Control" localSheetId="4" hidden="1">{"'Sheet1'!$L$16"}</definedName>
    <definedName name="HTML_Control" hidden="1">{"'Sheet1'!$L$16"}</definedName>
    <definedName name="HTML_Control_1" hidden="1">{"'Sheet1'!$L$16"}</definedName>
    <definedName name="HTML_Control_2" hidden="1">{"'Sheet1'!$L$16"}</definedName>
    <definedName name="html_control_xoa2" localSheetId="0" hidden="1">{"'Sheet1'!$L$16"}</definedName>
    <definedName name="html_control_xoa2" localSheetId="7" hidden="1">{"'Sheet1'!$L$16"}</definedName>
    <definedName name="html_control_xoa2" localSheetId="3" hidden="1">{"'Sheet1'!$L$16"}</definedName>
    <definedName name="html_control_xoa2" hidden="1">{"'Sheet1'!$L$16"}</definedName>
    <definedName name="html_control_xoa2_1" hidden="1">{"'Sheet1'!$L$16"}</definedName>
    <definedName name="html_control_xoa2_2" hidden="1">{"'Sheet1'!$L$16"}</definedName>
    <definedName name="HTML_Control1" localSheetId="0" hidden="1">{"'Sheet1'!$L$16"}</definedName>
    <definedName name="HTML_Control1" localSheetId="7" hidden="1">{"'Sheet1'!$L$16"}</definedName>
    <definedName name="HTML_Control1" localSheetId="3" hidden="1">{"'Sheet1'!$L$16"}</definedName>
    <definedName name="HTML_Control1" hidden="1">{"'Sheet1'!$L$16"}</definedName>
    <definedName name="HTML_Control1_1" hidden="1">{"'Sheet1'!$L$16"}</definedName>
    <definedName name="HTML_Control1_2" hidden="1">{"'Sheet1'!$L$16"}</definedName>
    <definedName name="HTML_Description" hidden="1">""</definedName>
    <definedName name="HTML_Email" hidden="1">""</definedName>
    <definedName name="HTML_Header" hidden="1">"Sheet1"</definedName>
    <definedName name="HTML_Header_1" hidden="1">"Sheet1"</definedName>
    <definedName name="HTML_LastUpdate" hidden="1">"2000/9/14"</definedName>
    <definedName name="HTML_LastUpdate_1" hidden="1">"2000/9/14"</definedName>
    <definedName name="HTML_LineAfter" hidden="1">FALSE</definedName>
    <definedName name="HTML_LineBefore" hidden="1">FALSE</definedName>
    <definedName name="HTML_Name" hidden="1">"J.C.WONG"</definedName>
    <definedName name="HTML_Name_1"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_1" hidden="1">"C:\2689\Q\國內\00q3961台化龍德PTA3建造\MyHTML.htm"</definedName>
    <definedName name="HTML_Title" hidden="1">"00Q3961-SUM"</definedName>
    <definedName name="HTML_Title_1" hidden="1">"00Q3961-SUM"</definedName>
    <definedName name="HTMLcpnmtrol" localSheetId="0" hidden="1">{"'Sheet1'!$L$16"}</definedName>
    <definedName name="HTMLcpnmtrol" localSheetId="7" hidden="1">{"'Sheet1'!$L$16"}</definedName>
    <definedName name="HTMLcpnmtrol" localSheetId="3" hidden="1">{"'Sheet1'!$L$16"}</definedName>
    <definedName name="HTMLcpnmtrol" hidden="1">{"'Sheet1'!$L$16"}</definedName>
    <definedName name="HTMLcpnmtrol_1" hidden="1">{"'Sheet1'!$L$16"}</definedName>
    <definedName name="HTMLcpnmtrol_2"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y" localSheetId="2" hidden="1">{"'Sheet1'!$L$16"}</definedName>
    <definedName name="huy" localSheetId="0" hidden="1">{"'Sheet1'!$L$16"}</definedName>
    <definedName name="huy" localSheetId="5" hidden="1">{"'Sheet1'!$L$16"}</definedName>
    <definedName name="huy" localSheetId="1" hidden="1">{"'Sheet1'!$L$16"}</definedName>
    <definedName name="huy" localSheetId="7" hidden="1">{"'Sheet1'!$L$16"}</definedName>
    <definedName name="huy" localSheetId="3" hidden="1">{"'Sheet1'!$L$16"}</definedName>
    <definedName name="huy" localSheetId="4" hidden="1">{"'Sheet1'!$L$16"}</definedName>
    <definedName name="huy" hidden="1">{"'Sheet1'!$L$16"}</definedName>
    <definedName name="huy_1" hidden="1">{"'Sheet1'!$L$16"}</definedName>
    <definedName name="huy_2" hidden="1">{"'Sheet1'!$L$16"}</definedName>
    <definedName name="huy_xoa" localSheetId="0" hidden="1">{"'Sheet1'!$L$16"}</definedName>
    <definedName name="huy_xoa" localSheetId="7" hidden="1">{"'Sheet1'!$L$16"}</definedName>
    <definedName name="huy_xoa" localSheetId="3" hidden="1">{"'Sheet1'!$L$16"}</definedName>
    <definedName name="huy_xoa" hidden="1">{"'Sheet1'!$L$16"}</definedName>
    <definedName name="huy_xoa_1" hidden="1">{"'Sheet1'!$L$16"}</definedName>
    <definedName name="huy_xoa_2" hidden="1">{"'Sheet1'!$L$16"}</definedName>
    <definedName name="huy_xoa2" localSheetId="0" hidden="1">{"'Sheet1'!$L$16"}</definedName>
    <definedName name="huy_xoa2" localSheetId="7" hidden="1">{"'Sheet1'!$L$16"}</definedName>
    <definedName name="huy_xoa2" localSheetId="3" hidden="1">{"'Sheet1'!$L$16"}</definedName>
    <definedName name="huy_xoa2" hidden="1">{"'Sheet1'!$L$16"}</definedName>
    <definedName name="huy_xoa2_1" hidden="1">{"'Sheet1'!$L$16"}</definedName>
    <definedName name="huy_xoa2_2" hidden="1">{"'Sheet1'!$L$16"}</definedName>
    <definedName name="HUYØ" localSheetId="0" hidden="1">{"'Sheet1'!$L$16"}</definedName>
    <definedName name="HUYØ" localSheetId="7" hidden="1">{"'Sheet1'!$L$16"}</definedName>
    <definedName name="HUYØ" localSheetId="3" hidden="1">{"'Sheet1'!$L$16"}</definedName>
    <definedName name="HUYØ" hidden="1">{"'Sheet1'!$L$16"}</definedName>
    <definedName name="HUYØ_1" hidden="1">{"'Sheet1'!$L$16"}</definedName>
    <definedName name="HUYØ_2" hidden="1">{"'Sheet1'!$L$16"}</definedName>
    <definedName name="hy" localSheetId="0" hidden="1">{"'Sheet1'!$L$16"}</definedName>
    <definedName name="hy" localSheetId="7" hidden="1">{"'Sheet1'!$L$16"}</definedName>
    <definedName name="hy" localSheetId="3" hidden="1">{"'Sheet1'!$L$16"}</definedName>
    <definedName name="hy" hidden="1">{"'Sheet1'!$L$16"}</definedName>
    <definedName name="hy_1" hidden="1">{"'Sheet1'!$L$16"}</definedName>
    <definedName name="hy_2" hidden="1">{"'Sheet1'!$L$16"}</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hanh" localSheetId="5" hidden="1">#REF!</definedName>
    <definedName name="khanh" localSheetId="1" hidden="1">#REF!</definedName>
    <definedName name="khanh" localSheetId="7" hidden="1">#REF!</definedName>
    <definedName name="khanh" localSheetId="3" hidden="1">#REF!</definedName>
    <definedName name="khanh" localSheetId="4" hidden="1">#REF!</definedName>
    <definedName name="khanh" hidden="1">#REF!</definedName>
    <definedName name="KHGDFKHGFJKGF" localSheetId="0" hidden="1">#REF!</definedName>
    <definedName name="KHGDFKHGFJKGF" localSheetId="1" hidden="1">#REF!</definedName>
    <definedName name="KHGDFKHGFJKGF" localSheetId="7" hidden="1">#REF!</definedName>
    <definedName name="KHGDFKHGFJKGF" localSheetId="3" hidden="1">#REF!</definedName>
    <definedName name="KHGDFKHGFJKGF" hidden="1">#REF!</definedName>
    <definedName name="KLduonggiaods" localSheetId="7" hidden="1">{"'Sheet1'!$L$16"}</definedName>
    <definedName name="KLduonggiaods" localSheetId="3" hidden="1">{"'Sheet1'!$L$16"}</definedName>
    <definedName name="KLduonggiaods" hidden="1">{"'Sheet1'!$L$16"}</definedName>
    <definedName name="KLduonggiaods_1" hidden="1">{"'Sheet1'!$L$16"}</definedName>
    <definedName name="KLduonggiaods_2" hidden="1">{"'Sheet1'!$L$16"}</definedName>
    <definedName name="KNDAT_CHUA_SU_DUNG" localSheetId="0" hidden="1">#REF!</definedName>
    <definedName name="KNDAT_CHUA_SU_DUNG" localSheetId="1" hidden="1">#REF!</definedName>
    <definedName name="KNDAT_CHUA_SU_DUNG" localSheetId="7" hidden="1">#REF!</definedName>
    <definedName name="KNDAT_CHUA_SU_DUNG" localSheetId="3" hidden="1">#REF!</definedName>
    <definedName name="KNDAT_CHUA_SU_DUNG" hidden="1">#REF!</definedName>
    <definedName name="ksbn" localSheetId="0" hidden="1">{"'Sheet1'!$L$16"}</definedName>
    <definedName name="ksbn" localSheetId="7" hidden="1">{"'Sheet1'!$L$16"}</definedName>
    <definedName name="ksbn" localSheetId="3" hidden="1">{"'Sheet1'!$L$16"}</definedName>
    <definedName name="ksbn" hidden="1">{"'Sheet1'!$L$16"}</definedName>
    <definedName name="ksbn_1" hidden="1">{"'Sheet1'!$L$16"}</definedName>
    <definedName name="ksbn_2" hidden="1">{"'Sheet1'!$L$16"}</definedName>
    <definedName name="kshn" localSheetId="0" hidden="1">{"'Sheet1'!$L$16"}</definedName>
    <definedName name="kshn" localSheetId="7" hidden="1">{"'Sheet1'!$L$16"}</definedName>
    <definedName name="kshn" localSheetId="3" hidden="1">{"'Sheet1'!$L$16"}</definedName>
    <definedName name="kshn" hidden="1">{"'Sheet1'!$L$16"}</definedName>
    <definedName name="kshn_1" hidden="1">{"'Sheet1'!$L$16"}</definedName>
    <definedName name="kshn_2" hidden="1">{"'Sheet1'!$L$16"}</definedName>
    <definedName name="ksls" localSheetId="0" hidden="1">{"'Sheet1'!$L$16"}</definedName>
    <definedName name="ksls" localSheetId="7" hidden="1">{"'Sheet1'!$L$16"}</definedName>
    <definedName name="ksls" localSheetId="3" hidden="1">{"'Sheet1'!$L$16"}</definedName>
    <definedName name="ksls" hidden="1">{"'Sheet1'!$L$16"}</definedName>
    <definedName name="ksls_1" hidden="1">{"'Sheet1'!$L$16"}</definedName>
    <definedName name="ksls_2" hidden="1">{"'Sheet1'!$L$16"}</definedName>
    <definedName name="lam" localSheetId="7" hidden="1">{"'Sheet1'!$L$16"}</definedName>
    <definedName name="lam" localSheetId="3" hidden="1">{"'Sheet1'!$L$16"}</definedName>
    <definedName name="lam" hidden="1">{"'Sheet1'!$L$16"}</definedName>
    <definedName name="lam_1" hidden="1">{"'Sheet1'!$L$16"}</definedName>
    <definedName name="lam_2" hidden="1">{"'Sheet1'!$L$16"}</definedName>
    <definedName name="lan" localSheetId="0" hidden="1">{#N/A,#N/A,TRUE,"BT M200 da 10x20"}</definedName>
    <definedName name="lan" localSheetId="5" hidden="1">{#N/A,#N/A,TRUE,"BT M200 da 10x20"}</definedName>
    <definedName name="lan" localSheetId="1" hidden="1">{#N/A,#N/A,TRUE,"BT M200 da 10x20"}</definedName>
    <definedName name="lan" localSheetId="7" hidden="1">{#N/A,#N/A,TRUE,"BT M200 da 10x20"}</definedName>
    <definedName name="lan" localSheetId="3" hidden="1">{#N/A,#N/A,TRUE,"BT M200 da 10x20"}</definedName>
    <definedName name="lan" localSheetId="4" hidden="1">{#N/A,#N/A,TRUE,"BT M200 da 10x20"}</definedName>
    <definedName name="lan" hidden="1">{#N/A,#N/A,TRUE,"BT M200 da 10x20"}</definedName>
    <definedName name="lan_1" hidden="1">{#N/A,#N/A,TRUE,"BT M200 da 10x20"}</definedName>
    <definedName name="lan_2" hidden="1">{#N/A,#N/A,TRUE,"BT M200 da 10x20"}</definedName>
    <definedName name="langson" localSheetId="0" hidden="1">{"'Sheet1'!$L$16"}</definedName>
    <definedName name="langson" localSheetId="7" hidden="1">{"'Sheet1'!$L$16"}</definedName>
    <definedName name="langson" localSheetId="3" hidden="1">{"'Sheet1'!$L$16"}</definedName>
    <definedName name="langson" hidden="1">{"'Sheet1'!$L$16"}</definedName>
    <definedName name="langson_1" hidden="1">{"'Sheet1'!$L$16"}</definedName>
    <definedName name="langson_2" hidden="1">{"'Sheet1'!$L$16"}</definedName>
    <definedName name="Long" localSheetId="0" hidden="1">{"'Sheet1'!$L$16"}</definedName>
    <definedName name="Long" localSheetId="7" hidden="1">{"'Sheet1'!$L$16"}</definedName>
    <definedName name="Long" localSheetId="3" hidden="1">{"'Sheet1'!$L$16"}</definedName>
    <definedName name="Long" hidden="1">{"'Sheet1'!$L$16"}</definedName>
    <definedName name="Long_1" hidden="1">{"'Sheet1'!$L$16"}</definedName>
    <definedName name="Long_2" hidden="1">{"'Sheet1'!$L$16"}</definedName>
    <definedName name="luan" localSheetId="0" hidden="1">{"'Sheet1'!$L$16"}</definedName>
    <definedName name="luan" localSheetId="7" hidden="1">{"'Sheet1'!$L$16"}</definedName>
    <definedName name="luan" localSheetId="3" hidden="1">{"'Sheet1'!$L$16"}</definedName>
    <definedName name="luan" hidden="1">{"'Sheet1'!$L$16"}</definedName>
    <definedName name="luan_1" hidden="1">{"'Sheet1'!$L$16"}</definedName>
    <definedName name="luan_2" hidden="1">{"'Sheet1'!$L$16"}</definedName>
    <definedName name="luong" localSheetId="0" hidden="1">{"'Sheet1'!$L$16"}</definedName>
    <definedName name="luong" localSheetId="7" hidden="1">{"'Sheet1'!$L$16"}</definedName>
    <definedName name="luong" localSheetId="3" hidden="1">{"'Sheet1'!$L$16"}</definedName>
    <definedName name="luong" hidden="1">{"'Sheet1'!$L$16"}</definedName>
    <definedName name="luong_1" hidden="1">{"'Sheet1'!$L$16"}</definedName>
    <definedName name="luong_2" hidden="1">{"'Sheet1'!$L$16"}</definedName>
    <definedName name="M10." localSheetId="0" hidden="1">{"'Sheet1'!$L$16"}</definedName>
    <definedName name="M10." localSheetId="7" hidden="1">{"'Sheet1'!$L$16"}</definedName>
    <definedName name="M10." localSheetId="3" hidden="1">{"'Sheet1'!$L$16"}</definedName>
    <definedName name="M10." hidden="1">{"'Sheet1'!$L$16"}</definedName>
    <definedName name="M10._1" hidden="1">{"'Sheet1'!$L$16"}</definedName>
    <definedName name="M10._2" hidden="1">{"'Sheet1'!$L$16"}</definedName>
    <definedName name="MAU" localSheetId="0" hidden="1">{"'Sheet1'!$L$16"}</definedName>
    <definedName name="MAU" localSheetId="7" hidden="1">{"'Sheet1'!$L$16"}</definedName>
    <definedName name="MAU" localSheetId="3" hidden="1">{"'Sheet1'!$L$16"}</definedName>
    <definedName name="MAU" hidden="1">{"'Sheet1'!$L$16"}</definedName>
    <definedName name="MAU_1" hidden="1">{"'Sheet1'!$L$16"}</definedName>
    <definedName name="MAU_2" hidden="1">{"'Sheet1'!$L$16"}</definedName>
    <definedName name="mo" localSheetId="7" hidden="1">{"'Sheet1'!$L$16"}</definedName>
    <definedName name="mo" localSheetId="3" hidden="1">{"'Sheet1'!$L$16"}</definedName>
    <definedName name="mo" hidden="1">{"'Sheet1'!$L$16"}</definedName>
    <definedName name="mo_1" hidden="1">{"'Sheet1'!$L$16"}</definedName>
    <definedName name="mo_2" hidden="1">{"'Sheet1'!$L$16"}</definedName>
    <definedName name="moi" localSheetId="0" hidden="1">{"'Sheet1'!$L$16"}</definedName>
    <definedName name="moi" localSheetId="7" hidden="1">{"'Sheet1'!$L$16"}</definedName>
    <definedName name="moi" localSheetId="3" hidden="1">{"'Sheet1'!$L$16"}</definedName>
    <definedName name="moi" hidden="1">{"'Sheet1'!$L$16"}</definedName>
    <definedName name="moi_1" hidden="1">{"'Sheet1'!$L$16"}</definedName>
    <definedName name="moi_2" hidden="1">{"'Sheet1'!$L$16"}</definedName>
    <definedName name="n" localSheetId="0" hidden="1">#REF!</definedName>
    <definedName name="n" localSheetId="1" hidden="1">#REF!</definedName>
    <definedName name="n" localSheetId="7" hidden="1">#REF!</definedName>
    <definedName name="n" localSheetId="3" hidden="1">#REF!</definedName>
    <definedName name="n" hidden="1">#REF!</definedName>
    <definedName name="nam" localSheetId="7" hidden="1">{"'Sheet1'!$L$16"}</definedName>
    <definedName name="nam" localSheetId="3" hidden="1">{"'Sheet1'!$L$16"}</definedName>
    <definedName name="nam" hidden="1">{"'Sheet1'!$L$16"}</definedName>
    <definedName name="nam_1" hidden="1">{"'Sheet1'!$L$16"}</definedName>
    <definedName name="nam_2" hidden="1">{"'Sheet1'!$L$16"}</definedName>
    <definedName name="Ne" localSheetId="7" hidden="1">{"'Sheet1'!$L$16"}</definedName>
    <definedName name="Ne" localSheetId="3" hidden="1">{"'Sheet1'!$L$16"}</definedName>
    <definedName name="Ne" hidden="1">{"'Sheet1'!$L$16"}</definedName>
    <definedName name="Ne_1" hidden="1">{"'Sheet1'!$L$16"}</definedName>
    <definedName name="Ne_2"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W" localSheetId="0" hidden="1">{#N/A,#N/A,FALSE,"Chi tiÆt"}</definedName>
    <definedName name="NEW" localSheetId="7" hidden="1">{#N/A,#N/A,FALSE,"Chi tiÆt"}</definedName>
    <definedName name="NEW" localSheetId="3" hidden="1">{#N/A,#N/A,FALSE,"Chi tiÆt"}</definedName>
    <definedName name="NEW" hidden="1">{#N/A,#N/A,FALSE,"Chi tiÆt"}</definedName>
    <definedName name="NEW_1" hidden="1">{#N/A,#N/A,FALSE,"Chi tiÆt"}</definedName>
    <definedName name="NEW_2" hidden="1">{#N/A,#N/A,FALSE,"Chi tiÆt"}</definedName>
    <definedName name="NEWNAME" localSheetId="0" hidden="1">{#N/A,#N/A,FALSE,"CCTV"}</definedName>
    <definedName name="NEWNAME" localSheetId="7" hidden="1">{#N/A,#N/A,FALSE,"CCTV"}</definedName>
    <definedName name="NEWNAME" localSheetId="3" hidden="1">{#N/A,#N/A,FALSE,"CCTV"}</definedName>
    <definedName name="NEWNAME" hidden="1">{#N/A,#N/A,FALSE,"CCTV"}</definedName>
    <definedName name="NEWNAME_1" hidden="1">{#N/A,#N/A,FALSE,"CCTV"}</definedName>
    <definedName name="NEWNAME_2" hidden="1">{#N/A,#N/A,FALSE,"CCTV"}</definedName>
    <definedName name="ngu" localSheetId="7" hidden="1">{"'Sheet1'!$L$16"}</definedName>
    <definedName name="ngu" localSheetId="3" hidden="1">{"'Sheet1'!$L$16"}</definedName>
    <definedName name="ngu" hidden="1">{"'Sheet1'!$L$16"}</definedName>
    <definedName name="ngu_1" hidden="1">{"'Sheet1'!$L$16"}</definedName>
    <definedName name="ngu_2" hidden="1">{"'Sheet1'!$L$16"}</definedName>
    <definedName name="nharac" localSheetId="0" hidden="1">{#N/A,#N/A,FALSE,"Chi tiÆt"}</definedName>
    <definedName name="nharac" localSheetId="7" hidden="1">{#N/A,#N/A,FALSE,"Chi tiÆt"}</definedName>
    <definedName name="nharac" localSheetId="3" hidden="1">{#N/A,#N/A,FALSE,"Chi tiÆt"}</definedName>
    <definedName name="nharac" hidden="1">{#N/A,#N/A,FALSE,"Chi tiÆt"}</definedName>
    <definedName name="nharac_1" hidden="1">{#N/A,#N/A,FALSE,"Chi tiÆt"}</definedName>
    <definedName name="nharac_2" hidden="1">{#N/A,#N/A,FALSE,"Chi tiÆt"}</definedName>
    <definedName name="nhug" localSheetId="7" hidden="1">{"một";"hai";"ba";"bốn";"năm";"sáu";"bảy";"tám";"chín";"mười";"mươi";"mốt";"lăm";"trăm";"nghìn";"triệu";"tỷ";"lẻ";"không trăm";"Bằng chử : "}</definedName>
    <definedName name="nhug" localSheetId="3" hidden="1">{"một";"hai";"ba";"bốn";"năm";"sáu";"bảy";"tám";"chín";"mười";"mươi";"mốt";"lăm";"trăm";"nghìn";"triệu";"tỷ";"lẻ";"không trăm";"Bằng chử : "}</definedName>
    <definedName name="nhug" hidden="1">{"một";"hai";"ba";"bốn";"năm";"sáu";"bảy";"tám";"chín";"mười";"mươi";"mốt";"lăm";"trăm";"nghìn";"triệu";"tỷ";"lẻ";"không trăm";"Bằng chử : "}</definedName>
    <definedName name="nhug_1" hidden="1">{"một";"hai";"ba";"bốn";"năm";"sáu";"bảy";"tám";"chín";"mười";"mươi";"mốt";"lăm";"trăm";"nghìn";"triệu";"tỷ";"lẻ";"không trăm";"Bằng chử : "}</definedName>
    <definedName name="nhug_2" hidden="1">{"một";"hai";"ba";"bốn";"năm";"sáu";"bảy";"tám";"chín";"mười";"mươi";"mốt";"lăm";"trăm";"nghìn";"triệu";"tỷ";"lẻ";"không trăm";"Bằng chử : "}</definedName>
    <definedName name="NHUNG" localSheetId="7" hidden="1">zIsHThong_cGiaVLieu*2+3</definedName>
    <definedName name="NHUNG" localSheetId="3" hidden="1">zIsHThong_cGiaVLieu*2+3</definedName>
    <definedName name="NHUNG" hidden="1">zIsHThong_cGiaVLieu*2+3</definedName>
    <definedName name="nnn" localSheetId="7" hidden="1">{"'Sheet1'!$L$16"}</definedName>
    <definedName name="nnn" localSheetId="3" hidden="1">{"'Sheet1'!$L$16"}</definedName>
    <definedName name="nnn" hidden="1">{"'Sheet1'!$L$16"}</definedName>
    <definedName name="nnn_1" hidden="1">{"'Sheet1'!$L$16"}</definedName>
    <definedName name="nnn_2" hidden="1">{"'Sheet1'!$L$16"}</definedName>
    <definedName name="ntwrt" localSheetId="0" hidden="1">#REF!</definedName>
    <definedName name="ntwrt" localSheetId="1" hidden="1">#REF!</definedName>
    <definedName name="ntwrt" localSheetId="7" hidden="1">#REF!</definedName>
    <definedName name="ntwrt" localSheetId="3" hidden="1">#REF!</definedName>
    <definedName name="ntwrt" hidden="1">#REF!</definedName>
    <definedName name="oa" localSheetId="0" hidden="1">#REF!</definedName>
    <definedName name="oa" localSheetId="1" hidden="1">#REF!</definedName>
    <definedName name="oa" localSheetId="7" hidden="1">#REF!</definedName>
    <definedName name="oa" localSheetId="3" hidden="1">#REF!</definedName>
    <definedName name="oa" hidden="1">#REF!</definedName>
    <definedName name="ONP" localSheetId="0" hidden="1">#REF!</definedName>
    <definedName name="ONP" localSheetId="1" hidden="1">#REF!</definedName>
    <definedName name="ONP" localSheetId="7" hidden="1">#REF!</definedName>
    <definedName name="ONP" localSheetId="3" hidden="1">#REF!</definedName>
    <definedName name="ONP" hidden="1">#REF!</definedName>
    <definedName name="OrderTable" localSheetId="0" hidden="1">#REF!</definedName>
    <definedName name="OrderTable" localSheetId="5" hidden="1">#REF!</definedName>
    <definedName name="OrderTable" localSheetId="1" hidden="1">#REF!</definedName>
    <definedName name="OrderTable" localSheetId="7" hidden="1">#REF!</definedName>
    <definedName name="OrderTable" localSheetId="3" hidden="1">#REF!</definedName>
    <definedName name="OrderTable" localSheetId="4" hidden="1">#REF!</definedName>
    <definedName name="OrderTable" hidden="1">#REF!</definedName>
    <definedName name="PAIII_" localSheetId="0" hidden="1">{"'Sheet1'!$L$16"}</definedName>
    <definedName name="PAIII_" localSheetId="7" hidden="1">{"'Sheet1'!$L$16"}</definedName>
    <definedName name="PAIII_" localSheetId="3" hidden="1">{"'Sheet1'!$L$16"}</definedName>
    <definedName name="PAIII_" hidden="1">{"'Sheet1'!$L$16"}</definedName>
    <definedName name="PAIII__1" hidden="1">{"'Sheet1'!$L$16"}</definedName>
    <definedName name="PAIII__2" hidden="1">{"'Sheet1'!$L$16"}</definedName>
    <definedName name="phai" localSheetId="7" hidden="1">{"'Sheet1'!$L$16"}</definedName>
    <definedName name="phai" localSheetId="3" hidden="1">{"'Sheet1'!$L$16"}</definedName>
    <definedName name="phai" hidden="1">{"'Sheet1'!$L$16"}</definedName>
    <definedName name="phai_1" hidden="1">{"'Sheet1'!$L$16"}</definedName>
    <definedName name="phai_2" hidden="1">{"'Sheet1'!$L$16"}</definedName>
    <definedName name="Pipe" localSheetId="0" hidden="1">{#N/A,#N/A,FALSE,"CCTV"}</definedName>
    <definedName name="Pipe" localSheetId="7" hidden="1">{#N/A,#N/A,FALSE,"CCTV"}</definedName>
    <definedName name="Pipe" localSheetId="3" hidden="1">{#N/A,#N/A,FALSE,"CCTV"}</definedName>
    <definedName name="Pipe" hidden="1">{#N/A,#N/A,FALSE,"CCTV"}</definedName>
    <definedName name="Pipe_1" hidden="1">{#N/A,#N/A,FALSE,"CCTV"}</definedName>
    <definedName name="Pipe_2" hidden="1">{#N/A,#N/A,FALSE,"CCTV"}</definedName>
    <definedName name="PKTN." localSheetId="7" hidden="1">{"'Sheet1'!$L$16"}</definedName>
    <definedName name="PKTN." localSheetId="3" hidden="1">{"'Sheet1'!$L$16"}</definedName>
    <definedName name="PKTN." hidden="1">{"'Sheet1'!$L$16"}</definedName>
    <definedName name="PKTN._1" hidden="1">{"'Sheet1'!$L$16"}</definedName>
    <definedName name="PKTN._2" hidden="1">{"'Sheet1'!$L$16"}</definedName>
    <definedName name="PL" localSheetId="7" hidden="1">{"'Sheet1'!$L$16"}</definedName>
    <definedName name="PL" localSheetId="3" hidden="1">{"'Sheet1'!$L$16"}</definedName>
    <definedName name="PL" hidden="1">{"'Sheet1'!$L$16"}</definedName>
    <definedName name="PL_1" hidden="1">{"'Sheet1'!$L$16"}</definedName>
    <definedName name="PL_2" hidden="1">{"'Sheet1'!$L$16"}</definedName>
    <definedName name="PMS" localSheetId="0" hidden="1">{"'Sheet1'!$L$16"}</definedName>
    <definedName name="PMS" localSheetId="7" hidden="1">{"'Sheet1'!$L$16"}</definedName>
    <definedName name="PMS" localSheetId="3" hidden="1">{"'Sheet1'!$L$16"}</definedName>
    <definedName name="PMS" hidden="1">{"'Sheet1'!$L$16"}</definedName>
    <definedName name="PMS_1" hidden="1">{"'Sheet1'!$L$16"}</definedName>
    <definedName name="PMS_2" hidden="1">{"'Sheet1'!$L$16"}</definedName>
    <definedName name="PPPP" localSheetId="0" hidden="1">{"'Sheet1'!$L$16"}</definedName>
    <definedName name="PPPP" localSheetId="7" hidden="1">{"'Sheet1'!$L$16"}</definedName>
    <definedName name="PPPP" localSheetId="3" hidden="1">{"'Sheet1'!$L$16"}</definedName>
    <definedName name="PPPP" hidden="1">{"'Sheet1'!$L$16"}</definedName>
    <definedName name="PPPP_1" hidden="1">{"'Sheet1'!$L$16"}</definedName>
    <definedName name="PPPP_2" hidden="1">{"'Sheet1'!$L$16"}</definedName>
    <definedName name="_xlnm.Print_Area" localSheetId="2">'Bảng kl kèm NTVL'!$B$1:$R$404</definedName>
    <definedName name="_xlnm.Print_Area" localSheetId="10">'Cable DHKK'!$A$1:$M$72</definedName>
    <definedName name="_xlnm.Print_Area" localSheetId="8">'Cable Nguon'!$A$1:$L$67</definedName>
    <definedName name="_xlnm.Print_Area" localSheetId="6">'Dien giai KL'!$A$1:$K$352</definedName>
    <definedName name="_xlnm.Print_Area" localSheetId="5">'KL TONG HOP'!$A$1:$G$24</definedName>
    <definedName name="_xlnm.Print_Area" localSheetId="1">'PL SOAT XET'!$A$1:$AC$66</definedName>
    <definedName name="_xlnm.Print_Area" localSheetId="7">'TK THÉP SÀN'!$A$1:$P$54</definedName>
    <definedName name="_xlnm.Print_Area" localSheetId="3">'TK VAT TU Hoa Sen'!$A$3:$J$235</definedName>
    <definedName name="_xlnm.Print_Area" localSheetId="9">Trunking.!$A$1:$J$45</definedName>
    <definedName name="_xlnm.Print_Titles" localSheetId="6">'Dien giai KL'!$5:$6</definedName>
    <definedName name="_xlnm.Print_Titles" localSheetId="1">'PL SOAT XET'!$5:$6</definedName>
    <definedName name="ProdForm" localSheetId="0" hidden="1">#REF!</definedName>
    <definedName name="ProdForm" localSheetId="5" hidden="1">#REF!</definedName>
    <definedName name="ProdForm" localSheetId="1" hidden="1">#REF!</definedName>
    <definedName name="ProdForm" localSheetId="7" hidden="1">#REF!</definedName>
    <definedName name="ProdForm" localSheetId="3" hidden="1">#REF!</definedName>
    <definedName name="ProdForm" localSheetId="4" hidden="1">#REF!</definedName>
    <definedName name="ProdForm" hidden="1">#REF!</definedName>
    <definedName name="Product" localSheetId="0" hidden="1">#REF!</definedName>
    <definedName name="Product" localSheetId="5" hidden="1">#REF!</definedName>
    <definedName name="Product" localSheetId="1" hidden="1">#REF!</definedName>
    <definedName name="Product" localSheetId="7" hidden="1">#REF!</definedName>
    <definedName name="Product" localSheetId="3" hidden="1">#REF!</definedName>
    <definedName name="Product" localSheetId="4" hidden="1">#REF!</definedName>
    <definedName name="Product" hidden="1">#REF!</definedName>
    <definedName name="qd10_gt" localSheetId="0" hidden="1">{"'Sheet1'!$L$16"}</definedName>
    <definedName name="qd10_gt" localSheetId="7" hidden="1">{"'Sheet1'!$L$16"}</definedName>
    <definedName name="qd10_gt" localSheetId="3" hidden="1">{"'Sheet1'!$L$16"}</definedName>
    <definedName name="qd10_gt" hidden="1">{"'Sheet1'!$L$16"}</definedName>
    <definedName name="qd10_gt_1" hidden="1">{"'Sheet1'!$L$16"}</definedName>
    <definedName name="qd10_gt_2" hidden="1">{"'Sheet1'!$L$16"}</definedName>
    <definedName name="qncjstkdehdwhrud" localSheetId="0" hidden="1">{#N/A,#N/A,TRUE,"1";#N/A,#N/A,TRUE,"2";#N/A,#N/A,TRUE,"3";#N/A,#N/A,TRUE,"4";#N/A,#N/A,TRUE,"5";#N/A,#N/A,TRUE,"6";#N/A,#N/A,TRUE,"7"}</definedName>
    <definedName name="qncjstkdehdwhrud" localSheetId="7" hidden="1">{#N/A,#N/A,TRUE,"1";#N/A,#N/A,TRUE,"2";#N/A,#N/A,TRUE,"3";#N/A,#N/A,TRUE,"4";#N/A,#N/A,TRUE,"5";#N/A,#N/A,TRUE,"6";#N/A,#N/A,TRUE,"7"}</definedName>
    <definedName name="qncjstkdehdwhrud" localSheetId="3" hidden="1">{#N/A,#N/A,TRUE,"1";#N/A,#N/A,TRUE,"2";#N/A,#N/A,TRUE,"3";#N/A,#N/A,TRUE,"4";#N/A,#N/A,TRUE,"5";#N/A,#N/A,TRUE,"6";#N/A,#N/A,TRUE,"7"}</definedName>
    <definedName name="qncjstkdehdwhrud" hidden="1">{#N/A,#N/A,TRUE,"1";#N/A,#N/A,TRUE,"2";#N/A,#N/A,TRUE,"3";#N/A,#N/A,TRUE,"4";#N/A,#N/A,TRUE,"5";#N/A,#N/A,TRUE,"6";#N/A,#N/A,TRUE,"7"}</definedName>
    <definedName name="qncjstkdehdwhrud_1" hidden="1">{#N/A,#N/A,TRUE,"1";#N/A,#N/A,TRUE,"2";#N/A,#N/A,TRUE,"3";#N/A,#N/A,TRUE,"4";#N/A,#N/A,TRUE,"5";#N/A,#N/A,TRUE,"6";#N/A,#N/A,TRUE,"7"}</definedName>
    <definedName name="qncjstkdehdwhrud_2" hidden="1">{#N/A,#N/A,TRUE,"1";#N/A,#N/A,TRUE,"2";#N/A,#N/A,TRUE,"3";#N/A,#N/A,TRUE,"4";#N/A,#N/A,TRUE,"5";#N/A,#N/A,TRUE,"6";#N/A,#N/A,TRUE,"7"}</definedName>
    <definedName name="QQ" localSheetId="7" hidden="1">{"'Sheet1'!$L$16"}</definedName>
    <definedName name="QQ" localSheetId="3" hidden="1">{"'Sheet1'!$L$16"}</definedName>
    <definedName name="QQ" hidden="1">{"'Sheet1'!$L$16"}</definedName>
    <definedName name="QQ_1" hidden="1">{"'Sheet1'!$L$16"}</definedName>
    <definedName name="QQ_2" hidden="1">{"'Sheet1'!$L$16"}</definedName>
    <definedName name="qqqq" localSheetId="7" hidden="1">{"'Sheet1'!$L$16"}</definedName>
    <definedName name="qqqq" localSheetId="3" hidden="1">{"'Sheet1'!$L$16"}</definedName>
    <definedName name="qqqq" hidden="1">{"'Sheet1'!$L$16"}</definedName>
    <definedName name="qqqq_1" hidden="1">{"'Sheet1'!$L$16"}</definedName>
    <definedName name="qqqq_2" hidden="1">{"'Sheet1'!$L$16"}</definedName>
    <definedName name="qqqqq" localSheetId="7" hidden="1">{"'Sheet1'!$L$16"}</definedName>
    <definedName name="qqqqq" localSheetId="3" hidden="1">{"'Sheet1'!$L$16"}</definedName>
    <definedName name="qqqqq" hidden="1">{"'Sheet1'!$L$16"}</definedName>
    <definedName name="qqqqq_1" hidden="1">{"'Sheet1'!$L$16"}</definedName>
    <definedName name="qqqqq_2" hidden="1">{"'Sheet1'!$L$16"}</definedName>
    <definedName name="qqqqqqq" localSheetId="7" hidden="1">{"'Sheet1'!$L$16"}</definedName>
    <definedName name="qqqqqqq" localSheetId="3" hidden="1">{"'Sheet1'!$L$16"}</definedName>
    <definedName name="qqqqqqq" hidden="1">{"'Sheet1'!$L$16"}</definedName>
    <definedName name="qqqqqqq_1" hidden="1">{"'Sheet1'!$L$16"}</definedName>
    <definedName name="qqqqqqq_2" hidden="1">{"'Sheet1'!$L$16"}</definedName>
    <definedName name="qwwqe" localSheetId="0" hidden="1">{"'Sheet1'!$L$16"}</definedName>
    <definedName name="qwwqe" localSheetId="7" hidden="1">{"'Sheet1'!$L$16"}</definedName>
    <definedName name="qwwqe" localSheetId="3" hidden="1">{"'Sheet1'!$L$16"}</definedName>
    <definedName name="qwwqe" hidden="1">{"'Sheet1'!$L$16"}</definedName>
    <definedName name="qwwqe_1" hidden="1">{"'Sheet1'!$L$16"}</definedName>
    <definedName name="qwwqe_2" hidden="1">{"'Sheet1'!$L$16"}</definedName>
    <definedName name="Ranhxay" localSheetId="7" hidden="1">{"'Sheet1'!$L$16"}</definedName>
    <definedName name="Ranhxay" localSheetId="3" hidden="1">{"'Sheet1'!$L$16"}</definedName>
    <definedName name="Ranhxay" hidden="1">{"'Sheet1'!$L$16"}</definedName>
    <definedName name="Ranhxay_1" hidden="1">{"'Sheet1'!$L$16"}</definedName>
    <definedName name="Ranhxay_2" hidden="1">{"'Sheet1'!$L$16"}</definedName>
    <definedName name="RCArea" localSheetId="0" hidden="1">#REF!</definedName>
    <definedName name="RCArea" localSheetId="5" hidden="1">#REF!</definedName>
    <definedName name="RCArea" localSheetId="1" hidden="1">#REF!</definedName>
    <definedName name="RCArea" localSheetId="7" hidden="1">#REF!</definedName>
    <definedName name="RCArea" localSheetId="3" hidden="1">#REF!</definedName>
    <definedName name="RCArea" localSheetId="4" hidden="1">#REF!</definedName>
    <definedName name="RCArea" hidden="1">#REF!</definedName>
    <definedName name="reûtht" localSheetId="7" hidden="1">{"'Sheet1'!$L$16"}</definedName>
    <definedName name="reûtht" localSheetId="3" hidden="1">{"'Sheet1'!$L$16"}</definedName>
    <definedName name="reûtht" hidden="1">{"'Sheet1'!$L$16"}</definedName>
    <definedName name="reûtht_1" hidden="1">{"'Sheet1'!$L$16"}</definedName>
    <definedName name="reûtht_2" hidden="1">{"'Sheet1'!$L$16"}</definedName>
    <definedName name="rewgwegn" localSheetId="0" hidden="1">{"'Sheet1'!$L$16"}</definedName>
    <definedName name="rewgwegn" localSheetId="7" hidden="1">{"'Sheet1'!$L$16"}</definedName>
    <definedName name="rewgwegn" localSheetId="3" hidden="1">{"'Sheet1'!$L$16"}</definedName>
    <definedName name="rewgwegn" hidden="1">{"'Sheet1'!$L$16"}</definedName>
    <definedName name="rewgwegn_1" hidden="1">{"'Sheet1'!$L$16"}</definedName>
    <definedName name="rewgwegn_2" hidden="1">{"'Sheet1'!$L$16"}</definedName>
    <definedName name="rgeger" localSheetId="0" hidden="1">#REF!</definedName>
    <definedName name="rgeger" localSheetId="1" hidden="1">#REF!</definedName>
    <definedName name="rgeger" localSheetId="7" hidden="1">#REF!</definedName>
    <definedName name="rgeger" localSheetId="3" hidden="1">#REF!</definedName>
    <definedName name="rgeger" hidden="1">#REF!</definedName>
    <definedName name="rger" localSheetId="0" hidden="1">#REF!</definedName>
    <definedName name="rger" localSheetId="1" hidden="1">#REF!</definedName>
    <definedName name="rger" localSheetId="7" hidden="1">#REF!</definedName>
    <definedName name="rger" localSheetId="3" hidden="1">#REF!</definedName>
    <definedName name="rger" hidden="1">#REF!</definedName>
    <definedName name="rgwerg" localSheetId="0" hidden="1">{#N/A,#N/A,FALSE,"Chi tiÆt"}</definedName>
    <definedName name="rgwerg" localSheetId="7" hidden="1">{#N/A,#N/A,FALSE,"Chi tiÆt"}</definedName>
    <definedName name="rgwerg" localSheetId="3" hidden="1">{#N/A,#N/A,FALSE,"Chi tiÆt"}</definedName>
    <definedName name="rgwerg" hidden="1">{#N/A,#N/A,FALSE,"Chi tiÆt"}</definedName>
    <definedName name="rgwerg_1" hidden="1">{#N/A,#N/A,FALSE,"Chi tiÆt"}</definedName>
    <definedName name="rgwerg_2" hidden="1">{#N/A,#N/A,FALSE,"Chi tiÆt"}</definedName>
    <definedName name="RHODIA" localSheetId="0" hidden="1">{"'DocTypeCode'!$A$142:$A$226"}</definedName>
    <definedName name="RHODIA" localSheetId="7" hidden="1">{"'DocTypeCode'!$A$142:$A$226"}</definedName>
    <definedName name="RHODIA" localSheetId="3" hidden="1">{"'DocTypeCode'!$A$142:$A$226"}</definedName>
    <definedName name="RHODIA" hidden="1">{"'DocTypeCode'!$A$142:$A$226"}</definedName>
    <definedName name="RHODIA_1" hidden="1">{"'DocTypeCode'!$A$142:$A$226"}</definedName>
    <definedName name="RHODIA_2" hidden="1">{"'DocTypeCode'!$A$142:$A$226"}</definedName>
    <definedName name="row" localSheetId="0" hidden="1">#REF!</definedName>
    <definedName name="row" localSheetId="1" hidden="1">#REF!</definedName>
    <definedName name="row" localSheetId="7" hidden="1">#REF!</definedName>
    <definedName name="row" localSheetId="3" hidden="1">#REF!</definedName>
    <definedName name="row" hidden="1">#REF!</definedName>
    <definedName name="rrr" localSheetId="0" hidden="1">{"'Sheet1'!$L$16"}</definedName>
    <definedName name="rrr" localSheetId="7" hidden="1">{"'Sheet1'!$L$16"}</definedName>
    <definedName name="rrr" localSheetId="3" hidden="1">{"'Sheet1'!$L$16"}</definedName>
    <definedName name="rrr" hidden="1">{"'Sheet1'!$L$16"}</definedName>
    <definedName name="rrr_1" hidden="1">{"'Sheet1'!$L$16"}</definedName>
    <definedName name="rrr_2" hidden="1">{"'Sheet1'!$L$16"}</definedName>
    <definedName name="rtyrtyt" localSheetId="0" hidden="1">#REF!</definedName>
    <definedName name="rtyrtyt" localSheetId="1" hidden="1">#REF!</definedName>
    <definedName name="rtyrtyt" localSheetId="7" hidden="1">#REF!</definedName>
    <definedName name="rtyrtyt" localSheetId="3" hidden="1">#REF!</definedName>
    <definedName name="rtyrtyt" hidden="1">#REF!</definedName>
    <definedName name="rtytry" localSheetId="0" hidden="1">#REF!</definedName>
    <definedName name="rtytry" localSheetId="1" hidden="1">#REF!</definedName>
    <definedName name="rtytry" localSheetId="7" hidden="1">#REF!</definedName>
    <definedName name="rtytry" localSheetId="3" hidden="1">#REF!</definedName>
    <definedName name="rtytry" hidden="1">#REF!</definedName>
    <definedName name="sagawa" localSheetId="0" hidden="1">#REF!</definedName>
    <definedName name="sagawa" localSheetId="1" hidden="1">#REF!</definedName>
    <definedName name="sagawa" localSheetId="7" hidden="1">#REF!</definedName>
    <definedName name="sagawa" localSheetId="3" hidden="1">#REF!</definedName>
    <definedName name="sagawa" hidden="1">#REF!</definedName>
    <definedName name="sCol" localSheetId="7" hidden="1">zIsHThong_cGiaVLieu*2+3</definedName>
    <definedName name="sCol" localSheetId="3" hidden="1">zIsHThong_cGiaVLieu*2+3</definedName>
    <definedName name="sCol" hidden="1">zIsHThong_cGiaVLieu*2+3</definedName>
    <definedName name="SD" localSheetId="0" hidden="1">{"'ELEC'!$A$2:$H$216","'ELEC'!$C$2:$D$2"}</definedName>
    <definedName name="SD" localSheetId="7" hidden="1">{"'ELEC'!$A$2:$H$216","'ELEC'!$C$2:$D$2"}</definedName>
    <definedName name="SD" localSheetId="3" hidden="1">{"'ELEC'!$A$2:$H$216","'ELEC'!$C$2:$D$2"}</definedName>
    <definedName name="SD" hidden="1">{"'ELEC'!$A$2:$H$216","'ELEC'!$C$2:$D$2"}</definedName>
    <definedName name="SD_1" hidden="1">{"'ELEC'!$A$2:$H$216","'ELEC'!$C$2:$D$2"}</definedName>
    <definedName name="SD_2" hidden="1">{"'ELEC'!$A$2:$H$216","'ELEC'!$C$2:$D$2"}</definedName>
    <definedName name="sdd" localSheetId="0" hidden="1">{"'Sheet1'!$L$16"}</definedName>
    <definedName name="sdd" localSheetId="7" hidden="1">{"'Sheet1'!$L$16"}</definedName>
    <definedName name="sdd" localSheetId="3" hidden="1">{"'Sheet1'!$L$16"}</definedName>
    <definedName name="sdd" hidden="1">{"'Sheet1'!$L$16"}</definedName>
    <definedName name="sdd_1" hidden="1">{"'Sheet1'!$L$16"}</definedName>
    <definedName name="sdd_2" hidden="1">{"'Sheet1'!$L$16"}</definedName>
    <definedName name="sdf" localSheetId="0" hidden="1">{"'Sheet1'!$L$16"}</definedName>
    <definedName name="sdf" localSheetId="7" hidden="1">{"'Sheet1'!$L$16"}</definedName>
    <definedName name="sdf" localSheetId="3" hidden="1">{"'Sheet1'!$L$16"}</definedName>
    <definedName name="sdf" hidden="1">{"'Sheet1'!$L$16"}</definedName>
    <definedName name="sdf_1" hidden="1">{"'Sheet1'!$L$16"}</definedName>
    <definedName name="sdf_2" hidden="1">{"'Sheet1'!$L$16"}</definedName>
    <definedName name="sdfda" localSheetId="0" hidden="1">{"'Sheet1'!$L$16"}</definedName>
    <definedName name="sdfda" localSheetId="7" hidden="1">{"'Sheet1'!$L$16"}</definedName>
    <definedName name="sdfda" localSheetId="3" hidden="1">{"'Sheet1'!$L$16"}</definedName>
    <definedName name="sdfda" hidden="1">{"'Sheet1'!$L$16"}</definedName>
    <definedName name="sdfda_1" hidden="1">{"'Sheet1'!$L$16"}</definedName>
    <definedName name="sdfda_2" hidden="1">{"'Sheet1'!$L$16"}</definedName>
    <definedName name="sdfhsf" localSheetId="0" hidden="1">#REF!</definedName>
    <definedName name="sdfhsf" localSheetId="1" hidden="1">#REF!</definedName>
    <definedName name="sdfhsf" localSheetId="7" hidden="1">#REF!</definedName>
    <definedName name="sdfhsf" localSheetId="3" hidden="1">#REF!</definedName>
    <definedName name="sdfhsf" hidden="1">#REF!</definedName>
    <definedName name="sencount" hidden="1">1</definedName>
    <definedName name="sfd" localSheetId="0" hidden="1">#REF!</definedName>
    <definedName name="sfd" localSheetId="1" hidden="1">#REF!</definedName>
    <definedName name="sfd" localSheetId="7" hidden="1">#REF!</definedName>
    <definedName name="sfd" localSheetId="3" hidden="1">#REF!</definedName>
    <definedName name="sfd" hidden="1">#REF!</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gnl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sdsfdsf" localSheetId="5" hidden="1">#REF!</definedName>
    <definedName name="sfdsdsfdsf" localSheetId="1" hidden="1">#REF!</definedName>
    <definedName name="sfdsdsfdsf" localSheetId="7" hidden="1">#REF!</definedName>
    <definedName name="sfdsdsfdsf" localSheetId="3" hidden="1">#REF!</definedName>
    <definedName name="sfdsdsfdsf" localSheetId="4" hidden="1">#REF!</definedName>
    <definedName name="sfdsdsfdsf" hidden="1">#REF!</definedName>
    <definedName name="sgasgreg" localSheetId="0" hidden="1">#REF!</definedName>
    <definedName name="sgasgreg" localSheetId="1" hidden="1">#REF!</definedName>
    <definedName name="sgasgreg" localSheetId="7" hidden="1">#REF!</definedName>
    <definedName name="sgasgreg" localSheetId="3" hidden="1">#REF!</definedName>
    <definedName name="sgasgreg" hidden="1">#REF!</definedName>
    <definedName name="SGG" localSheetId="0" hidden="1">{"'Sheet1'!$L$16"}</definedName>
    <definedName name="SGG" localSheetId="7" hidden="1">{"'Sheet1'!$L$16"}</definedName>
    <definedName name="SGG" localSheetId="3" hidden="1">{"'Sheet1'!$L$16"}</definedName>
    <definedName name="SGG" hidden="1">{"'Sheet1'!$L$16"}</definedName>
    <definedName name="SGG_1" hidden="1">{"'Sheet1'!$L$16"}</definedName>
    <definedName name="SGG_2" hidden="1">{"'Sheet1'!$L$16"}</definedName>
    <definedName name="sheet2" localSheetId="7" hidden="1">{"'Sheet1'!$L$16"}</definedName>
    <definedName name="sheet2" localSheetId="3" hidden="1">{"'Sheet1'!$L$16"}</definedName>
    <definedName name="sheet2" hidden="1">{"'Sheet1'!$L$16"}</definedName>
    <definedName name="sheet2_1" hidden="1">{"'Sheet1'!$L$16"}</definedName>
    <definedName name="sheet2_2" hidden="1">{"'Sheet1'!$L$16"}</definedName>
    <definedName name="sHsVlNcCm" localSheetId="1" hidden="1">VALUE(IF(LEFT(OFFSET([0]!ADAY,0,-4),1)="A",DTHU,IF(LEFT(OFFSET([0]!ADAY,0,-4),1)="B",dTHKP_HsTtpk,[0]!dTHKP_HsTnct)))</definedName>
    <definedName name="sHsVlNcCm" localSheetId="7" hidden="1">VALUE(IF(LEFT(OFFSET([0]!ADAY,0,-4),1)="A",DTHU,IF(LEFT(OFFSET([0]!ADAY,0,-4),1)="B",dTHKP_HsTtpk,[0]!dTHKP_HsTnct)))</definedName>
    <definedName name="sHsVlNcCm" localSheetId="3" hidden="1">VALUE(IF(LEFT(OFFSET('TK VAT TU Hoa Sen'!ADAY,0,-4),1)="A",'TK VAT TU Hoa Sen'!DTHU,IF(LEFT(OFFSET('TK VAT TU Hoa Sen'!ADAY,0,-4),1)="B",dTHKP_HsTtpk,[0]!dTHKP_HsTnct)))</definedName>
    <definedName name="sHsVlNcCm" hidden="1">VALUE(IF(LEFT(OFFSET([0]!ADAY,0,-4),1)="A",DTHU,IF(LEFT(OFFSET([0]!ADAY,0,-4),1)="B",dTHKP_HsTtpk,[0]!dTHKP_HsTnct)))</definedName>
    <definedName name="sMh" localSheetId="1" hidden="1">IF(LEFT(OFFSET([0]!ADAY,0,-6),1)="1",[0]!dVTu_TtGg,IF(LEFT(OFFSET([0]!ADAY,0,-6),1)="2",[0]!dNCong_TtTb,'PL SOAT XET'!dCuocVC_Bachang))</definedName>
    <definedName name="sMh" localSheetId="7" hidden="1">IF(LEFT(OFFSET([0]!ADAY,0,-6),1)="1",[0]!dVTu_TtGg,IF(LEFT(OFFSET([0]!ADAY,0,-6),1)="2",[0]!dNCong_TtTb,'TK THÉP SÀN'!dCuocVC_Bachang))</definedName>
    <definedName name="sMh" localSheetId="3" hidden="1">IF(LEFT(OFFSET('TK VAT TU Hoa Sen'!ADAY,0,-6),1)="1",[0]!dVTu_TtGg,IF(LEFT(OFFSET('TK VAT TU Hoa Sen'!ADAY,0,-6),1)="2",[0]!dNCong_TtTb,'TK VAT TU Hoa Sen'!dCuocVC_Bachang))</definedName>
    <definedName name="sMh" hidden="1">IF(LEFT(OFFSET([0]!ADAY,0,-6),1)="1",[0]!dVTu_TtGg,IF(LEFT(OFFSET([0]!ADAY,0,-6),1)="2",[0]!dNCong_TtTb,[0]!dCuocVC_Bachang))</definedName>
    <definedName name="sName" localSheetId="1" hidden="1">IF(LEFT(OFFSET([0]!ADAY,0,-6),1)="1",[0]!dVTu_TtGg,IF(LEFT(OFFSET([0]!ADAY,0,-6),1)="2",[0]!dNCong_TtTb,'PL SOAT XET'!dCuocVC_Bachang))</definedName>
    <definedName name="sName" localSheetId="7" hidden="1">IF(LEFT(OFFSET([0]!ADAY,0,-6),1)="1",[0]!dVTu_TtGg,IF(LEFT(OFFSET([0]!ADAY,0,-6),1)="2",[0]!dNCong_TtTb,'TK THÉP SÀN'!dCuocVC_Bachang))</definedName>
    <definedName name="sName" localSheetId="3" hidden="1">IF(LEFT(OFFSET('TK VAT TU Hoa Sen'!ADAY,0,-6),1)="1",[0]!dVTu_TtGg,IF(LEFT(OFFSET('TK VAT TU Hoa Sen'!ADAY,0,-6),1)="2",[0]!dNCong_TtTb,'TK VAT TU Hoa Sen'!dCuocVC_Bachang))</definedName>
    <definedName name="sName" hidden="1">IF(LEFT(OFFSET([0]!ADAY,0,-6),1)="1",[0]!dVTu_TtGg,IF(LEFT(OFFSET([0]!ADAY,0,-6),1)="2",[0]!dNCong_TtTb,dCuocVC_Bachang))</definedName>
    <definedName name="Sosanh2" localSheetId="7" hidden="1">{"'Sheet1'!$L$16"}</definedName>
    <definedName name="Sosanh2" localSheetId="3" hidden="1">{"'Sheet1'!$L$16"}</definedName>
    <definedName name="Sosanh2" hidden="1">{"'Sheet1'!$L$16"}</definedName>
    <definedName name="Sosanh2_1" hidden="1">{"'Sheet1'!$L$16"}</definedName>
    <definedName name="Sosanh2_2" hidden="1">{"'Sheet1'!$L$16"}</definedName>
    <definedName name="SpecialPrice" localSheetId="0" hidden="1">#REF!</definedName>
    <definedName name="SpecialPrice" localSheetId="5" hidden="1">#REF!</definedName>
    <definedName name="SpecialPrice" localSheetId="1" hidden="1">#REF!</definedName>
    <definedName name="SpecialPrice" localSheetId="7" hidden="1">#REF!</definedName>
    <definedName name="SpecialPrice" localSheetId="3" hidden="1">#REF!</definedName>
    <definedName name="SpecialPrice" localSheetId="4" hidden="1">#REF!</definedName>
    <definedName name="SpecialPrice" hidden="1">#REF!</definedName>
    <definedName name="sRng" localSheetId="1" hidden="1">IF(LEFT(OFFSET([0]!ADAY,0,-6),1)="1",dVTu_TtGg,IF(LEFT(OFFSET([0]!ADAY,0,-6),1)="2",dNCong_TtTb,[0]!dCuocVC_CuocDB))</definedName>
    <definedName name="sRng" localSheetId="7" hidden="1">IF(LEFT(OFFSET([0]!ADAY,0,-6),1)="1",dVTu_TtGg,IF(LEFT(OFFSET([0]!ADAY,0,-6),1)="2",dNCong_TtTb,[0]!dCuocVC_CuocDB))</definedName>
    <definedName name="sRng" localSheetId="3" hidden="1">IF(LEFT(OFFSET('TK VAT TU Hoa Sen'!ADAY,0,-6),1)="1",dVTu_TtGg,IF(LEFT(OFFSET('TK VAT TU Hoa Sen'!ADAY,0,-6),1)="2",dNCong_TtTb,[0]!dCuocVC_CuocDB))</definedName>
    <definedName name="sRng" hidden="1">IF(LEFT(OFFSET([0]!ADAY,0,-6),1)="1",dVTu_TtGg,IF(LEFT(OFFSET([0]!ADAY,0,-6),1)="2",dNCong_TtTb,[0]!dCuocVC_CuocDB))</definedName>
    <definedName name="tbao" localSheetId="7" hidden="1">{"'Sheet1'!$L$16"}</definedName>
    <definedName name="tbao" localSheetId="3" hidden="1">{"'Sheet1'!$L$16"}</definedName>
    <definedName name="tbao" hidden="1">{"'Sheet1'!$L$16"}</definedName>
    <definedName name="tbao_1" hidden="1">{"'Sheet1'!$L$16"}</definedName>
    <definedName name="tbao_2" hidden="1">{"'Sheet1'!$L$16"}</definedName>
    <definedName name="tbl_ProdInfo" localSheetId="0" hidden="1">#REF!</definedName>
    <definedName name="tbl_ProdInfo" localSheetId="5" hidden="1">#REF!</definedName>
    <definedName name="tbl_ProdInfo" localSheetId="1" hidden="1">#REF!</definedName>
    <definedName name="tbl_ProdInfo" localSheetId="7" hidden="1">#REF!</definedName>
    <definedName name="tbl_ProdInfo" localSheetId="3" hidden="1">#REF!</definedName>
    <definedName name="tbl_ProdInfo" localSheetId="4" hidden="1">#REF!</definedName>
    <definedName name="tbl_ProdInfo" hidden="1">#REF!</definedName>
    <definedName name="TH" localSheetId="0" hidden="1">{#N/A,#N/A,FALSE,"Chi tiÆt"}</definedName>
    <definedName name="TH" localSheetId="7" hidden="1">{#N/A,#N/A,FALSE,"Chi tiÆt"}</definedName>
    <definedName name="TH" localSheetId="3" hidden="1">{#N/A,#N/A,FALSE,"Chi tiÆt"}</definedName>
    <definedName name="TH" hidden="1">{#N/A,#N/A,FALSE,"Chi tiÆt"}</definedName>
    <definedName name="TH_1" hidden="1">{#N/A,#N/A,FALSE,"Chi tiÆt"}</definedName>
    <definedName name="TH_2" hidden="1">{#N/A,#N/A,FALSE,"Chi tiÆt"}</definedName>
    <definedName name="thang" localSheetId="0" hidden="1">{"'Sheet1'!$L$16"}</definedName>
    <definedName name="thang" localSheetId="7" hidden="1">{"'Sheet1'!$L$16"}</definedName>
    <definedName name="thang" localSheetId="3" hidden="1">{"'Sheet1'!$L$16"}</definedName>
    <definedName name="thang" hidden="1">{"'Sheet1'!$L$16"}</definedName>
    <definedName name="thang_1" hidden="1">{"'Sheet1'!$L$16"}</definedName>
    <definedName name="thang_2" hidden="1">{"'Sheet1'!$L$16"}</definedName>
    <definedName name="THANH" localSheetId="0" hidden="1">{"'Sheet1'!$L$16"}</definedName>
    <definedName name="thanh" localSheetId="7" hidden="1">{"'Sheet1'!$L$16"}</definedName>
    <definedName name="thanh" localSheetId="3" hidden="1">{"'Sheet1'!$L$16"}</definedName>
    <definedName name="thanh" hidden="1">{"'Sheet1'!$L$16"}</definedName>
    <definedName name="thanh_1" hidden="1">{"'Sheet1'!$L$16"}</definedName>
    <definedName name="thanh_2" hidden="1">{"'Sheet1'!$L$16"}</definedName>
    <definedName name="THC" localSheetId="0" hidden="1">{"'Sheet1'!$L$16"}</definedName>
    <definedName name="THC" localSheetId="7" hidden="1">{"'Sheet1'!$L$16"}</definedName>
    <definedName name="THC" localSheetId="3" hidden="1">{"'Sheet1'!$L$16"}</definedName>
    <definedName name="THC" hidden="1">{"'Sheet1'!$L$16"}</definedName>
    <definedName name="THC_1" hidden="1">{"'Sheet1'!$L$16"}</definedName>
    <definedName name="THC_2" hidden="1">{"'Sheet1'!$L$16"}</definedName>
    <definedName name="THCP2" localSheetId="7" hidden="1">{"'Sheet1'!$L$16"}</definedName>
    <definedName name="THCP2" localSheetId="3" hidden="1">{"'Sheet1'!$L$16"}</definedName>
    <definedName name="THCP2" hidden="1">{"'Sheet1'!$L$16"}</definedName>
    <definedName name="THCP2_1" hidden="1">{"'Sheet1'!$L$16"}</definedName>
    <definedName name="THCP2_2" hidden="1">{"'Sheet1'!$L$16"}</definedName>
    <definedName name="THCPCTD" localSheetId="7" hidden="1">{"'Sheet1'!$L$16"}</definedName>
    <definedName name="THCPCTD" localSheetId="3" hidden="1">{"'Sheet1'!$L$16"}</definedName>
    <definedName name="THCPCTD" hidden="1">{"'Sheet1'!$L$16"}</definedName>
    <definedName name="THCPCTD_1" hidden="1">{"'Sheet1'!$L$16"}</definedName>
    <definedName name="THCPCTD_2" hidden="1">{"'Sheet1'!$L$16"}</definedName>
    <definedName name="THDT" localSheetId="0" hidden="1">{"'Sheet1'!$L$16"}</definedName>
    <definedName name="THDT" localSheetId="7" hidden="1">{"'Sheet1'!$L$16"}</definedName>
    <definedName name="THDT" localSheetId="3" hidden="1">{"'Sheet1'!$L$16"}</definedName>
    <definedName name="THDT" hidden="1">{"'Sheet1'!$L$16"}</definedName>
    <definedName name="THDT_1" hidden="1">{"'Sheet1'!$L$16"}</definedName>
    <definedName name="THDT_2" hidden="1">{"'Sheet1'!$L$16"}</definedName>
    <definedName name="THHD" localSheetId="7" hidden="1">{"'Sheet1'!$L$16"}</definedName>
    <definedName name="THHD" localSheetId="3" hidden="1">{"'Sheet1'!$L$16"}</definedName>
    <definedName name="THHD" hidden="1">{"'Sheet1'!$L$16"}</definedName>
    <definedName name="THHD_1" hidden="1">{"'Sheet1'!$L$16"}</definedName>
    <definedName name="THHD_2" hidden="1">{"'Sheet1'!$L$16"}</definedName>
    <definedName name="THHVT" localSheetId="7" hidden="1">{"'Sheet1'!$L$16"}</definedName>
    <definedName name="THHVT" localSheetId="3" hidden="1">{"'Sheet1'!$L$16"}</definedName>
    <definedName name="THHVT" hidden="1">{"'Sheet1'!$L$16"}</definedName>
    <definedName name="THHVT_1" hidden="1">{"'Sheet1'!$L$16"}</definedName>
    <definedName name="THHVT_2" hidden="1">{"'Sheet1'!$L$16"}</definedName>
    <definedName name="THLeloi" localSheetId="7" hidden="1">{"'Sheet1'!$L$16"}</definedName>
    <definedName name="THLeloi" localSheetId="3" hidden="1">{"'Sheet1'!$L$16"}</definedName>
    <definedName name="THLeloi" hidden="1">{"'Sheet1'!$L$16"}</definedName>
    <definedName name="THLeloi_1" hidden="1">{"'Sheet1'!$L$16"}</definedName>
    <definedName name="THLeloi_2" hidden="1">{"'Sheet1'!$L$16"}</definedName>
    <definedName name="THNgHue" localSheetId="7" hidden="1">{"'Sheet1'!$L$16"}</definedName>
    <definedName name="THNgHue" localSheetId="3" hidden="1">{"'Sheet1'!$L$16"}</definedName>
    <definedName name="THNgHue" hidden="1">{"'Sheet1'!$L$16"}</definedName>
    <definedName name="THNgHue_1" hidden="1">{"'Sheet1'!$L$16"}</definedName>
    <definedName name="THNgHue_2" hidden="1">{"'Sheet1'!$L$16"}</definedName>
    <definedName name="THNgThHoc" localSheetId="7" hidden="1">{"'Sheet1'!$L$16"}</definedName>
    <definedName name="THNgThHoc" localSheetId="3" hidden="1">{"'Sheet1'!$L$16"}</definedName>
    <definedName name="THNgThHoc" hidden="1">{"'Sheet1'!$L$16"}</definedName>
    <definedName name="THNgThHoc_1" hidden="1">{"'Sheet1'!$L$16"}</definedName>
    <definedName name="THNgThHoc_2" hidden="1">{"'Sheet1'!$L$16"}</definedName>
    <definedName name="THQuiCapChan" localSheetId="7" hidden="1">{"'Sheet1'!$L$16"}</definedName>
    <definedName name="THQuiCapChan" localSheetId="3" hidden="1">{"'Sheet1'!$L$16"}</definedName>
    <definedName name="THQuiCapChan" hidden="1">{"'Sheet1'!$L$16"}</definedName>
    <definedName name="THQuiCapChan_1" hidden="1">{"'Sheet1'!$L$16"}</definedName>
    <definedName name="THQuiCapChan_2" hidden="1">{"'Sheet1'!$L$16"}</definedName>
    <definedName name="thQuicaple" localSheetId="7" hidden="1">{"'Sheet1'!$L$16"}</definedName>
    <definedName name="thQuicaple" localSheetId="3" hidden="1">{"'Sheet1'!$L$16"}</definedName>
    <definedName name="thQuicaple" hidden="1">{"'Sheet1'!$L$16"}</definedName>
    <definedName name="thQuicaple_1" hidden="1">{"'Sheet1'!$L$16"}</definedName>
    <definedName name="thQuicaple_2" hidden="1">{"'Sheet1'!$L$16"}</definedName>
    <definedName name="THTranPhu" localSheetId="7" hidden="1">{"'Sheet1'!$L$16"}</definedName>
    <definedName name="THTranPhu" localSheetId="3" hidden="1">{"'Sheet1'!$L$16"}</definedName>
    <definedName name="THTranPhu" hidden="1">{"'Sheet1'!$L$16"}</definedName>
    <definedName name="THTranPhu_1" hidden="1">{"'Sheet1'!$L$16"}</definedName>
    <definedName name="THTranPhu_2" hidden="1">{"'Sheet1'!$L$16"}</definedName>
    <definedName name="thu" localSheetId="7" hidden="1">{"'Sheet1'!$L$16"}</definedName>
    <definedName name="thu" localSheetId="3" hidden="1">{"'Sheet1'!$L$16"}</definedName>
    <definedName name="thu" hidden="1">{"'Sheet1'!$L$16"}</definedName>
    <definedName name="thu_1" hidden="1">{"'Sheet1'!$L$16"}</definedName>
    <definedName name="thu_2" hidden="1">{"'Sheet1'!$L$16"}</definedName>
    <definedName name="thuy" localSheetId="0" hidden="1">{"'Sheet1'!$L$16"}</definedName>
    <definedName name="thuy" localSheetId="7" hidden="1">{"'Sheet1'!$L$16"}</definedName>
    <definedName name="thuy" localSheetId="3" hidden="1">{"'Sheet1'!$L$16"}</definedName>
    <definedName name="thuy" hidden="1">{"'Sheet1'!$L$16"}</definedName>
    <definedName name="thuy_1" hidden="1">{"'Sheet1'!$L$16"}</definedName>
    <definedName name="thuy_2" hidden="1">{"'Sheet1'!$L$16"}</definedName>
    <definedName name="tirirn" localSheetId="0" hidden="1">{"'Sheet1'!$L$16"}</definedName>
    <definedName name="tirirn" localSheetId="7" hidden="1">{"'Sheet1'!$L$16"}</definedName>
    <definedName name="tirirn" localSheetId="3" hidden="1">{"'Sheet1'!$L$16"}</definedName>
    <definedName name="tirirn" hidden="1">{"'Sheet1'!$L$16"}</definedName>
    <definedName name="tirirn_1" hidden="1">{"'Sheet1'!$L$16"}</definedName>
    <definedName name="tirirn_2" hidden="1">{"'Sheet1'!$L$16"}</definedName>
    <definedName name="tteetertetaetete" localSheetId="2" hidden="1">#REF!</definedName>
    <definedName name="tteetertetaetete" hidden="1">#REF!</definedName>
    <definedName name="TTSC" localSheetId="7" hidden="1">{"'Sheet1'!$L$16"}</definedName>
    <definedName name="TTSC" localSheetId="3" hidden="1">{"'Sheet1'!$L$16"}</definedName>
    <definedName name="TTSC" hidden="1">{"'Sheet1'!$L$16"}</definedName>
    <definedName name="TTSC_1" hidden="1">{"'Sheet1'!$L$16"}</definedName>
    <definedName name="TTSC_2" hidden="1">{"'Sheet1'!$L$16"}</definedName>
    <definedName name="tttt" localSheetId="0" hidden="1">{"'Sheet1'!$L$16"}</definedName>
    <definedName name="tttt" localSheetId="7" hidden="1">{"'Sheet1'!$L$16"}</definedName>
    <definedName name="tttt" localSheetId="3" hidden="1">{"'Sheet1'!$L$16"}</definedName>
    <definedName name="tttt" hidden="1">{"'Sheet1'!$L$16"}</definedName>
    <definedName name="tttt_1" hidden="1">{"'Sheet1'!$L$16"}</definedName>
    <definedName name="tttt_2" hidden="1">{"'Sheet1'!$L$16"}</definedName>
    <definedName name="TU" localSheetId="0" hidden="1">{"'Sheet1'!$L$16"}</definedName>
    <definedName name="TU" localSheetId="7" hidden="1">{"'Sheet1'!$L$16"}</definedName>
    <definedName name="TU" localSheetId="3" hidden="1">{"'Sheet1'!$L$16"}</definedName>
    <definedName name="TU" hidden="1">{"'Sheet1'!$L$16"}</definedName>
    <definedName name="TU_1" hidden="1">{"'Sheet1'!$L$16"}</definedName>
    <definedName name="TU_2" hidden="1">{"'Sheet1'!$L$16"}</definedName>
    <definedName name="TUANKHANHTUYET45" localSheetId="0" hidden="1">{0}</definedName>
    <definedName name="TUANKHANHTUYET45" localSheetId="7" hidden="1">{0}</definedName>
    <definedName name="TUANKHANHTUYET45" localSheetId="3" hidden="1">{0}</definedName>
    <definedName name="TUANKHANHTUYET45" hidden="1">{0}</definedName>
    <definedName name="TUANKHANHTUYET45_1" hidden="1">{0}</definedName>
    <definedName name="TUANKHANHTUYET45_2" hidden="1">{0}</definedName>
    <definedName name="tuyennhanh" localSheetId="0" hidden="1">{"'Sheet1'!$L$16"}</definedName>
    <definedName name="tuyennhanh" localSheetId="7" hidden="1">{"'Sheet1'!$L$16"}</definedName>
    <definedName name="tuyennhanh" localSheetId="3" hidden="1">{"'Sheet1'!$L$16"}</definedName>
    <definedName name="tuyennhanh" hidden="1">{"'Sheet1'!$L$16"}</definedName>
    <definedName name="tuyennhanh_1" hidden="1">{"'Sheet1'!$L$16"}</definedName>
    <definedName name="tuyennhanh_2" hidden="1">{"'Sheet1'!$L$16"}</definedName>
    <definedName name="tuynen" localSheetId="7" hidden="1">{"'Sheet1'!$L$16"}</definedName>
    <definedName name="tuynen" localSheetId="3" hidden="1">{"'Sheet1'!$L$16"}</definedName>
    <definedName name="tuynen" hidden="1">{"'Sheet1'!$L$16"}</definedName>
    <definedName name="tuynen_1" hidden="1">{"'Sheet1'!$L$16"}</definedName>
    <definedName name="tuynen_2" hidden="1">{"'Sheet1'!$L$16"}</definedName>
    <definedName name="ưeawegw" localSheetId="0" hidden="1">#REF!</definedName>
    <definedName name="ưeawegw" localSheetId="1" hidden="1">#REF!</definedName>
    <definedName name="ưeawegw" localSheetId="7" hidden="1">#REF!</definedName>
    <definedName name="ưeawegw" localSheetId="3" hidden="1">#REF!</definedName>
    <definedName name="ưeawegw" hidden="1">#REF!</definedName>
    <definedName name="ưegweg" localSheetId="0" hidden="1">{"'Sheet1'!$L$16"}</definedName>
    <definedName name="ưegweg" localSheetId="7" hidden="1">{"'Sheet1'!$L$16"}</definedName>
    <definedName name="ưegweg" localSheetId="3" hidden="1">{"'Sheet1'!$L$16"}</definedName>
    <definedName name="ưegweg" hidden="1">{"'Sheet1'!$L$16"}</definedName>
    <definedName name="ưegweg_1" hidden="1">{"'Sheet1'!$L$16"}</definedName>
    <definedName name="ưegweg_2" hidden="1">{"'Sheet1'!$L$16"}</definedName>
    <definedName name="ưergasd" localSheetId="0" hidden="1">#REF!</definedName>
    <definedName name="ưergasd" localSheetId="1" hidden="1">#REF!</definedName>
    <definedName name="ưergasd" localSheetId="7" hidden="1">#REF!</definedName>
    <definedName name="ưergasd" localSheetId="3" hidden="1">#REF!</definedName>
    <definedName name="ưergasd" hidden="1">#REF!</definedName>
    <definedName name="ưergwrgn" localSheetId="0" hidden="1">{"'Sheet1'!$L$16"}</definedName>
    <definedName name="ưergwrgn" localSheetId="7" hidden="1">{"'Sheet1'!$L$16"}</definedName>
    <definedName name="ưergwrgn" localSheetId="3" hidden="1">{"'Sheet1'!$L$16"}</definedName>
    <definedName name="ưergwrgn" hidden="1">{"'Sheet1'!$L$16"}</definedName>
    <definedName name="ưergwrgn_1" hidden="1">{"'Sheet1'!$L$16"}</definedName>
    <definedName name="ưergwrgn_2" hidden="1">{"'Sheet1'!$L$16"}</definedName>
    <definedName name="ưgawegw" localSheetId="0" hidden="1">#REF!</definedName>
    <definedName name="ưgawegw" localSheetId="1" hidden="1">#REF!</definedName>
    <definedName name="ưgawegw" localSheetId="7" hidden="1">#REF!</definedName>
    <definedName name="ưgawegw" localSheetId="3" hidden="1">#REF!</definedName>
    <definedName name="ưgawegw"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8.Refresh" localSheetId="0" hidden="1">{"NGUYEN QUI THIEP - Personal View",#N/A,FALSE,"XDCB.HT.FUR."}</definedName>
    <definedName name="V8.Refresh" localSheetId="7" hidden="1">{"NGUYEN QUI THIEP - Personal View",#N/A,FALSE,"XDCB.HT.FUR."}</definedName>
    <definedName name="V8.Refresh" localSheetId="3" hidden="1">{"NGUYEN QUI THIEP - Personal View",#N/A,FALSE,"XDCB.HT.FUR."}</definedName>
    <definedName name="V8.Refresh" hidden="1">{"NGUYEN QUI THIEP - Personal View",#N/A,FALSE,"XDCB.HT.FUR."}</definedName>
    <definedName name="V8.Refresh_1" hidden="1">{"NGUYEN QUI THIEP - Personal View",#N/A,FALSE,"XDCB.HT.FUR."}</definedName>
    <definedName name="V8.Refresh_2" hidden="1">{"NGUYEN QUI THIEP - Personal View",#N/A,FALSE,"XDCB.HT.FUR."}</definedName>
    <definedName name="VATM" localSheetId="7" hidden="1">{"'Sheet1'!$L$16"}</definedName>
    <definedName name="VATM" localSheetId="3" hidden="1">{"'Sheet1'!$L$16"}</definedName>
    <definedName name="VATM" hidden="1">{"'Sheet1'!$L$16"}</definedName>
    <definedName name="VATM_1" hidden="1">{"'Sheet1'!$L$16"}</definedName>
    <definedName name="VATM_2" hidden="1">{"'Sheet1'!$L$16"}</definedName>
    <definedName name="vcoto" localSheetId="0" hidden="1">{"'Sheet1'!$L$16"}</definedName>
    <definedName name="vcoto" localSheetId="7" hidden="1">{"'Sheet1'!$L$16"}</definedName>
    <definedName name="vcoto" localSheetId="3" hidden="1">{"'Sheet1'!$L$16"}</definedName>
    <definedName name="vcoto" hidden="1">{"'Sheet1'!$L$16"}</definedName>
    <definedName name="vcoto_1" hidden="1">{"'Sheet1'!$L$16"}</definedName>
    <definedName name="vcoto_2" hidden="1">{"'Sheet1'!$L$16"}</definedName>
    <definedName name="Viet" localSheetId="0" hidden="1">{"'Sheet1'!$L$16"}</definedName>
    <definedName name="Viet" localSheetId="7" hidden="1">{"'Sheet1'!$L$16"}</definedName>
    <definedName name="Viet" localSheetId="3" hidden="1">{"'Sheet1'!$L$16"}</definedName>
    <definedName name="Viet" hidden="1">{"'Sheet1'!$L$16"}</definedName>
    <definedName name="Viet_1" hidden="1">{"'Sheet1'!$L$16"}</definedName>
    <definedName name="Viet_2" hidden="1">{"'Sheet1'!$L$16"}</definedName>
    <definedName name="vnd_list" localSheetId="7" hidden="1">{"một";"hai";"ba";"bốn";"năm";"sáu";"bảy";"tám";"chín";"mười";"mươi";"mốt";"lăm";"trăm";"nghìn";"triệu";"tỷ";"lẻ";"không trăm";"Bằng chử : "}</definedName>
    <definedName name="vnd_list" localSheetId="3" hidden="1">{"một";"hai";"ba";"bốn";"năm";"sáu";"bảy";"tám";"chín";"mười";"mươi";"mốt";"lăm";"trăm";"nghìn";"triệu";"tỷ";"lẻ";"không trăm";"Bằng chử : "}</definedName>
    <definedName name="vnd_list" hidden="1">{"một";"hai";"ba";"bốn";"năm";"sáu";"bảy";"tám";"chín";"mười";"mươi";"mốt";"lăm";"trăm";"nghìn";"triệu";"tỷ";"lẻ";"không trăm";"Bằng chử : "}</definedName>
    <definedName name="vnd_list_1" hidden="1">{"một";"hai";"ba";"bốn";"năm";"sáu";"bảy";"tám";"chín";"mười";"mươi";"mốt";"lăm";"trăm";"nghìn";"triệu";"tỷ";"lẻ";"không trăm";"Bằng chử : "}</definedName>
    <definedName name="vnd_list_2" hidden="1">{"một";"hai";"ba";"bốn";"năm";"sáu";"bảy";"tám";"chín";"mười";"mươi";"mốt";"lăm";"trăm";"nghìn";"triệu";"tỷ";"lẻ";"không trăm";"Bằng chử : "}</definedName>
    <definedName name="waa" localSheetId="7" hidden="1">{#N/A,#N/A,FALSE,"Chi tiÆt"}</definedName>
    <definedName name="waa" localSheetId="3" hidden="1">{#N/A,#N/A,FALSE,"Chi tiÆt"}</definedName>
    <definedName name="waa" hidden="1">{#N/A,#N/A,FALSE,"Chi tiÆt"}</definedName>
    <definedName name="waa_1" hidden="1">{#N/A,#N/A,FALSE,"Chi tiÆt"}</definedName>
    <definedName name="waa_2" hidden="1">{#N/A,#N/A,FALSE,"Chi tiÆt"}</definedName>
    <definedName name="wis" localSheetId="0" hidden="1">#REF!</definedName>
    <definedName name="wis" localSheetId="1" hidden="1">#REF!</definedName>
    <definedName name="wis" localSheetId="7" hidden="1">#REF!</definedName>
    <definedName name="wis" localSheetId="3" hidden="1">#REF!</definedName>
    <definedName name="wis" hidden="1">#REF!</definedName>
    <definedName name="WRITE" localSheetId="0" hidden="1">{#N/A,#N/A,FALSE,"CCTV"}</definedName>
    <definedName name="WRITE" localSheetId="7" hidden="1">{#N/A,#N/A,FALSE,"CCTV"}</definedName>
    <definedName name="WRITE" localSheetId="3" hidden="1">{#N/A,#N/A,FALSE,"CCTV"}</definedName>
    <definedName name="WRITE" hidden="1">{#N/A,#N/A,FALSE,"CCTV"}</definedName>
    <definedName name="WRITE_1" hidden="1">{#N/A,#N/A,FALSE,"CCTV"}</definedName>
    <definedName name="WRITE_2" hidden="1">{#N/A,#N/A,FALSE,"CCTV"}</definedName>
    <definedName name="wrn.97년._.사업계획._.및._.예산지침." localSheetId="0" hidden="1">{#N/A,#N/A,TRUE,"1";#N/A,#N/A,TRUE,"2";#N/A,#N/A,TRUE,"3";#N/A,#N/A,TRUE,"4";#N/A,#N/A,TRUE,"5";#N/A,#N/A,TRUE,"6";#N/A,#N/A,TRUE,"7"}</definedName>
    <definedName name="wrn.97년._.사업계획._.및._.예산지침." localSheetId="7" hidden="1">{#N/A,#N/A,TRUE,"1";#N/A,#N/A,TRUE,"2";#N/A,#N/A,TRUE,"3";#N/A,#N/A,TRUE,"4";#N/A,#N/A,TRUE,"5";#N/A,#N/A,TRUE,"6";#N/A,#N/A,TRUE,"7"}</definedName>
    <definedName name="wrn.97년._.사업계획._.및._.예산지침." localSheetId="3" hidden="1">{#N/A,#N/A,TRUE,"1";#N/A,#N/A,TRUE,"2";#N/A,#N/A,TRUE,"3";#N/A,#N/A,TRUE,"4";#N/A,#N/A,TRUE,"5";#N/A,#N/A,TRUE,"6";#N/A,#N/A,TRUE,"7"}</definedName>
    <definedName name="wrn.97년._.사업계획._.및._.예산지침." hidden="1">{#N/A,#N/A,TRUE,"1";#N/A,#N/A,TRUE,"2";#N/A,#N/A,TRUE,"3";#N/A,#N/A,TRUE,"4";#N/A,#N/A,TRUE,"5";#N/A,#N/A,TRUE,"6";#N/A,#N/A,TRUE,"7"}</definedName>
    <definedName name="wrn.97년._.사업계획._.및._.예산지침._1" hidden="1">{#N/A,#N/A,TRUE,"1";#N/A,#N/A,TRUE,"2";#N/A,#N/A,TRUE,"3";#N/A,#N/A,TRUE,"4";#N/A,#N/A,TRUE,"5";#N/A,#N/A,TRUE,"6";#N/A,#N/A,TRUE,"7"}</definedName>
    <definedName name="wrn.97년._.사업계획._.및._.예산지침._2" hidden="1">{#N/A,#N/A,TRUE,"1";#N/A,#N/A,TRUE,"2";#N/A,#N/A,TRUE,"3";#N/A,#N/A,TRUE,"4";#N/A,#N/A,TRUE,"5";#N/A,#N/A,TRUE,"6";#N/A,#N/A,TRUE,"7"}</definedName>
    <definedName name="wrn.A." localSheetId="0" hidden="1">{#N/A,#N/A,TRUE,"SUM";#N/A,#N/A,TRUE,"EE";#N/A,#N/A,TRUE,"AC";#N/A,#N/A,TRUE,"SN"}</definedName>
    <definedName name="wrn.A." localSheetId="7" hidden="1">{#N/A,#N/A,TRUE,"SUM";#N/A,#N/A,TRUE,"EE";#N/A,#N/A,TRUE,"AC";#N/A,#N/A,TRUE,"SN"}</definedName>
    <definedName name="wrn.A." localSheetId="3" hidden="1">{#N/A,#N/A,TRUE,"SUM";#N/A,#N/A,TRUE,"EE";#N/A,#N/A,TRUE,"AC";#N/A,#N/A,TRUE,"SN"}</definedName>
    <definedName name="wrn.A." hidden="1">{#N/A,#N/A,TRUE,"SUM";#N/A,#N/A,TRUE,"EE";#N/A,#N/A,TRUE,"AC";#N/A,#N/A,TRUE,"SN"}</definedName>
    <definedName name="wrn.A._1" hidden="1">{#N/A,#N/A,TRUE,"SUM";#N/A,#N/A,TRUE,"EE";#N/A,#N/A,TRUE,"AC";#N/A,#N/A,TRUE,"SN"}</definedName>
    <definedName name="wrn.A._2" hidden="1">{#N/A,#N/A,TRUE,"SUM";#N/A,#N/A,TRUE,"EE";#N/A,#N/A,TRUE,"AC";#N/A,#N/A,TRUE,"SN"}</definedName>
    <definedName name="wrn.aaa." localSheetId="0" hidden="1">{#N/A,#N/A,FALSE,"Sheet1";#N/A,#N/A,FALSE,"Sheet1";#N/A,#N/A,FALSE,"Sheet1"}</definedName>
    <definedName name="wrn.aaa." localSheetId="7" hidden="1">{#N/A,#N/A,FALSE,"Sheet1";#N/A,#N/A,FALSE,"Sheet1";#N/A,#N/A,FALSE,"Sheet1"}</definedName>
    <definedName name="wrn.aaa." localSheetId="3" hidden="1">{#N/A,#N/A,FALSE,"Sheet1";#N/A,#N/A,FALSE,"Sheet1";#N/A,#N/A,FALSE,"Sheet1"}</definedName>
    <definedName name="wrn.aaa." hidden="1">{#N/A,#N/A,FALSE,"Sheet1";#N/A,#N/A,FALSE,"Sheet1";#N/A,#N/A,FALSE,"Sheet1"}</definedName>
    <definedName name="wrn.aaa._1" hidden="1">{#N/A,#N/A,FALSE,"Sheet1";#N/A,#N/A,FALSE,"Sheet1";#N/A,#N/A,FALSE,"Sheet1"}</definedName>
    <definedName name="wrn.aaa._2" hidden="1">{#N/A,#N/A,FALSE,"Sheet1";#N/A,#N/A,FALSE,"Sheet1";#N/A,#N/A,FALSE,"Sheet1"}</definedName>
    <definedName name="wrn.Bang._.ke._.nhan._.hang." localSheetId="0" hidden="1">{#N/A,#N/A,FALSE,"Ke khai NH"}</definedName>
    <definedName name="wrn.Bang._.ke._.nhan._.hang." localSheetId="7" hidden="1">{#N/A,#N/A,FALSE,"Ke khai NH"}</definedName>
    <definedName name="wrn.Bang._.ke._.nhan._.hang." localSheetId="3" hidden="1">{#N/A,#N/A,FALSE,"Ke khai NH"}</definedName>
    <definedName name="wrn.Bang._.ke._.nhan._.hang." hidden="1">{#N/A,#N/A,FALSE,"Ke khai NH"}</definedName>
    <definedName name="wrn.Bang._.ke._.nhan._.hang._1" hidden="1">{#N/A,#N/A,FALSE,"Ke khai NH"}</definedName>
    <definedName name="wrn.Bang._.ke._.nhan._.hang._2" hidden="1">{#N/A,#N/A,FALSE,"Ke khai NH"}</definedName>
    <definedName name="wrn.BIDSUM." localSheetId="0" hidden="1">{#N/A,#N/A,TRUE,"SUMMARY";#N/A,#N/A,TRUE,"ISBL";#N/A,#N/A,TRUE,"OSBL";#N/A,#N/A,TRUE,"OFFSITE";#N/A,#N/A,TRUE,"STEAM"}</definedName>
    <definedName name="wrn.BIDSUM." localSheetId="7" hidden="1">{#N/A,#N/A,TRUE,"SUMMARY";#N/A,#N/A,TRUE,"ISBL";#N/A,#N/A,TRUE,"OSBL";#N/A,#N/A,TRUE,"OFFSITE";#N/A,#N/A,TRUE,"STEAM"}</definedName>
    <definedName name="wrn.BIDSUM." localSheetId="3" hidden="1">{#N/A,#N/A,TRUE,"SUMMARY";#N/A,#N/A,TRUE,"ISBL";#N/A,#N/A,TRUE,"OSBL";#N/A,#N/A,TRUE,"OFFSITE";#N/A,#N/A,TRUE,"STEAM"}</definedName>
    <definedName name="wrn.BIDSUM." hidden="1">{#N/A,#N/A,TRUE,"SUMMARY";#N/A,#N/A,TRUE,"ISBL";#N/A,#N/A,TRUE,"OSBL";#N/A,#N/A,TRUE,"OFFSITE";#N/A,#N/A,TRUE,"STEAM"}</definedName>
    <definedName name="wrn.BIDSUM._1" hidden="1">{#N/A,#N/A,TRUE,"SUMMARY";#N/A,#N/A,TRUE,"ISBL";#N/A,#N/A,TRUE,"OSBL";#N/A,#N/A,TRUE,"OFFSITE";#N/A,#N/A,TRUE,"STEAM"}</definedName>
    <definedName name="wrn.BIDSUM._2" hidden="1">{#N/A,#N/A,TRUE,"SUMMARY";#N/A,#N/A,TRUE,"ISBL";#N/A,#N/A,TRUE,"OSBL";#N/A,#N/A,TRUE,"OFFSITE";#N/A,#N/A,TRUE,"STEAM"}</definedName>
    <definedName name="wrn.BILLS._.OF._.QUANTITY." localSheetId="0" hidden="1">{#N/A,#N/A,TRUE,"Str.";#N/A,#N/A,TRUE,"Steel &amp; Roof";#N/A,#N/A,TRUE,"Arc.";#N/A,#N/A,TRUE,"Preliminary";#N/A,#N/A,TRUE,"Sum_Prelim"}</definedName>
    <definedName name="wrn.BILLS._.OF._.QUANTITY." localSheetId="7" hidden="1">{#N/A,#N/A,TRUE,"Str.";#N/A,#N/A,TRUE,"Steel &amp; Roof";#N/A,#N/A,TRUE,"Arc.";#N/A,#N/A,TRUE,"Preliminary";#N/A,#N/A,TRUE,"Sum_Prelim"}</definedName>
    <definedName name="wrn.BILLS._.OF._.QUANTITY." localSheetId="3" hidden="1">{#N/A,#N/A,TRUE,"Str.";#N/A,#N/A,TRUE,"Steel &amp; Roof";#N/A,#N/A,TRUE,"Arc.";#N/A,#N/A,TRUE,"Preliminary";#N/A,#N/A,TRUE,"Sum_Prelim"}</definedName>
    <definedName name="wrn.BILLS._.OF._.QUANTITY." hidden="1">{#N/A,#N/A,TRUE,"Str.";#N/A,#N/A,TRUE,"Steel &amp; Roof";#N/A,#N/A,TRUE,"Arc.";#N/A,#N/A,TRUE,"Preliminary";#N/A,#N/A,TRUE,"Sum_Prelim"}</definedName>
    <definedName name="wrn.BILLS._.OF._.QUANTITY._1" hidden="1">{#N/A,#N/A,TRUE,"Str.";#N/A,#N/A,TRUE,"Steel &amp; Roof";#N/A,#N/A,TRUE,"Arc.";#N/A,#N/A,TRUE,"Preliminary";#N/A,#N/A,TRUE,"Sum_Prelim"}</definedName>
    <definedName name="wrn.BILLS._.OF._.QUANTITY._2" hidden="1">{#N/A,#N/A,TRUE,"Str.";#N/A,#N/A,TRUE,"Steel &amp; Roof";#N/A,#N/A,TRUE,"Arc.";#N/A,#N/A,TRUE,"Preliminary";#N/A,#N/A,TRUE,"Sum_Prelim"}</definedName>
    <definedName name="wrn.BM." localSheetId="0" hidden="1">{#N/A,#N/A,FALSE,"CCTV"}</definedName>
    <definedName name="wrn.BM." localSheetId="7" hidden="1">{#N/A,#N/A,FALSE,"CCTV"}</definedName>
    <definedName name="wrn.BM." localSheetId="3" hidden="1">{#N/A,#N/A,FALSE,"CCTV"}</definedName>
    <definedName name="wrn.BM." hidden="1">{#N/A,#N/A,FALSE,"CCTV"}</definedName>
    <definedName name="wrn.BM._1" hidden="1">{#N/A,#N/A,FALSE,"CCTV"}</definedName>
    <definedName name="wrn.BM._2" hidden="1">{#N/A,#N/A,FALSE,"CCTV"}</definedName>
    <definedName name="wrn.Che._.do._.duoc._.huong." localSheetId="0" hidden="1">{#N/A,#N/A,FALSE,"BN (2)"}</definedName>
    <definedName name="wrn.Che._.do._.duoc._.huong." localSheetId="7" hidden="1">{#N/A,#N/A,FALSE,"BN (2)"}</definedName>
    <definedName name="wrn.Che._.do._.duoc._.huong." localSheetId="3" hidden="1">{#N/A,#N/A,FALSE,"BN (2)"}</definedName>
    <definedName name="wrn.Che._.do._.duoc._.huong." hidden="1">{#N/A,#N/A,FALSE,"BN (2)"}</definedName>
    <definedName name="wrn.Che._.do._.duoc._.huong._1" hidden="1">{#N/A,#N/A,FALSE,"BN (2)"}</definedName>
    <definedName name="wrn.Che._.do._.duoc._.huong._2" hidden="1">{#N/A,#N/A,FALSE,"BN (2)"}</definedName>
    <definedName name="wrn.chi._.tiÆt." localSheetId="0" hidden="1">{#N/A,#N/A,FALSE,"Chi tiÆt"}</definedName>
    <definedName name="wrn.chi._.tiÆt." localSheetId="5" hidden="1">{#N/A,#N/A,FALSE,"Chi tiÆt"}</definedName>
    <definedName name="wrn.chi._.tiÆt." localSheetId="1" hidden="1">{#N/A,#N/A,FALSE,"Chi tiÆt"}</definedName>
    <definedName name="wrn.chi._.tiÆt." localSheetId="7" hidden="1">{#N/A,#N/A,FALSE,"Chi tiÆt"}</definedName>
    <definedName name="wrn.chi._.tiÆt." localSheetId="3" hidden="1">{#N/A,#N/A,FALSE,"Chi tiÆt"}</definedName>
    <definedName name="wrn.chi._.tiÆt." localSheetId="4" hidden="1">{#N/A,#N/A,FALSE,"Chi tiÆt"}</definedName>
    <definedName name="wrn.chi._.tiÆt." hidden="1">{#N/A,#N/A,FALSE,"Chi tiÆt"}</definedName>
    <definedName name="wrn.chi._.tiÆt._1" hidden="1">{#N/A,#N/A,FALSE,"Chi tiÆt"}</definedName>
    <definedName name="wrn.chi._.tiÆt._2" hidden="1">{#N/A,#N/A,FALSE,"Chi tiÆt"}</definedName>
    <definedName name="wrn.cong." localSheetId="0" hidden="1">{#N/A,#N/A,FALSE,"Sheet1"}</definedName>
    <definedName name="wrn.cong." localSheetId="7" hidden="1">{#N/A,#N/A,FALSE,"Sheet1"}</definedName>
    <definedName name="wrn.cong." localSheetId="3" hidden="1">{#N/A,#N/A,FALSE,"Sheet1"}</definedName>
    <definedName name="wrn.cong." hidden="1">{#N/A,#N/A,FALSE,"Sheet1"}</definedName>
    <definedName name="wrn.cong._1" hidden="1">{#N/A,#N/A,FALSE,"Sheet1"}</definedName>
    <definedName name="wrn.cong._2" hidden="1">{#N/A,#N/A,FALSE,"Sheet1"}</definedName>
    <definedName name="wrn.DIRLABR." localSheetId="0" hidden="1">{#N/A,#N/A,TRUE,"CS&amp;SS(AG)";#N/A,#N/A,TRUE,"CS(UG)";#N/A,#N/A,TRUE,"CSCL(UG)";#N/A,#N/A,TRUE,"KYNAR";#N/A,#N/A,TRUE,"ALLOY904";#N/A,#N/A,TRUE,"TITANIUM";#N/A,#N/A,TRUE,"STMTRACE"}</definedName>
    <definedName name="wrn.DIRLABR." localSheetId="7" hidden="1">{#N/A,#N/A,TRUE,"CS&amp;SS(AG)";#N/A,#N/A,TRUE,"CS(UG)";#N/A,#N/A,TRUE,"CSCL(UG)";#N/A,#N/A,TRUE,"KYNAR";#N/A,#N/A,TRUE,"ALLOY904";#N/A,#N/A,TRUE,"TITANIUM";#N/A,#N/A,TRUE,"STMTRACE"}</definedName>
    <definedName name="wrn.DIRLABR." localSheetId="3"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IRLABR._1" hidden="1">{#N/A,#N/A,TRUE,"CS&amp;SS(AG)";#N/A,#N/A,TRUE,"CS(UG)";#N/A,#N/A,TRUE,"CSCL(UG)";#N/A,#N/A,TRUE,"KYNAR";#N/A,#N/A,TRUE,"ALLOY904";#N/A,#N/A,TRUE,"TITANIUM";#N/A,#N/A,TRUE,"STMTRACE"}</definedName>
    <definedName name="wrn.DIRLABR._2" hidden="1">{#N/A,#N/A,TRUE,"CS&amp;SS(AG)";#N/A,#N/A,TRUE,"CS(UG)";#N/A,#N/A,TRUE,"CSCL(UG)";#N/A,#N/A,TRUE,"KYNAR";#N/A,#N/A,TRUE,"ALLOY904";#N/A,#N/A,TRUE,"TITANIUM";#N/A,#N/A,TRUE,"STMTRACE"}</definedName>
    <definedName name="wrn.Giáy._.bao._.no." localSheetId="0" hidden="1">{#N/A,#N/A,FALSE,"BN"}</definedName>
    <definedName name="wrn.Giáy._.bao._.no." localSheetId="7" hidden="1">{#N/A,#N/A,FALSE,"BN"}</definedName>
    <definedName name="wrn.Giáy._.bao._.no." localSheetId="3" hidden="1">{#N/A,#N/A,FALSE,"BN"}</definedName>
    <definedName name="wrn.Giáy._.bao._.no." hidden="1">{#N/A,#N/A,FALSE,"BN"}</definedName>
    <definedName name="wrn.Giáy._.bao._.no._1" hidden="1">{#N/A,#N/A,FALSE,"BN"}</definedName>
    <definedName name="wrn.Giáy._.bao._.no._2" hidden="1">{#N/A,#N/A,FALSE,"BN"}</definedName>
    <definedName name="wrn.INDIRCOS." localSheetId="0" hidden="1">{#N/A,#N/A,TRUE,"FIELDOFF";#N/A,#N/A,TRUE,"SCAFF";#N/A,#N/A,TRUE,"CONSTEQP";#N/A,#N/A,TRUE,"FUELUBE";#N/A,#N/A,TRUE,"CONSUME";#N/A,#N/A,TRUE,"FIELDEXP";#N/A,#N/A,TRUE,"MANPLAN";#N/A,#N/A,TRUE,"EQPLAN"}</definedName>
    <definedName name="wrn.INDIRCOS." localSheetId="7" hidden="1">{#N/A,#N/A,TRUE,"FIELDOFF";#N/A,#N/A,TRUE,"SCAFF";#N/A,#N/A,TRUE,"CONSTEQP";#N/A,#N/A,TRUE,"FUELUBE";#N/A,#N/A,TRUE,"CONSUME";#N/A,#N/A,TRUE,"FIELDEXP";#N/A,#N/A,TRUE,"MANPLAN";#N/A,#N/A,TRUE,"EQPLAN"}</definedName>
    <definedName name="wrn.INDIRCOS." localSheetId="3"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DIRCOS._1" hidden="1">{#N/A,#N/A,TRUE,"FIELDOFF";#N/A,#N/A,TRUE,"SCAFF";#N/A,#N/A,TRUE,"CONSTEQP";#N/A,#N/A,TRUE,"FUELUBE";#N/A,#N/A,TRUE,"CONSUME";#N/A,#N/A,TRUE,"FIELDEXP";#N/A,#N/A,TRUE,"MANPLAN";#N/A,#N/A,TRUE,"EQPLAN"}</definedName>
    <definedName name="wrn.INDIRCOS._2" hidden="1">{#N/A,#N/A,TRUE,"FIELDOFF";#N/A,#N/A,TRUE,"SCAFF";#N/A,#N/A,TRUE,"CONSTEQP";#N/A,#N/A,TRUE,"FUELUBE";#N/A,#N/A,TRUE,"CONSUME";#N/A,#N/A,TRUE,"FIELDEXP";#N/A,#N/A,TRUE,"MANPLAN";#N/A,#N/A,TRUE,"EQPLAN"}</definedName>
    <definedName name="wrn.mai._.khanh." localSheetId="0" hidden="1">{"NGUYEN QUI THIEP - Personal View",#N/A,FALSE,"XDCB.HT.FUR."}</definedName>
    <definedName name="wrn.mai._.khanh." localSheetId="7" hidden="1">{"NGUYEN QUI THIEP - Personal View",#N/A,FALSE,"XDCB.HT.FUR."}</definedName>
    <definedName name="wrn.mai._.khanh." localSheetId="3" hidden="1">{"NGUYEN QUI THIEP - Personal View",#N/A,FALSE,"XDCB.HT.FUR."}</definedName>
    <definedName name="wrn.mai._.khanh." hidden="1">{"NGUYEN QUI THIEP - Personal View",#N/A,FALSE,"XDCB.HT.FUR."}</definedName>
    <definedName name="wrn.mai._.khanh._1" hidden="1">{"NGUYEN QUI THIEP - Personal View",#N/A,FALSE,"XDCB.HT.FUR."}</definedName>
    <definedName name="wrn.mai._.khanh._2" hidden="1">{"NGUYEN QUI THIEP - Personal View",#N/A,FALSE,"XDCB.HT.FUR."}</definedName>
    <definedName name="wrn.Monthly._.Statement." localSheetId="0" hidden="1">{#N/A,#N/A,FALSE,"Tabelle2";#N/A,#N/A,FALSE,"Tabelle1"}</definedName>
    <definedName name="wrn.Monthly._.Statement." localSheetId="7" hidden="1">{#N/A,#N/A,FALSE,"Tabelle2";#N/A,#N/A,FALSE,"Tabelle1"}</definedName>
    <definedName name="wrn.Monthly._.Statement." localSheetId="3" hidden="1">{#N/A,#N/A,FALSE,"Tabelle2";#N/A,#N/A,FALSE,"Tabelle1"}</definedName>
    <definedName name="wrn.Monthly._.Statement." hidden="1">{#N/A,#N/A,FALSE,"Tabelle2";#N/A,#N/A,FALSE,"Tabelle1"}</definedName>
    <definedName name="wrn.Monthly._.Statement._1" hidden="1">{#N/A,#N/A,FALSE,"Tabelle2";#N/A,#N/A,FALSE,"Tabelle1"}</definedName>
    <definedName name="wrn.Monthly._.Statement._2" hidden="1">{#N/A,#N/A,FALSE,"Tabelle2";#N/A,#N/A,FALSE,"Tabelle1"}</definedName>
    <definedName name="wrn.Print._.Output." localSheetId="0" hidden="1">{#N/A,#N/A,FALSE,"OUTPUT SHEET "}</definedName>
    <definedName name="wrn.Print._.Output." localSheetId="7" hidden="1">{#N/A,#N/A,FALSE,"OUTPUT SHEET "}</definedName>
    <definedName name="wrn.Print._.Output." localSheetId="3" hidden="1">{#N/A,#N/A,FALSE,"OUTPUT SHEET "}</definedName>
    <definedName name="wrn.Print._.Output." hidden="1">{#N/A,#N/A,FALSE,"OUTPUT SHEET "}</definedName>
    <definedName name="wrn.Print._.Output._1" hidden="1">{#N/A,#N/A,FALSE,"OUTPUT SHEET "}</definedName>
    <definedName name="wrn.Print._.Output._2" hidden="1">{#N/A,#N/A,FALSE,"OUTPUT SHEET "}</definedName>
    <definedName name="wrn.Report." localSheetId="0" hidden="1">{"Offgrid",#N/A,FALSE,"OFFGRID";"Region",#N/A,FALSE,"REGION";"Offgrid -2",#N/A,FALSE,"OFFGRID";"WTP",#N/A,FALSE,"WTP";"WTP -2",#N/A,FALSE,"WTP";"Project",#N/A,FALSE,"PROJECT";"Summary -2",#N/A,FALSE,"SUMMARY"}</definedName>
    <definedName name="wrn.Report." localSheetId="7"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_1" hidden="1">{"Offgrid",#N/A,FALSE,"OFFGRID";"Region",#N/A,FALSE,"REGION";"Offgrid -2",#N/A,FALSE,"OFFGRID";"WTP",#N/A,FALSE,"WTP";"WTP -2",#N/A,FALSE,"WTP";"Project",#N/A,FALSE,"PROJECT";"Summary -2",#N/A,FALSE,"SUMMARY"}</definedName>
    <definedName name="wrn.Report._2" hidden="1">{"Offgrid",#N/A,FALSE,"OFFGRID";"Region",#N/A,FALSE,"REGION";"Offgrid -2",#N/A,FALSE,"OFFGRID";"WTP",#N/A,FALSE,"WTP";"WTP -2",#N/A,FALSE,"WTP";"Project",#N/A,FALSE,"PROJECT";"Summary -2",#N/A,FALSE,"SUMMARY"}</definedName>
    <definedName name="wrn.Residential." localSheetId="0" hidden="1">{"ECA Qtrs C",#N/A,TRUE,"ECA_Qtrs_C";"ECA Qtrs D",#N/A,TRUE,"ECA_Qtrs_D";"ECA Qtrs F",#N/A,TRUE,"ECA_Qtrs_F";"ECA Qtrs G",#N/A,TRUE,"ECA_Qtrs_G";"ECA SisterApt",#N/A,TRUE,"ECA_SisterApt";"ECA Nurses",#N/A,TRUE,"ECA_NursesHostel"}</definedName>
    <definedName name="wrn.Residential." localSheetId="7" hidden="1">{"ECA Qtrs C",#N/A,TRUE,"ECA_Qtrs_C";"ECA Qtrs D",#N/A,TRUE,"ECA_Qtrs_D";"ECA Qtrs F",#N/A,TRUE,"ECA_Qtrs_F";"ECA Qtrs G",#N/A,TRUE,"ECA_Qtrs_G";"ECA SisterApt",#N/A,TRUE,"ECA_SisterApt";"ECA Nurses",#N/A,TRUE,"ECA_NursesHostel"}</definedName>
    <definedName name="wrn.Residential." localSheetId="3"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esidential._2" hidden="1">{"ECA Qtrs C",#N/A,TRUE,"ECA_Qtrs_C";"ECA Qtrs D",#N/A,TRUE,"ECA_Qtrs_D";"ECA Qtrs F",#N/A,TRUE,"ECA_Qtrs_F";"ECA Qtrs G",#N/A,TRUE,"ECA_Qtrs_G";"ECA SisterApt",#N/A,TRUE,"ECA_SisterApt";"ECA Nurses",#N/A,TRUE,"ECA_NursesHostel"}</definedName>
    <definedName name="wrn.vd." localSheetId="0" hidden="1">{#N/A,#N/A,TRUE,"BT M200 da 10x20"}</definedName>
    <definedName name="wrn.vd." localSheetId="5" hidden="1">{#N/A,#N/A,TRUE,"BT M200 da 10x20"}</definedName>
    <definedName name="wrn.vd." localSheetId="1" hidden="1">{#N/A,#N/A,TRUE,"BT M200 da 10x20"}</definedName>
    <definedName name="wrn.vd." localSheetId="7" hidden="1">{#N/A,#N/A,TRUE,"BT M200 da 10x20"}</definedName>
    <definedName name="wrn.vd." localSheetId="3" hidden="1">{#N/A,#N/A,TRUE,"BT M200 da 10x20"}</definedName>
    <definedName name="wrn.vd." localSheetId="4" hidden="1">{#N/A,#N/A,TRUE,"BT M200 da 10x20"}</definedName>
    <definedName name="wrn.vd." hidden="1">{#N/A,#N/A,TRUE,"BT M200 da 10x20"}</definedName>
    <definedName name="wrn.vd._1" hidden="1">{#N/A,#N/A,TRUE,"BT M200 da 10x20"}</definedName>
    <definedName name="wrn.vd._2" hidden="1">{#N/A,#N/A,TRUE,"BT M200 da 10x20"}</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7"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localSheetId="3"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_1" hidden="1">{#N/A,#N/A,FALSE,"품의서";#N/A,#N/A,FALSE,"견적실행대비분석표";#N/A,#N/A,FALSE,"공종별도급대비견적실행";#N/A,#N/A,FALSE,"외주공사 추정금액";#N/A,#N/A,FALSE,"공종별도급대비계약현황";#N/A,#N/A,FALSE,"공종별도급대비견적현황"}</definedName>
    <definedName name="wrn.담배인삼공사._.실행품의._2" hidden="1">{#N/A,#N/A,FALSE,"품의서";#N/A,#N/A,FALSE,"견적실행대비분석표";#N/A,#N/A,FALSE,"공종별도급대비견적실행";#N/A,#N/A,FALSE,"외주공사 추정금액";#N/A,#N/A,FALSE,"공종별도급대비계약현황";#N/A,#N/A,FALSE,"공종별도급대비견적현황"}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실행품의." localSheetId="0" hidden="1">{#N/A,#N/A,FALSE,"갑지";#N/A,#N/A,FALSE,"개요";#N/A,#N/A,FALSE,"비목별";#N/A,#N/A,FALSE,"건물별";#N/A,#N/A,FALSE,"기구표";#N/A,#N/A,FALSE,"직원투입"}</definedName>
    <definedName name="wrn.실행품의." localSheetId="7" hidden="1">{#N/A,#N/A,FALSE,"갑지";#N/A,#N/A,FALSE,"개요";#N/A,#N/A,FALSE,"비목별";#N/A,#N/A,FALSE,"건물별";#N/A,#N/A,FALSE,"기구표";#N/A,#N/A,FALSE,"직원투입"}</definedName>
    <definedName name="wrn.실행품의." localSheetId="3"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실행품의._1" hidden="1">{#N/A,#N/A,FALSE,"갑지";#N/A,#N/A,FALSE,"개요";#N/A,#N/A,FALSE,"비목별";#N/A,#N/A,FALSE,"건물별";#N/A,#N/A,FALSE,"기구표";#N/A,#N/A,FALSE,"직원투입"}</definedName>
    <definedName name="wrn.실행품의._2" hidden="1">{#N/A,#N/A,FALSE,"갑지";#N/A,#N/A,FALSE,"개요";#N/A,#N/A,FALSE,"비목별";#N/A,#N/A,FALSE,"건물별";#N/A,#N/A,FALSE,"기구표";#N/A,#N/A,FALSE,"직원투입"}</definedName>
    <definedName name="wrn.이태원._.철근." localSheetId="0" hidden="1">{#N/A,#N/A,FALSE,"이태원철근"}</definedName>
    <definedName name="wrn.이태원._.철근." localSheetId="7" hidden="1">{#N/A,#N/A,FALSE,"이태원철근"}</definedName>
    <definedName name="wrn.이태원._.철근." localSheetId="3" hidden="1">{#N/A,#N/A,FALSE,"이태원철근"}</definedName>
    <definedName name="wrn.이태원._.철근." hidden="1">{#N/A,#N/A,FALSE,"이태원철근"}</definedName>
    <definedName name="wrn.이태원._.철근._1" hidden="1">{#N/A,#N/A,FALSE,"이태원철근"}</definedName>
    <definedName name="wrn.이태원._.철근._2" hidden="1">{#N/A,#N/A,FALSE,"이태원철근"}</definedName>
    <definedName name="wrn.진각빌딩." localSheetId="0" hidden="1">{#N/A,#N/A,FALSE,"품의서";#N/A,#N/A,FALSE,"견적실행대비분석표";#N/A,#N/A,FALSE,"공종별도급대비견적실행";#N/A,#N/A,FALSE,"외주공사 추정금액";#N/A,#N/A,FALSE,"공종별도급대비계약현황"}</definedName>
    <definedName name="wrn.진각빌딩." localSheetId="7" hidden="1">{#N/A,#N/A,FALSE,"품의서";#N/A,#N/A,FALSE,"견적실행대비분석표";#N/A,#N/A,FALSE,"공종별도급대비견적실행";#N/A,#N/A,FALSE,"외주공사 추정금액";#N/A,#N/A,FALSE,"공종별도급대비계약현황"}</definedName>
    <definedName name="wrn.진각빌딩." localSheetId="3" hidden="1">{#N/A,#N/A,FALSE,"품의서";#N/A,#N/A,FALSE,"견적실행대비분석표";#N/A,#N/A,FALSE,"공종별도급대비견적실행";#N/A,#N/A,FALSE,"외주공사 추정금액";#N/A,#N/A,FALSE,"공종별도급대비계약현황"}</definedName>
    <definedName name="wrn.진각빌딩." hidden="1">{#N/A,#N/A,FALSE,"품의서";#N/A,#N/A,FALSE,"견적실행대비분석표";#N/A,#N/A,FALSE,"공종별도급대비견적실행";#N/A,#N/A,FALSE,"외주공사 추정금액";#N/A,#N/A,FALSE,"공종별도급대비계약현황"}</definedName>
    <definedName name="wrn.진각빌딩._1" hidden="1">{#N/A,#N/A,FALSE,"품의서";#N/A,#N/A,FALSE,"견적실행대비분석표";#N/A,#N/A,FALSE,"공종별도급대비견적실행";#N/A,#N/A,FALSE,"외주공사 추정금액";#N/A,#N/A,FALSE,"공종별도급대비계약현황"}</definedName>
    <definedName name="wrn.진각빌딩._2" hidden="1">{#N/A,#N/A,FALSE,"품의서";#N/A,#N/A,FALSE,"견적실행대비분석표";#N/A,#N/A,FALSE,"공종별도급대비견적실행";#N/A,#N/A,FALSE,"외주공사 추정금액";#N/A,#N/A,FALSE,"공종별도급대비계약현황"}</definedName>
    <definedName name="wrn.표지." localSheetId="0" hidden="1">{#N/A,#N/A,FALSE,"표지"}</definedName>
    <definedName name="wrn.표지." localSheetId="7" hidden="1">{#N/A,#N/A,FALSE,"표지"}</definedName>
    <definedName name="wrn.표지." localSheetId="3" hidden="1">{#N/A,#N/A,FALSE,"표지"}</definedName>
    <definedName name="wrn.표지." hidden="1">{#N/A,#N/A,FALSE,"표지"}</definedName>
    <definedName name="wrn.표지._1" hidden="1">{#N/A,#N/A,FALSE,"표지"}</definedName>
    <definedName name="wrn.표지._2" hidden="1">{#N/A,#N/A,FALSE,"표지"}</definedName>
    <definedName name="wrnf.report" localSheetId="0" hidden="1">{"Offgrid",#N/A,FALSE,"OFFGRID";"Region",#N/A,FALSE,"REGION";"Offgrid -2",#N/A,FALSE,"OFFGRID";"WTP",#N/A,FALSE,"WTP";"WTP -2",#N/A,FALSE,"WTP";"Project",#N/A,FALSE,"PROJECT";"Summary -2",#N/A,FALSE,"SUMMARY"}</definedName>
    <definedName name="wrnf.report" localSheetId="7"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nf.report_1" hidden="1">{"Offgrid",#N/A,FALSE,"OFFGRID";"Region",#N/A,FALSE,"REGION";"Offgrid -2",#N/A,FALSE,"OFFGRID";"WTP",#N/A,FALSE,"WTP";"WTP -2",#N/A,FALSE,"WTP";"Project",#N/A,FALSE,"PROJECT";"Summary -2",#N/A,FALSE,"SUMMARY"}</definedName>
    <definedName name="wrnf.report_2" hidden="1">{"Offgrid",#N/A,FALSE,"OFFGRID";"Region",#N/A,FALSE,"REGION";"Offgrid -2",#N/A,FALSE,"OFFGRID";"WTP",#N/A,FALSE,"WTP";"WTP -2",#N/A,FALSE,"WTP";"Project",#N/A,FALSE,"PROJECT";"Summary -2",#N/A,FALSE,"SUMMARY"}</definedName>
    <definedName name="www" localSheetId="0" hidden="1">{"ECA Qtrs C",#N/A,TRUE,"ECA_Qtrs_C";"ECA Qtrs D",#N/A,TRUE,"ECA_Qtrs_D";"ECA Qtrs F",#N/A,TRUE,"ECA_Qtrs_F";"ECA Qtrs G",#N/A,TRUE,"ECA_Qtrs_G";"ECA SisterApt",#N/A,TRUE,"ECA_SisterApt";"ECA Nurses",#N/A,TRUE,"ECA_NursesHostel"}</definedName>
    <definedName name="www" localSheetId="7" hidden="1">{"ECA Qtrs C",#N/A,TRUE,"ECA_Qtrs_C";"ECA Qtrs D",#N/A,TRUE,"ECA_Qtrs_D";"ECA Qtrs F",#N/A,TRUE,"ECA_Qtrs_F";"ECA Qtrs G",#N/A,TRUE,"ECA_Qtrs_G";"ECA SisterApt",#N/A,TRUE,"ECA_SisterApt";"ECA Nurses",#N/A,TRUE,"ECA_NursesHostel"}</definedName>
    <definedName name="www" localSheetId="3" hidden="1">{"ECA Qtrs C",#N/A,TRUE,"ECA_Qtrs_C";"ECA Qtrs D",#N/A,TRUE,"ECA_Qtrs_D";"ECA Qtrs F",#N/A,TRUE,"ECA_Qtrs_F";"ECA Qtrs G",#N/A,TRUE,"ECA_Qtrs_G";"ECA SisterApt",#N/A,TRUE,"ECA_SisterApt";"ECA Nurses",#N/A,TRUE,"ECA_NursesHostel"}</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_2" hidden="1">{"ECA Qtrs C",#N/A,TRUE,"ECA_Qtrs_C";"ECA Qtrs D",#N/A,TRUE,"ECA_Qtrs_D";"ECA Qtrs F",#N/A,TRUE,"ECA_Qtrs_F";"ECA Qtrs G",#N/A,TRUE,"ECA_Qtrs_G";"ECA SisterApt",#N/A,TRUE,"ECA_SisterApt";"ECA Nurses",#N/A,TRUE,"ECA_NursesHostel"}</definedName>
    <definedName name="wy" localSheetId="5" hidden="1">{#N/A,#N/A,FALSE,"Chi tiÆt"}</definedName>
    <definedName name="wy" localSheetId="1" hidden="1">{#N/A,#N/A,FALSE,"Chi tiÆt"}</definedName>
    <definedName name="wy" localSheetId="7" hidden="1">{#N/A,#N/A,FALSE,"Chi tiÆt"}</definedName>
    <definedName name="wy" localSheetId="3" hidden="1">{#N/A,#N/A,FALSE,"Chi tiÆt"}</definedName>
    <definedName name="wy" localSheetId="4" hidden="1">{#N/A,#N/A,FALSE,"Chi tiÆt"}</definedName>
    <definedName name="wy" hidden="1">{#N/A,#N/A,FALSE,"Chi tiÆt"}</definedName>
    <definedName name="wy_1" hidden="1">{#N/A,#N/A,FALSE,"Chi tiÆt"}</definedName>
    <definedName name="wy_2" hidden="1">{#N/A,#N/A,FALSE,"Chi tiÆt"}</definedName>
    <definedName name="XCB" localSheetId="0" hidden="1">#REF!</definedName>
    <definedName name="XCB" localSheetId="1" hidden="1">#REF!</definedName>
    <definedName name="XCB" localSheetId="7" hidden="1">#REF!</definedName>
    <definedName name="XCB" localSheetId="3" hidden="1">#REF!</definedName>
    <definedName name="XCB" hidden="1">#REF!</definedName>
    <definedName name="XDKT" localSheetId="0" hidden="1">{"NGUYEN QUI THIEP - Personal View",#N/A,FALSE,"XDCB.HT.FUR."}</definedName>
    <definedName name="XDKT" localSheetId="7" hidden="1">{"NGUYEN QUI THIEP - Personal View",#N/A,FALSE,"XDCB.HT.FUR."}</definedName>
    <definedName name="XDKT" localSheetId="3" hidden="1">{"NGUYEN QUI THIEP - Personal View",#N/A,FALSE,"XDCB.HT.FUR."}</definedName>
    <definedName name="XDKT" hidden="1">{"NGUYEN QUI THIEP - Personal View",#N/A,FALSE,"XDCB.HT.FUR."}</definedName>
    <definedName name="XDKT_1" hidden="1">{"NGUYEN QUI THIEP - Personal View",#N/A,FALSE,"XDCB.HT.FUR."}</definedName>
    <definedName name="XDKT_2" hidden="1">{"NGUYEN QUI THIEP - Personal View",#N/A,FALSE,"XDCB.HT.FUR."}</definedName>
    <definedName name="xlttbninh" localSheetId="0" hidden="1">{"'Sheet1'!$L$16"}</definedName>
    <definedName name="xlttbninh" localSheetId="7" hidden="1">{"'Sheet1'!$L$16"}</definedName>
    <definedName name="xlttbninh" localSheetId="3" hidden="1">{"'Sheet1'!$L$16"}</definedName>
    <definedName name="xlttbninh" hidden="1">{"'Sheet1'!$L$16"}</definedName>
    <definedName name="xlttbninh_1" hidden="1">{"'Sheet1'!$L$16"}</definedName>
    <definedName name="xlttbninh_2" hidden="1">{"'Sheet1'!$L$16"}</definedName>
    <definedName name="xoa1" localSheetId="0" hidden="1">{"'Sheet1'!$L$16"}</definedName>
    <definedName name="xoa1" localSheetId="7" hidden="1">{"'Sheet1'!$L$16"}</definedName>
    <definedName name="xoa1" localSheetId="3" hidden="1">{"'Sheet1'!$L$16"}</definedName>
    <definedName name="xoa1" hidden="1">{"'Sheet1'!$L$16"}</definedName>
    <definedName name="xoa1_1" hidden="1">{"'Sheet1'!$L$16"}</definedName>
    <definedName name="xoa1_2" hidden="1">{"'Sheet1'!$L$16"}</definedName>
    <definedName name="XXXAAAA" localSheetId="0" hidden="1">{"'Sheet1'!$L$16"}</definedName>
    <definedName name="XXXAAAA" localSheetId="7" hidden="1">{"'Sheet1'!$L$16"}</definedName>
    <definedName name="XXXAAAA" localSheetId="3" hidden="1">{"'Sheet1'!$L$16"}</definedName>
    <definedName name="XXXAAAA" hidden="1">{"'Sheet1'!$L$16"}</definedName>
    <definedName name="XXXAAAA_1" hidden="1">{"'Sheet1'!$L$16"}</definedName>
    <definedName name="XXXAAAA_2" hidden="1">{"'Sheet1'!$L$16"}</definedName>
    <definedName name="Z_2A223C64_F323_11D6_AACE_00C026619578_.wvu.PrintArea" localSheetId="0" hidden="1">#REF!</definedName>
    <definedName name="Z_2A223C64_F323_11D6_AACE_00C026619578_.wvu.PrintArea" localSheetId="1" hidden="1">#REF!</definedName>
    <definedName name="Z_2A223C64_F323_11D6_AACE_00C026619578_.wvu.PrintArea" localSheetId="7" hidden="1">#REF!</definedName>
    <definedName name="Z_2A223C64_F323_11D6_AACE_00C026619578_.wvu.PrintArea" localSheetId="3" hidden="1">#REF!</definedName>
    <definedName name="Z_2A223C64_F323_11D6_AACE_00C026619578_.wvu.PrintArea" hidden="1">#REF!</definedName>
    <definedName name="Z_2BD578FA_E2CB_4B2F_9A88_B148DA6298A5_.wvu.Cols" localSheetId="0" hidden="1">#REF!</definedName>
    <definedName name="Z_2BD578FA_E2CB_4B2F_9A88_B148DA6298A5_.wvu.Cols" localSheetId="1" hidden="1">#REF!</definedName>
    <definedName name="Z_2BD578FA_E2CB_4B2F_9A88_B148DA6298A5_.wvu.Cols" localSheetId="7" hidden="1">#REF!</definedName>
    <definedName name="Z_2BD578FA_E2CB_4B2F_9A88_B148DA6298A5_.wvu.Cols" localSheetId="3" hidden="1">#REF!</definedName>
    <definedName name="Z_2BD578FA_E2CB_4B2F_9A88_B148DA6298A5_.wvu.Cols" hidden="1">#REF!</definedName>
    <definedName name="Z_2BD578FA_E2CB_4B2F_9A88_B148DA6298A5_.wvu.PrintArea" localSheetId="0" hidden="1">#REF!</definedName>
    <definedName name="Z_2BD578FA_E2CB_4B2F_9A88_B148DA6298A5_.wvu.PrintArea" localSheetId="1" hidden="1">#REF!</definedName>
    <definedName name="Z_2BD578FA_E2CB_4B2F_9A88_B148DA6298A5_.wvu.PrintArea" localSheetId="7" hidden="1">#REF!</definedName>
    <definedName name="Z_2BD578FA_E2CB_4B2F_9A88_B148DA6298A5_.wvu.PrintArea" localSheetId="3" hidden="1">#REF!</definedName>
    <definedName name="Z_2BD578FA_E2CB_4B2F_9A88_B148DA6298A5_.wvu.PrintArea"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XzX" localSheetId="7" hidden="1">{"'Sheet1'!$L$16"}</definedName>
    <definedName name="ZXzX" localSheetId="3" hidden="1">{"'Sheet1'!$L$16"}</definedName>
    <definedName name="ZXzX" hidden="1">{"'Sheet1'!$L$16"}</definedName>
    <definedName name="ZXzX_1" hidden="1">{"'Sheet1'!$L$16"}</definedName>
    <definedName name="ZXzX_2" hidden="1">{"'Sheet1'!$L$16"}</definedName>
    <definedName name="간접비" localSheetId="0" hidden="1">{#N/A,#N/A,FALSE,"갑지";#N/A,#N/A,FALSE,"개요";#N/A,#N/A,FALSE,"비목별";#N/A,#N/A,FALSE,"건물별";#N/A,#N/A,FALSE,"기구표";#N/A,#N/A,FALSE,"직원투입"}</definedName>
    <definedName name="간접비" localSheetId="7" hidden="1">{#N/A,#N/A,FALSE,"갑지";#N/A,#N/A,FALSE,"개요";#N/A,#N/A,FALSE,"비목별";#N/A,#N/A,FALSE,"건물별";#N/A,#N/A,FALSE,"기구표";#N/A,#N/A,FALSE,"직원투입"}</definedName>
    <definedName name="간접비" localSheetId="3" hidden="1">{#N/A,#N/A,FALSE,"갑지";#N/A,#N/A,FALSE,"개요";#N/A,#N/A,FALSE,"비목별";#N/A,#N/A,FALSE,"건물별";#N/A,#N/A,FALSE,"기구표";#N/A,#N/A,FALSE,"직원투입"}</definedName>
    <definedName name="간접비" hidden="1">{#N/A,#N/A,FALSE,"갑지";#N/A,#N/A,FALSE,"개요";#N/A,#N/A,FALSE,"비목별";#N/A,#N/A,FALSE,"건물별";#N/A,#N/A,FALSE,"기구표";#N/A,#N/A,FALSE,"직원투입"}</definedName>
    <definedName name="간접비_1" hidden="1">{#N/A,#N/A,FALSE,"갑지";#N/A,#N/A,FALSE,"개요";#N/A,#N/A,FALSE,"비목별";#N/A,#N/A,FALSE,"건물별";#N/A,#N/A,FALSE,"기구표";#N/A,#N/A,FALSE,"직원투입"}</definedName>
    <definedName name="간접비_2"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접비1" localSheetId="7" hidden="1">{#N/A,#N/A,FALSE,"갑지";#N/A,#N/A,FALSE,"개요";#N/A,#N/A,FALSE,"비목별";#N/A,#N/A,FALSE,"건물별";#N/A,#N/A,FALSE,"기구표";#N/A,#N/A,FALSE,"직원투입"}</definedName>
    <definedName name="간접비1" localSheetId="3"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접비1_1" hidden="1">{#N/A,#N/A,FALSE,"갑지";#N/A,#N/A,FALSE,"개요";#N/A,#N/A,FALSE,"비목별";#N/A,#N/A,FALSE,"건물별";#N/A,#N/A,FALSE,"기구표";#N/A,#N/A,FALSE,"직원투입"}</definedName>
    <definedName name="간접비1_2" hidden="1">{#N/A,#N/A,FALSE,"갑지";#N/A,#N/A,FALSE,"개요";#N/A,#N/A,FALSE,"비목별";#N/A,#N/A,FALSE,"건물별";#N/A,#N/A,FALSE,"기구표";#N/A,#N/A,FALSE,"직원투입"}</definedName>
    <definedName name="건축비목집계" localSheetId="0" hidden="1">{#N/A,#N/A,FALSE,"표지"}</definedName>
    <definedName name="건축비목집계" localSheetId="7" hidden="1">{#N/A,#N/A,FALSE,"표지"}</definedName>
    <definedName name="건축비목집계" localSheetId="3" hidden="1">{#N/A,#N/A,FALSE,"표지"}</definedName>
    <definedName name="건축비목집계" hidden="1">{#N/A,#N/A,FALSE,"표지"}</definedName>
    <definedName name="건축비목집계_1" hidden="1">{#N/A,#N/A,FALSE,"표지"}</definedName>
    <definedName name="건축비목집계_2" hidden="1">{#N/A,#N/A,FALSE,"표지"}</definedName>
    <definedName name="견적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종별집계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비2" localSheetId="0" hidden="1">{#N/A,#N/A,FALSE,"갑지";#N/A,#N/A,FALSE,"개요";#N/A,#N/A,FALSE,"비목별";#N/A,#N/A,FALSE,"건물별";#N/A,#N/A,FALSE,"기구표";#N/A,#N/A,FALSE,"직원투입"}</definedName>
    <definedName name="관리비2" localSheetId="7" hidden="1">{#N/A,#N/A,FALSE,"갑지";#N/A,#N/A,FALSE,"개요";#N/A,#N/A,FALSE,"비목별";#N/A,#N/A,FALSE,"건물별";#N/A,#N/A,FALSE,"기구표";#N/A,#N/A,FALSE,"직원투입"}</definedName>
    <definedName name="관리비2" localSheetId="3"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관리비2_1" hidden="1">{#N/A,#N/A,FALSE,"갑지";#N/A,#N/A,FALSE,"개요";#N/A,#N/A,FALSE,"비목별";#N/A,#N/A,FALSE,"건물별";#N/A,#N/A,FALSE,"기구표";#N/A,#N/A,FALSE,"직원투입"}</definedName>
    <definedName name="관리비2_2"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산출근거" localSheetId="0" hidden="1">{#N/A,#N/A,TRUE,"1";#N/A,#N/A,TRUE,"2";#N/A,#N/A,TRUE,"3";#N/A,#N/A,TRUE,"4";#N/A,#N/A,TRUE,"5";#N/A,#N/A,TRUE,"6";#N/A,#N/A,TRUE,"7"}</definedName>
    <definedName name="내역산출근거" localSheetId="7" hidden="1">{#N/A,#N/A,TRUE,"1";#N/A,#N/A,TRUE,"2";#N/A,#N/A,TRUE,"3";#N/A,#N/A,TRUE,"4";#N/A,#N/A,TRUE,"5";#N/A,#N/A,TRUE,"6";#N/A,#N/A,TRUE,"7"}</definedName>
    <definedName name="내역산출근거" localSheetId="3" hidden="1">{#N/A,#N/A,TRUE,"1";#N/A,#N/A,TRUE,"2";#N/A,#N/A,TRUE,"3";#N/A,#N/A,TRUE,"4";#N/A,#N/A,TRUE,"5";#N/A,#N/A,TRUE,"6";#N/A,#N/A,TRUE,"7"}</definedName>
    <definedName name="내역산출근거" hidden="1">{#N/A,#N/A,TRUE,"1";#N/A,#N/A,TRUE,"2";#N/A,#N/A,TRUE,"3";#N/A,#N/A,TRUE,"4";#N/A,#N/A,TRUE,"5";#N/A,#N/A,TRUE,"6";#N/A,#N/A,TRUE,"7"}</definedName>
    <definedName name="내역산출근거_1" hidden="1">{#N/A,#N/A,TRUE,"1";#N/A,#N/A,TRUE,"2";#N/A,#N/A,TRUE,"3";#N/A,#N/A,TRUE,"4";#N/A,#N/A,TRUE,"5";#N/A,#N/A,TRUE,"6";#N/A,#N/A,TRUE,"7"}</definedName>
    <definedName name="내역산출근거_2" hidden="1">{#N/A,#N/A,TRUE,"1";#N/A,#N/A,TRUE,"2";#N/A,#N/A,TRUE,"3";#N/A,#N/A,TRUE,"4";#N/A,#N/A,TRUE,"5";#N/A,#N/A,TRUE,"6";#N/A,#N/A,TRUE,"7"}</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대" localSheetId="0" hidden="1">#REF!</definedName>
    <definedName name="단가대" localSheetId="1" hidden="1">#REF!</definedName>
    <definedName name="단가대" localSheetId="7" hidden="1">#REF!</definedName>
    <definedName name="단가대" localSheetId="3" hidden="1">#REF!</definedName>
    <definedName name="단가대" hidden="1">#REF!</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명공통가설관리비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 hidden="1">#REF!</definedName>
    <definedName name="ㄹㄹㄹ" localSheetId="1" hidden="1">#REF!</definedName>
    <definedName name="ㄹㄹㄹ" localSheetId="7" hidden="1">#REF!</definedName>
    <definedName name="ㄹㄹㄹ" localSheetId="3" hidden="1">#REF!</definedName>
    <definedName name="ㄹㄹㄹ" hidden="1">#REF!</definedName>
    <definedName name="러러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러럴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ㅁㅁ" localSheetId="0" hidden="1">#REF!</definedName>
    <definedName name="ㅁㅁㅁ" localSheetId="1" hidden="1">#REF!</definedName>
    <definedName name="ㅁㅁㅁ" localSheetId="7" hidden="1">#REF!</definedName>
    <definedName name="ㅁㅁㅁ" localSheetId="3" hidden="1">#REF!</definedName>
    <definedName name="ㅁㅁㅁ" hidden="1">#REF!</definedName>
    <definedName name="물" localSheetId="0" hidden="1">{#N/A,#N/A,FALSE,"이태원철근"}</definedName>
    <definedName name="물" localSheetId="7" hidden="1">{#N/A,#N/A,FALSE,"이태원철근"}</definedName>
    <definedName name="물" localSheetId="3" hidden="1">{#N/A,#N/A,FALSE,"이태원철근"}</definedName>
    <definedName name="물" hidden="1">{#N/A,#N/A,FALSE,"이태원철근"}</definedName>
    <definedName name="물_1" hidden="1">{#N/A,#N/A,FALSE,"이태원철근"}</definedName>
    <definedName name="물_2" hidden="1">{#N/A,#N/A,FALSE,"이태원철근"}</definedName>
    <definedName name="물가" localSheetId="0" hidden="1">{#N/A,#N/A,FALSE,"이태원철근"}</definedName>
    <definedName name="물가" localSheetId="7" hidden="1">{#N/A,#N/A,FALSE,"이태원철근"}</definedName>
    <definedName name="물가" localSheetId="3" hidden="1">{#N/A,#N/A,FALSE,"이태원철근"}</definedName>
    <definedName name="물가" hidden="1">{#N/A,#N/A,FALSE,"이태원철근"}</definedName>
    <definedName name="물가_1" hidden="1">{#N/A,#N/A,FALSE,"이태원철근"}</definedName>
    <definedName name="물가_2" hidden="1">{#N/A,#N/A,FALSE,"이태원철근"}</definedName>
    <definedName name="뭐가이태원이야" localSheetId="0" hidden="1">{#N/A,#N/A,FALSE,"이태원철근"}</definedName>
    <definedName name="뭐가이태원이야" localSheetId="7" hidden="1">{#N/A,#N/A,FALSE,"이태원철근"}</definedName>
    <definedName name="뭐가이태원이야" localSheetId="3" hidden="1">{#N/A,#N/A,FALSE,"이태원철근"}</definedName>
    <definedName name="뭐가이태원이야" hidden="1">{#N/A,#N/A,FALSE,"이태원철근"}</definedName>
    <definedName name="뭐가이태원이야_1" hidden="1">{#N/A,#N/A,FALSE,"이태원철근"}</definedName>
    <definedName name="뭐가이태원이야_2" hidden="1">{#N/A,#N/A,FALSE,"이태원철근"}</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천상동조경" localSheetId="0" hidden="1">{#N/A,#N/A,FALSE,"표지"}</definedName>
    <definedName name="부천상동조경" localSheetId="7" hidden="1">{#N/A,#N/A,FALSE,"표지"}</definedName>
    <definedName name="부천상동조경" localSheetId="3" hidden="1">{#N/A,#N/A,FALSE,"표지"}</definedName>
    <definedName name="부천상동조경" hidden="1">{#N/A,#N/A,FALSE,"표지"}</definedName>
    <definedName name="부천상동조경_1" hidden="1">{#N/A,#N/A,FALSE,"표지"}</definedName>
    <definedName name="부천상동조경_2" hidden="1">{#N/A,#N/A,FALSE,"표지"}</definedName>
    <definedName name="분" localSheetId="0" hidden="1">{#N/A,#N/A,FALSE,"이태원철근"}</definedName>
    <definedName name="분" localSheetId="7" hidden="1">{#N/A,#N/A,FALSE,"이태원철근"}</definedName>
    <definedName name="분" localSheetId="3" hidden="1">{#N/A,#N/A,FALSE,"이태원철근"}</definedName>
    <definedName name="분" hidden="1">{#N/A,#N/A,FALSE,"이태원철근"}</definedName>
    <definedName name="분_1" hidden="1">{#N/A,#N/A,FALSE,"이태원철근"}</definedName>
    <definedName name="분_2" hidden="1">{#N/A,#N/A,FALSE,"이태원철근"}</definedName>
    <definedName name="분당협조" localSheetId="0" hidden="1">{#N/A,#N/A,FALSE,"이태원철근"}</definedName>
    <definedName name="분당협조" localSheetId="7" hidden="1">{#N/A,#N/A,FALSE,"이태원철근"}</definedName>
    <definedName name="분당협조" localSheetId="3" hidden="1">{#N/A,#N/A,FALSE,"이태원철근"}</definedName>
    <definedName name="분당협조" hidden="1">{#N/A,#N/A,FALSE,"이태원철근"}</definedName>
    <definedName name="분당협조_1" hidden="1">{#N/A,#N/A,FALSE,"이태원철근"}</definedName>
    <definedName name="분당협조_2" hidden="1">{#N/A,#N/A,FALSE,"이태원철근"}</definedName>
    <definedName name="비과세" localSheetId="0" hidden="1">#REF!</definedName>
    <definedName name="비과세" localSheetId="1" hidden="1">#REF!</definedName>
    <definedName name="비과세" localSheetId="7" hidden="1">#REF!</definedName>
    <definedName name="비과세" localSheetId="3" hidden="1">#REF!</definedName>
    <definedName name="비과세" hidden="1">#REF!</definedName>
    <definedName name="설비" localSheetId="0" hidden="1">{#N/A,#N/A,FALSE,"이태원철근"}</definedName>
    <definedName name="설비" localSheetId="7" hidden="1">{#N/A,#N/A,FALSE,"이태원철근"}</definedName>
    <definedName name="설비" localSheetId="3" hidden="1">{#N/A,#N/A,FALSE,"이태원철근"}</definedName>
    <definedName name="설비" hidden="1">{#N/A,#N/A,FALSE,"이태원철근"}</definedName>
    <definedName name="설비_1" hidden="1">{#N/A,#N/A,FALSE,"이태원철근"}</definedName>
    <definedName name="설비_2" hidden="1">{#N/A,#N/A,FALSE,"이태원철근"}</definedName>
    <definedName name="수" localSheetId="0" hidden="1">#REF!</definedName>
    <definedName name="수" localSheetId="1" hidden="1">#REF!</definedName>
    <definedName name="수" localSheetId="7" hidden="1">#REF!</definedName>
    <definedName name="수" localSheetId="3" hidden="1">#REF!</definedName>
    <definedName name="수" hidden="1">#REF!</definedName>
    <definedName name="수량산출근거" localSheetId="0" hidden="1">{#N/A,#N/A,FALSE,"표지"}</definedName>
    <definedName name="수량산출근거" localSheetId="7" hidden="1">{#N/A,#N/A,FALSE,"표지"}</definedName>
    <definedName name="수량산출근거" localSheetId="3" hidden="1">{#N/A,#N/A,FALSE,"표지"}</definedName>
    <definedName name="수량산출근거" hidden="1">{#N/A,#N/A,FALSE,"표지"}</definedName>
    <definedName name="수량산출근거_1" hidden="1">{#N/A,#N/A,FALSE,"표지"}</definedName>
    <definedName name="수량산출근거_2" hidden="1">{#N/A,#N/A,FALSE,"표지"}</definedName>
    <definedName name="시행" localSheetId="0" hidden="1">{#N/A,#N/A,FALSE,"이태원철근"}</definedName>
    <definedName name="시행" localSheetId="7" hidden="1">{#N/A,#N/A,FALSE,"이태원철근"}</definedName>
    <definedName name="시행" localSheetId="3" hidden="1">{#N/A,#N/A,FALSE,"이태원철근"}</definedName>
    <definedName name="시행" hidden="1">{#N/A,#N/A,FALSE,"이태원철근"}</definedName>
    <definedName name="시행_1" hidden="1">{#N/A,#N/A,FALSE,"이태원철근"}</definedName>
    <definedName name="시행_2" hidden="1">{#N/A,#N/A,FALSE,"이태원철근"}</definedName>
    <definedName name="ㅇㄹㄹ" localSheetId="0" hidden="1">#REF!</definedName>
    <definedName name="ㅇㄹㄹ" localSheetId="1" hidden="1">#REF!</definedName>
    <definedName name="ㅇㄹㄹ" localSheetId="7" hidden="1">#REF!</definedName>
    <definedName name="ㅇㄹㄹ" localSheetId="3" hidden="1">#REF!</definedName>
    <definedName name="ㅇㄹㄹ" hidden="1">#REF!</definedName>
    <definedName name="ㅇ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대비" localSheetId="0" hidden="1">{#N/A,#N/A,FALSE,"이태원철근"}</definedName>
    <definedName name="옥외대비" localSheetId="7" hidden="1">{#N/A,#N/A,FALSE,"이태원철근"}</definedName>
    <definedName name="옥외대비" localSheetId="3" hidden="1">{#N/A,#N/A,FALSE,"이태원철근"}</definedName>
    <definedName name="옥외대비" hidden="1">{#N/A,#N/A,FALSE,"이태원철근"}</definedName>
    <definedName name="옥외대비_1" hidden="1">{#N/A,#N/A,FALSE,"이태원철근"}</definedName>
    <definedName name="옥외대비_2" hidden="1">{#N/A,#N/A,FALSE,"이태원철근"}</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공사" localSheetId="7" hidden="1">{#N/A,#N/A,FALSE,"표지"}</definedName>
    <definedName name="조경공사" localSheetId="3" hidden="1">{#N/A,#N/A,FALSE,"표지"}</definedName>
    <definedName name="조경공사" hidden="1">{#N/A,#N/A,FALSE,"표지"}</definedName>
    <definedName name="조경공사_1" hidden="1">{#N/A,#N/A,FALSE,"표지"}</definedName>
    <definedName name="조경공사_2" hidden="1">{#N/A,#N/A,FALSE,"표지"}</definedName>
    <definedName name="조경사본" localSheetId="0" hidden="1">{#N/A,#N/A,FALSE,"표지"}</definedName>
    <definedName name="조경사본" localSheetId="7" hidden="1">{#N/A,#N/A,FALSE,"표지"}</definedName>
    <definedName name="조경사본" localSheetId="3" hidden="1">{#N/A,#N/A,FALSE,"표지"}</definedName>
    <definedName name="조경사본" hidden="1">{#N/A,#N/A,FALSE,"표지"}</definedName>
    <definedName name="조경사본_1" hidden="1">{#N/A,#N/A,FALSE,"표지"}</definedName>
    <definedName name="조경사본_2"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주차장" localSheetId="7" hidden="1">{#N/A,#N/A,FALSE,"표지"}</definedName>
    <definedName name="주차장" localSheetId="3" hidden="1">{#N/A,#N/A,FALSE,"표지"}</definedName>
    <definedName name="주차장" hidden="1">{#N/A,#N/A,FALSE,"표지"}</definedName>
    <definedName name="주차장_1" hidden="1">{#N/A,#N/A,FALSE,"표지"}</definedName>
    <definedName name="주차장_2" hidden="1">{#N/A,#N/A,FALSE,"표지"}</definedName>
    <definedName name="토목공사" localSheetId="0" hidden="1">{#N/A,#N/A,FALSE,"이태원철근"}</definedName>
    <definedName name="토목공사" localSheetId="7" hidden="1">{#N/A,#N/A,FALSE,"이태원철근"}</definedName>
    <definedName name="토목공사" localSheetId="3" hidden="1">{#N/A,#N/A,FALSE,"이태원철근"}</definedName>
    <definedName name="토목공사" hidden="1">{#N/A,#N/A,FALSE,"이태원철근"}</definedName>
    <definedName name="토목공사_1" hidden="1">{#N/A,#N/A,FALSE,"이태원철근"}</definedName>
    <definedName name="토목공사_2" hidden="1">{#N/A,#N/A,FALSE,"이태원철근"}</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늘다람쥐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7"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_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62913"/>
</workbook>
</file>

<file path=xl/calcChain.xml><?xml version="1.0" encoding="utf-8"?>
<calcChain xmlns="http://schemas.openxmlformats.org/spreadsheetml/2006/main">
  <c r="A4" i="15" l="1"/>
  <c r="A4" i="38" s="1"/>
  <c r="A5" i="30" s="1"/>
  <c r="A5" i="34" s="1"/>
  <c r="A5" i="31" s="1"/>
  <c r="A4" i="17"/>
  <c r="A4" i="18"/>
  <c r="A3" i="18"/>
  <c r="A2" i="18"/>
  <c r="S57" i="39"/>
  <c r="S56" i="39" s="1"/>
  <c r="S42" i="39"/>
  <c r="S41" i="39" s="1"/>
  <c r="A3" i="39" l="1"/>
  <c r="A2" i="39"/>
  <c r="N64" i="39" l="1"/>
  <c r="M64" i="39"/>
  <c r="L43" i="39"/>
  <c r="L63" i="39"/>
  <c r="L64" i="39" s="1"/>
  <c r="F34" i="39"/>
  <c r="L34" i="39" s="1"/>
  <c r="F28" i="39"/>
  <c r="L28" i="39" s="1"/>
  <c r="J226" i="15" l="1"/>
  <c r="J197" i="15"/>
  <c r="J174" i="15"/>
  <c r="J173" i="15"/>
  <c r="E430" i="41" l="1"/>
  <c r="E431" i="41"/>
  <c r="E455" i="41"/>
  <c r="E456" i="41"/>
  <c r="E457" i="41"/>
  <c r="E458" i="41"/>
  <c r="E459" i="41"/>
  <c r="E460" i="41"/>
  <c r="E461" i="41"/>
  <c r="E446" i="41" l="1"/>
  <c r="E447" i="41"/>
  <c r="E107" i="41"/>
  <c r="E106" i="41"/>
  <c r="E424" i="41"/>
  <c r="E425" i="41"/>
  <c r="E418" i="41" l="1"/>
  <c r="E419" i="41"/>
  <c r="E420" i="41"/>
  <c r="E421" i="41"/>
  <c r="E422" i="41"/>
  <c r="E409" i="41" l="1"/>
  <c r="E410" i="41"/>
  <c r="E411" i="41"/>
  <c r="E412" i="41"/>
  <c r="E413" i="41"/>
  <c r="E414" i="41"/>
  <c r="E415" i="41"/>
  <c r="E416" i="41"/>
  <c r="E417" i="41"/>
  <c r="E423" i="41"/>
  <c r="E426" i="41"/>
  <c r="E427" i="41"/>
  <c r="E428" i="41"/>
  <c r="E429" i="41"/>
  <c r="E432" i="41"/>
  <c r="E433" i="41"/>
  <c r="E434" i="41"/>
  <c r="E435" i="41"/>
  <c r="E436" i="41"/>
  <c r="E437" i="41"/>
  <c r="E438" i="41"/>
  <c r="E440" i="41"/>
  <c r="E442" i="41"/>
  <c r="E443" i="41"/>
  <c r="E444" i="41"/>
  <c r="E445" i="41"/>
  <c r="E448" i="41"/>
  <c r="E449" i="41"/>
  <c r="E450" i="41"/>
  <c r="E451" i="41"/>
  <c r="E452" i="41"/>
  <c r="E453" i="41"/>
  <c r="E463" i="41"/>
  <c r="E465" i="41"/>
  <c r="E466" i="41"/>
  <c r="E470" i="41"/>
  <c r="E471" i="41"/>
  <c r="E472" i="41"/>
  <c r="E473" i="41"/>
  <c r="E477" i="41"/>
  <c r="E478" i="41"/>
  <c r="E480" i="41"/>
  <c r="E481" i="41"/>
  <c r="E482" i="41"/>
  <c r="E483" i="41"/>
  <c r="E484" i="41"/>
  <c r="E485" i="41"/>
  <c r="E486" i="41"/>
  <c r="E487" i="41"/>
  <c r="E488" i="41"/>
  <c r="E489" i="41"/>
  <c r="E490" i="41"/>
  <c r="E491" i="41"/>
  <c r="E492" i="41"/>
  <c r="E493" i="41"/>
  <c r="E494" i="41"/>
  <c r="E495" i="41"/>
  <c r="E496" i="41"/>
  <c r="E497" i="41"/>
  <c r="E498" i="41"/>
  <c r="E499" i="41"/>
  <c r="E500" i="41"/>
  <c r="E501" i="41"/>
  <c r="E502" i="41"/>
  <c r="E503" i="41"/>
  <c r="E504" i="41"/>
  <c r="E505" i="41"/>
  <c r="E506" i="41"/>
  <c r="E507" i="41"/>
  <c r="E508" i="41"/>
  <c r="E509" i="41"/>
  <c r="E510" i="41"/>
  <c r="E511" i="41"/>
  <c r="E512" i="41"/>
  <c r="E514" i="41"/>
  <c r="E516" i="41"/>
  <c r="E517" i="41"/>
  <c r="E520" i="41"/>
  <c r="E521" i="41"/>
  <c r="E522" i="41"/>
  <c r="E523" i="41"/>
  <c r="E524" i="41"/>
  <c r="E525" i="41"/>
  <c r="E526" i="41"/>
  <c r="E527" i="41"/>
  <c r="E530" i="41"/>
  <c r="E538" i="41"/>
  <c r="E539" i="41"/>
  <c r="E540" i="41"/>
  <c r="E541" i="41"/>
  <c r="E542" i="41"/>
  <c r="E543" i="41"/>
  <c r="E544" i="41"/>
  <c r="E545" i="41"/>
  <c r="E546" i="41"/>
  <c r="E547" i="41"/>
  <c r="E548" i="41"/>
  <c r="E549" i="41"/>
  <c r="E550" i="41"/>
  <c r="E551" i="41"/>
  <c r="E552" i="41"/>
  <c r="E553" i="41"/>
  <c r="E554" i="41"/>
  <c r="E555" i="41"/>
  <c r="E556" i="41"/>
  <c r="E557" i="41"/>
  <c r="E558" i="41"/>
  <c r="E559" i="41"/>
  <c r="E560" i="41"/>
  <c r="E561" i="41"/>
  <c r="E562" i="41"/>
  <c r="E563" i="41"/>
  <c r="E564" i="41"/>
  <c r="E565" i="41"/>
  <c r="E566" i="41"/>
  <c r="E567" i="41"/>
  <c r="E568" i="41"/>
  <c r="E569" i="41"/>
  <c r="E570" i="41"/>
  <c r="E572" i="41"/>
  <c r="E573" i="41"/>
  <c r="E574" i="41"/>
  <c r="E575" i="41"/>
  <c r="E576" i="41"/>
  <c r="E577" i="41"/>
  <c r="E579" i="41"/>
  <c r="E580" i="41"/>
  <c r="E581" i="41"/>
  <c r="E582" i="41"/>
  <c r="E583" i="41"/>
  <c r="E584" i="41"/>
  <c r="E585" i="41"/>
  <c r="E408" i="41"/>
  <c r="B409" i="41"/>
  <c r="B410" i="41" s="1"/>
  <c r="B411" i="41" s="1"/>
  <c r="B412" i="41" s="1"/>
  <c r="B413" i="41" s="1"/>
  <c r="B414" i="41" s="1"/>
  <c r="B415" i="41" s="1"/>
  <c r="B416" i="41" s="1"/>
  <c r="B417" i="41" s="1"/>
  <c r="B418" i="41" s="1"/>
  <c r="B419" i="41" s="1"/>
  <c r="B420" i="41" s="1"/>
  <c r="B421" i="41" s="1"/>
  <c r="B422" i="41" s="1"/>
  <c r="B423" i="41" s="1"/>
  <c r="B424" i="41" s="1"/>
  <c r="B425" i="41" s="1"/>
  <c r="B426" i="41" s="1"/>
  <c r="B427" i="41" s="1"/>
  <c r="B428" i="41" s="1"/>
  <c r="B429" i="41" s="1"/>
  <c r="B430" i="41" s="1"/>
  <c r="B431" i="41" s="1"/>
  <c r="B432" i="41" s="1"/>
  <c r="B433" i="41" s="1"/>
  <c r="B434" i="41" s="1"/>
  <c r="B435" i="41" s="1"/>
  <c r="B436" i="41" s="1"/>
  <c r="B437" i="41" s="1"/>
  <c r="B438" i="41" s="1"/>
  <c r="B439" i="41" s="1"/>
  <c r="B440" i="41" s="1"/>
  <c r="B441" i="41" s="1"/>
  <c r="B442" i="41" s="1"/>
  <c r="B443" i="41" s="1"/>
  <c r="B444" i="41" s="1"/>
  <c r="B445" i="41" s="1"/>
  <c r="B446" i="41" s="1"/>
  <c r="B447" i="41" s="1"/>
  <c r="B448" i="41" s="1"/>
  <c r="B449" i="41" s="1"/>
  <c r="B450" i="41" s="1"/>
  <c r="B451" i="41" s="1"/>
  <c r="B452" i="41" s="1"/>
  <c r="B453" i="41" s="1"/>
  <c r="B454" i="41" s="1"/>
  <c r="B455" i="41" s="1"/>
  <c r="B456" i="41" s="1"/>
  <c r="B457" i="41" s="1"/>
  <c r="B458" i="41" s="1"/>
  <c r="B459" i="41" s="1"/>
  <c r="B460" i="41" s="1"/>
  <c r="B461" i="41" s="1"/>
  <c r="B462" i="41" s="1"/>
  <c r="B463" i="41" s="1"/>
  <c r="B464" i="41" s="1"/>
  <c r="B465" i="41" s="1"/>
  <c r="B466" i="41" s="1"/>
  <c r="B467" i="41" s="1"/>
  <c r="B468" i="41" s="1"/>
  <c r="B469" i="41" s="1"/>
  <c r="B470" i="41" s="1"/>
  <c r="B471" i="41" s="1"/>
  <c r="B472" i="41" s="1"/>
  <c r="B473" i="41" s="1"/>
  <c r="B474" i="41" s="1"/>
  <c r="B475" i="41" s="1"/>
  <c r="B476" i="41" s="1"/>
  <c r="B477" i="41" s="1"/>
  <c r="B478" i="41" s="1"/>
  <c r="B479" i="41" s="1"/>
  <c r="B480" i="41" s="1"/>
  <c r="B481" i="41" s="1"/>
  <c r="B482" i="41" s="1"/>
  <c r="B483" i="41" s="1"/>
  <c r="B484" i="41" s="1"/>
  <c r="B485" i="41" s="1"/>
  <c r="B486" i="41" s="1"/>
  <c r="B487" i="41" s="1"/>
  <c r="B488" i="41" s="1"/>
  <c r="B489" i="41" s="1"/>
  <c r="B490" i="41" s="1"/>
  <c r="B491" i="41" s="1"/>
  <c r="B492" i="41" s="1"/>
  <c r="B493" i="41" s="1"/>
  <c r="B494" i="41" s="1"/>
  <c r="B495" i="41" s="1"/>
  <c r="B496" i="41" s="1"/>
  <c r="B497" i="41" s="1"/>
  <c r="B498" i="41" s="1"/>
  <c r="B499" i="41" s="1"/>
  <c r="B500" i="41" s="1"/>
  <c r="B501" i="41" s="1"/>
  <c r="B502" i="41" s="1"/>
  <c r="B503" i="41" s="1"/>
  <c r="B504" i="41" s="1"/>
  <c r="B505" i="41" s="1"/>
  <c r="B506" i="41" s="1"/>
  <c r="B507" i="41" s="1"/>
  <c r="B508" i="41" s="1"/>
  <c r="B509" i="41" s="1"/>
  <c r="B510" i="41" s="1"/>
  <c r="B511" i="41" s="1"/>
  <c r="B512" i="41" s="1"/>
  <c r="B513" i="41" s="1"/>
  <c r="B514" i="41" s="1"/>
  <c r="B515" i="41" s="1"/>
  <c r="B516" i="41" s="1"/>
  <c r="B517" i="41" s="1"/>
  <c r="B518" i="41" s="1"/>
  <c r="B519" i="41" s="1"/>
  <c r="B520" i="41" s="1"/>
  <c r="B521" i="41" s="1"/>
  <c r="B522" i="41" s="1"/>
  <c r="B523" i="41" s="1"/>
  <c r="B524" i="41" s="1"/>
  <c r="B525" i="41" s="1"/>
  <c r="B526" i="41" s="1"/>
  <c r="B527" i="41" s="1"/>
  <c r="B528" i="41" s="1"/>
  <c r="B529" i="41" s="1"/>
  <c r="B530" i="41" s="1"/>
  <c r="B531" i="41" s="1"/>
  <c r="B532" i="41" s="1"/>
  <c r="B533" i="41" s="1"/>
  <c r="B534" i="41" s="1"/>
  <c r="B535" i="41" s="1"/>
  <c r="B536" i="41" s="1"/>
  <c r="B537" i="41" s="1"/>
  <c r="B538" i="41" s="1"/>
  <c r="B539" i="41" s="1"/>
  <c r="B540" i="41" s="1"/>
  <c r="B541" i="41" s="1"/>
  <c r="B542" i="41" s="1"/>
  <c r="B543" i="41" s="1"/>
  <c r="B544" i="41" s="1"/>
  <c r="B545" i="41" s="1"/>
  <c r="B546" i="41" s="1"/>
  <c r="B547" i="41" s="1"/>
  <c r="B548" i="41" s="1"/>
  <c r="B549" i="41" s="1"/>
  <c r="B550" i="41" s="1"/>
  <c r="B551" i="41" s="1"/>
  <c r="B552" i="41" s="1"/>
  <c r="B553" i="41" s="1"/>
  <c r="B554" i="41" s="1"/>
  <c r="B555" i="41" s="1"/>
  <c r="B556" i="41" s="1"/>
  <c r="B557" i="41" s="1"/>
  <c r="B558" i="41" s="1"/>
  <c r="B559" i="41" s="1"/>
  <c r="B560" i="41" s="1"/>
  <c r="B561" i="41" s="1"/>
  <c r="B562" i="41" s="1"/>
  <c r="B563" i="41" s="1"/>
  <c r="B564" i="41" s="1"/>
  <c r="B565" i="41" s="1"/>
  <c r="B566" i="41" s="1"/>
  <c r="B567" i="41" s="1"/>
  <c r="B568" i="41" s="1"/>
  <c r="B569" i="41" s="1"/>
  <c r="B570" i="41" s="1"/>
  <c r="B571" i="41" s="1"/>
  <c r="B572" i="41" s="1"/>
  <c r="B573" i="41" s="1"/>
  <c r="B574" i="41" s="1"/>
  <c r="B575" i="41" s="1"/>
  <c r="B576" i="41" s="1"/>
  <c r="B577" i="41" s="1"/>
  <c r="B578" i="41" s="1"/>
  <c r="B579" i="41" s="1"/>
  <c r="B580" i="41" s="1"/>
  <c r="B581" i="41" s="1"/>
  <c r="B582" i="41" s="1"/>
  <c r="B583" i="41" s="1"/>
  <c r="B584" i="41" s="1"/>
  <c r="B585" i="41" s="1"/>
  <c r="E397" i="41" l="1"/>
  <c r="E578" i="41" s="1"/>
  <c r="E386" i="41"/>
  <c r="E571" i="41" s="1"/>
  <c r="E385" i="41"/>
  <c r="E358" i="41"/>
  <c r="E357" i="41"/>
  <c r="E356" i="41"/>
  <c r="E343" i="41"/>
  <c r="E314" i="41"/>
  <c r="E313" i="41"/>
  <c r="E310" i="41"/>
  <c r="E309" i="41"/>
  <c r="E308" i="41"/>
  <c r="E307" i="41"/>
  <c r="E306" i="41"/>
  <c r="E305" i="41"/>
  <c r="E304" i="41"/>
  <c r="E301" i="41"/>
  <c r="E537" i="41" s="1"/>
  <c r="E300" i="41"/>
  <c r="E536" i="41" s="1"/>
  <c r="E535" i="41"/>
  <c r="E298" i="41"/>
  <c r="E534" i="41" s="1"/>
  <c r="E297" i="41"/>
  <c r="E533" i="41" s="1"/>
  <c r="E296" i="41"/>
  <c r="E532" i="41" s="1"/>
  <c r="E531" i="41"/>
  <c r="E529" i="41"/>
  <c r="E292" i="41"/>
  <c r="E528" i="41" s="1"/>
  <c r="E273" i="41"/>
  <c r="E272" i="41"/>
  <c r="E271" i="41"/>
  <c r="E270" i="41"/>
  <c r="E269" i="41"/>
  <c r="E268" i="41"/>
  <c r="E265" i="41"/>
  <c r="E515" i="41" s="1"/>
  <c r="E513" i="41"/>
  <c r="E225" i="41"/>
  <c r="E221" i="41"/>
  <c r="E191" i="41"/>
  <c r="E173" i="41"/>
  <c r="E479" i="41" s="1"/>
  <c r="E168" i="41"/>
  <c r="E476" i="41" s="1"/>
  <c r="E167" i="41"/>
  <c r="E475" i="41" s="1"/>
  <c r="E164" i="41"/>
  <c r="E474" i="41" s="1"/>
  <c r="E159" i="41"/>
  <c r="E469" i="41" s="1"/>
  <c r="E158" i="41"/>
  <c r="E468" i="41" s="1"/>
  <c r="E157" i="41"/>
  <c r="E467" i="41" s="1"/>
  <c r="E464" i="41"/>
  <c r="E152" i="41"/>
  <c r="E462" i="41" s="1"/>
  <c r="E519" i="41" l="1"/>
  <c r="E518" i="41"/>
  <c r="E454" i="41"/>
  <c r="E96" i="41"/>
  <c r="E441" i="41" s="1"/>
  <c r="E439" i="41"/>
  <c r="C9" i="41"/>
  <c r="C8" i="41"/>
  <c r="C7" i="41"/>
  <c r="E124" i="29" l="1"/>
  <c r="E154" i="29" l="1"/>
  <c r="E144" i="29"/>
  <c r="O492" i="29"/>
  <c r="E122" i="29"/>
  <c r="E121" i="29"/>
  <c r="E116" i="29"/>
  <c r="E11" i="29"/>
  <c r="E10" i="29"/>
  <c r="G11" i="29"/>
  <c r="G12" i="29"/>
  <c r="G13" i="29"/>
  <c r="G10" i="29"/>
  <c r="E12" i="29"/>
  <c r="E223" i="29"/>
  <c r="E222" i="29"/>
  <c r="E221" i="29"/>
  <c r="E220" i="29"/>
  <c r="E219" i="29"/>
  <c r="E218" i="29"/>
  <c r="E217" i="29"/>
  <c r="E216" i="29"/>
  <c r="E209" i="29"/>
  <c r="E207" i="29"/>
  <c r="E204" i="29"/>
  <c r="E203" i="29"/>
  <c r="E202" i="29"/>
  <c r="E201" i="29"/>
  <c r="E200" i="29"/>
  <c r="E199" i="29"/>
  <c r="E198" i="29"/>
  <c r="E196" i="29"/>
  <c r="E208" i="29"/>
  <c r="E193" i="29"/>
  <c r="E192" i="29"/>
  <c r="E190" i="29"/>
  <c r="E186" i="29"/>
  <c r="E185" i="29"/>
  <c r="E184" i="29"/>
  <c r="E180" i="29"/>
  <c r="E179" i="29"/>
  <c r="E166" i="29"/>
  <c r="E165" i="29"/>
  <c r="E167" i="29"/>
  <c r="E18" i="29"/>
  <c r="E15" i="29"/>
  <c r="E6" i="29" l="1"/>
  <c r="E5" i="29"/>
  <c r="E191" i="29" l="1"/>
  <c r="E197" i="29"/>
  <c r="E164" i="29"/>
  <c r="E182" i="29"/>
  <c r="G225" i="29"/>
  <c r="G230" i="29"/>
  <c r="G229" i="29"/>
  <c r="G228" i="29"/>
  <c r="G227" i="29"/>
  <c r="G226" i="29"/>
  <c r="G231" i="29"/>
  <c r="G224" i="29"/>
  <c r="G223" i="29"/>
  <c r="G222" i="29"/>
  <c r="G221" i="29"/>
  <c r="G220" i="29"/>
  <c r="G201" i="29"/>
  <c r="G200" i="29"/>
  <c r="G199" i="29"/>
  <c r="G198" i="29"/>
  <c r="G197" i="29"/>
  <c r="G196" i="29"/>
  <c r="G195" i="29"/>
  <c r="G194" i="29"/>
  <c r="G193" i="29"/>
  <c r="G192" i="29"/>
  <c r="G191" i="29"/>
  <c r="G190" i="29"/>
  <c r="G189" i="29"/>
  <c r="G188" i="29"/>
  <c r="G187" i="29"/>
  <c r="G186" i="29"/>
  <c r="G185" i="29"/>
  <c r="G184" i="29"/>
  <c r="G183" i="29"/>
  <c r="G182" i="29"/>
  <c r="G211" i="29"/>
  <c r="G210" i="29"/>
  <c r="G209" i="29"/>
  <c r="G208" i="29"/>
  <c r="G207" i="29"/>
  <c r="G206" i="29"/>
  <c r="G205" i="29"/>
  <c r="G204" i="29"/>
  <c r="G203" i="29"/>
  <c r="G202" i="29"/>
  <c r="G216" i="29"/>
  <c r="G215" i="29"/>
  <c r="G214" i="29"/>
  <c r="G213" i="29"/>
  <c r="G212" i="29"/>
  <c r="A164" i="29"/>
  <c r="A165" i="29" s="1"/>
  <c r="A166" i="29" s="1"/>
  <c r="A167" i="29" s="1"/>
  <c r="A168" i="29" s="1"/>
  <c r="A169" i="29" s="1"/>
  <c r="A170" i="29" s="1"/>
  <c r="A171" i="29" s="1"/>
  <c r="A172" i="29" s="1"/>
  <c r="A173" i="29" s="1"/>
  <c r="A174" i="29" s="1"/>
  <c r="A175" i="29" s="1"/>
  <c r="A176" i="29" s="1"/>
  <c r="A177" i="29" s="1"/>
  <c r="A178" i="29" s="1"/>
  <c r="A179" i="29" s="1"/>
  <c r="A180" i="29" s="1"/>
  <c r="A181" i="29" s="1"/>
  <c r="A182" i="29" s="1"/>
  <c r="A183" i="29" s="1"/>
  <c r="A184" i="29" s="1"/>
  <c r="A185" i="29" s="1"/>
  <c r="A186" i="29" s="1"/>
  <c r="A187" i="29" s="1"/>
  <c r="A188" i="29" s="1"/>
  <c r="A189" i="29" s="1"/>
  <c r="A190" i="29" s="1"/>
  <c r="A191" i="29" s="1"/>
  <c r="A192" i="29" s="1"/>
  <c r="A193" i="29" s="1"/>
  <c r="A194" i="29" s="1"/>
  <c r="A195" i="29" s="1"/>
  <c r="A196" i="29" s="1"/>
  <c r="A197" i="29" s="1"/>
  <c r="A198" i="29" s="1"/>
  <c r="A199" i="29" s="1"/>
  <c r="A200" i="29" s="1"/>
  <c r="A201" i="29" s="1"/>
  <c r="A202" i="29" s="1"/>
  <c r="A203" i="29" s="1"/>
  <c r="A204" i="29" s="1"/>
  <c r="A205" i="29" s="1"/>
  <c r="A206" i="29" s="1"/>
  <c r="A207" i="29" s="1"/>
  <c r="A208" i="29" s="1"/>
  <c r="A209" i="29" s="1"/>
  <c r="A210" i="29" s="1"/>
  <c r="A211" i="29" s="1"/>
  <c r="A212" i="29" s="1"/>
  <c r="A213" i="29" s="1"/>
  <c r="A214" i="29" s="1"/>
  <c r="A215" i="29" s="1"/>
  <c r="A216" i="29" s="1"/>
  <c r="A217" i="29" s="1"/>
  <c r="A218" i="29" s="1"/>
  <c r="A219" i="29" s="1"/>
  <c r="A220" i="29" s="1"/>
  <c r="A221" i="29" s="1"/>
  <c r="A222" i="29" s="1"/>
  <c r="A223" i="29" s="1"/>
  <c r="A224" i="29" s="1"/>
  <c r="A225" i="29" s="1"/>
  <c r="A226" i="29" s="1"/>
  <c r="A227" i="29" s="1"/>
  <c r="A228" i="29" s="1"/>
  <c r="A229" i="29" s="1"/>
  <c r="A230" i="29" s="1"/>
  <c r="A231" i="29" s="1"/>
  <c r="G181" i="29"/>
  <c r="G180" i="29"/>
  <c r="G179" i="29"/>
  <c r="G178" i="29"/>
  <c r="G177" i="29"/>
  <c r="G176" i="29"/>
  <c r="G174" i="29"/>
  <c r="G173" i="29"/>
  <c r="G172" i="29"/>
  <c r="G171" i="29"/>
  <c r="G170" i="29"/>
  <c r="G169" i="29"/>
  <c r="G217" i="29"/>
  <c r="G175" i="29"/>
  <c r="G168" i="29"/>
  <c r="G167" i="29"/>
  <c r="G164" i="29"/>
  <c r="G165" i="29"/>
  <c r="G163" i="29"/>
  <c r="E149" i="29"/>
  <c r="E152" i="29"/>
  <c r="E151" i="29"/>
  <c r="E150" i="29"/>
  <c r="E147" i="29"/>
  <c r="E128" i="29" l="1"/>
  <c r="E127" i="29"/>
  <c r="E126" i="29" l="1"/>
  <c r="E109" i="29"/>
  <c r="E106" i="29"/>
  <c r="E104" i="29"/>
  <c r="E102" i="29"/>
  <c r="E100" i="29"/>
  <c r="E98" i="29"/>
  <c r="E96" i="29"/>
  <c r="E94" i="29"/>
  <c r="E87" i="29"/>
  <c r="E77" i="29"/>
  <c r="E73" i="29"/>
  <c r="E140" i="29"/>
  <c r="E142" i="29"/>
  <c r="E135" i="29"/>
  <c r="E136" i="29"/>
  <c r="E117" i="29"/>
  <c r="E115" i="29"/>
  <c r="E120" i="29"/>
  <c r="E123" i="29"/>
  <c r="E114" i="29"/>
  <c r="E69" i="29"/>
  <c r="A55" i="29"/>
  <c r="A56" i="29" s="1"/>
  <c r="A57" i="29" s="1"/>
  <c r="A58" i="29" s="1"/>
  <c r="A59" i="29" s="1"/>
  <c r="A60" i="29" s="1"/>
  <c r="A61" i="29" s="1"/>
  <c r="A62" i="29" s="1"/>
  <c r="A63" i="29" s="1"/>
  <c r="A64" i="29" s="1"/>
  <c r="A65" i="29" s="1"/>
  <c r="A66" i="29" s="1"/>
  <c r="A67" i="29" s="1"/>
  <c r="G67" i="29"/>
  <c r="G66" i="29"/>
  <c r="G65" i="29"/>
  <c r="G64" i="29"/>
  <c r="G63" i="29"/>
  <c r="G62" i="29"/>
  <c r="G61" i="29"/>
  <c r="G60" i="29"/>
  <c r="G59" i="29"/>
  <c r="G58" i="29"/>
  <c r="G57" i="29"/>
  <c r="G56" i="29"/>
  <c r="G55" i="29"/>
  <c r="E23" i="29"/>
  <c r="E22" i="29"/>
  <c r="E21" i="29"/>
  <c r="E20" i="29"/>
  <c r="K63" i="39" l="1"/>
  <c r="K64" i="39" s="1"/>
  <c r="J63" i="39"/>
  <c r="J64" i="39" s="1"/>
  <c r="I56" i="39"/>
  <c r="J56" i="39" s="1"/>
  <c r="I55" i="39"/>
  <c r="J55" i="39" s="1"/>
  <c r="I54" i="39"/>
  <c r="J54" i="39" s="1"/>
  <c r="I53" i="39"/>
  <c r="J53" i="39" s="1"/>
  <c r="I52" i="39"/>
  <c r="J52" i="39" s="1"/>
  <c r="I51" i="39"/>
  <c r="J51" i="39" s="1"/>
  <c r="I50" i="39"/>
  <c r="J50" i="39" s="1"/>
  <c r="I49" i="39"/>
  <c r="J49" i="39" s="1"/>
  <c r="I48" i="39"/>
  <c r="J48" i="39" s="1"/>
  <c r="I47" i="39"/>
  <c r="J47" i="39" s="1"/>
  <c r="I46" i="39"/>
  <c r="J46" i="39" s="1"/>
  <c r="I45" i="39"/>
  <c r="J45" i="39" s="1"/>
  <c r="I44" i="39"/>
  <c r="J44" i="39" s="1"/>
  <c r="I43" i="39"/>
  <c r="J43" i="39" s="1"/>
  <c r="M43" i="39" s="1"/>
  <c r="I41" i="39"/>
  <c r="J41" i="39" s="1"/>
  <c r="E40" i="39"/>
  <c r="E39" i="39"/>
  <c r="I37" i="39"/>
  <c r="J37" i="39" s="1"/>
  <c r="I34" i="39"/>
  <c r="J34" i="39" s="1"/>
  <c r="M34" i="39" s="1"/>
  <c r="I31" i="39"/>
  <c r="J31" i="39" s="1"/>
  <c r="I28" i="39"/>
  <c r="J28" i="39" s="1"/>
  <c r="M28" i="39" s="1"/>
  <c r="I27" i="39"/>
  <c r="J27" i="39" s="1"/>
  <c r="I23" i="39"/>
  <c r="J23" i="39" s="1"/>
  <c r="I19" i="39"/>
  <c r="J19" i="39" s="1"/>
  <c r="I18" i="39"/>
  <c r="J18" i="39" s="1"/>
  <c r="I17" i="39"/>
  <c r="J17" i="39" s="1"/>
  <c r="I16" i="39"/>
  <c r="J16" i="39" s="1"/>
  <c r="I15" i="39"/>
  <c r="J15" i="39" s="1"/>
  <c r="I14" i="39"/>
  <c r="J14" i="39" s="1"/>
  <c r="I13" i="39"/>
  <c r="J13" i="39" s="1"/>
  <c r="I12" i="39"/>
  <c r="J12" i="39" s="1"/>
  <c r="I11" i="39"/>
  <c r="J11" i="39" s="1"/>
  <c r="I10" i="39"/>
  <c r="J10" i="39" s="1"/>
  <c r="I9" i="39"/>
  <c r="J9" i="39" s="1"/>
  <c r="J8" i="39" l="1"/>
  <c r="J39" i="39"/>
  <c r="J58" i="39" l="1"/>
  <c r="J59" i="39" s="1"/>
  <c r="J60" i="39" s="1"/>
  <c r="J61" i="39" s="1"/>
  <c r="J65" i="39" s="1"/>
  <c r="A9" i="15" l="1"/>
  <c r="A10" i="15" s="1"/>
  <c r="A11" i="15" s="1"/>
  <c r="A12" i="15" s="1"/>
  <c r="F23" i="30" l="1"/>
  <c r="G145" i="29" l="1"/>
  <c r="G144" i="29"/>
  <c r="G124" i="29"/>
  <c r="G123" i="29"/>
  <c r="G122" i="29"/>
  <c r="G121" i="29"/>
  <c r="G156" i="29"/>
  <c r="G25" i="29"/>
  <c r="P51" i="38" l="1"/>
  <c r="P50" i="38"/>
  <c r="P48" i="38"/>
  <c r="P47" i="38"/>
  <c r="P46" i="38"/>
  <c r="O45" i="38"/>
  <c r="K45" i="38"/>
  <c r="M45" i="38" s="1"/>
  <c r="N45" i="38" s="1"/>
  <c r="I45" i="38"/>
  <c r="O44" i="38"/>
  <c r="M44" i="38"/>
  <c r="I44" i="38"/>
  <c r="O43" i="38"/>
  <c r="M43" i="38"/>
  <c r="I43" i="38"/>
  <c r="O42" i="38"/>
  <c r="M42" i="38"/>
  <c r="I42" i="38"/>
  <c r="O41" i="38"/>
  <c r="M41" i="38"/>
  <c r="I41" i="38"/>
  <c r="O40" i="38"/>
  <c r="M40" i="38"/>
  <c r="I40" i="38"/>
  <c r="O39" i="38"/>
  <c r="M39" i="38"/>
  <c r="I39" i="38"/>
  <c r="O38" i="38"/>
  <c r="M38" i="38"/>
  <c r="I38" i="38"/>
  <c r="O37" i="38"/>
  <c r="M37" i="38"/>
  <c r="I37" i="38"/>
  <c r="O36" i="38"/>
  <c r="M36" i="38"/>
  <c r="I36" i="38"/>
  <c r="O35" i="38"/>
  <c r="M35" i="38"/>
  <c r="N35" i="38" s="1"/>
  <c r="I35" i="38"/>
  <c r="O34" i="38"/>
  <c r="M34" i="38"/>
  <c r="I34" i="38"/>
  <c r="N34" i="38" s="1"/>
  <c r="O33" i="38"/>
  <c r="M33" i="38"/>
  <c r="I33" i="38"/>
  <c r="O32" i="38"/>
  <c r="M32" i="38"/>
  <c r="I32" i="38"/>
  <c r="N32" i="38" s="1"/>
  <c r="O31" i="38"/>
  <c r="M31" i="38"/>
  <c r="I31" i="38"/>
  <c r="O30" i="38"/>
  <c r="M30" i="38"/>
  <c r="I30" i="38"/>
  <c r="O29" i="38"/>
  <c r="M29" i="38"/>
  <c r="I29" i="38"/>
  <c r="O27" i="38"/>
  <c r="K27" i="38"/>
  <c r="M27" i="38" s="1"/>
  <c r="I27" i="38"/>
  <c r="O26" i="38"/>
  <c r="M26" i="38"/>
  <c r="N26" i="38" s="1"/>
  <c r="I26" i="38"/>
  <c r="O25" i="38"/>
  <c r="M25" i="38"/>
  <c r="I25" i="38"/>
  <c r="O24" i="38"/>
  <c r="M24" i="38"/>
  <c r="I24" i="38"/>
  <c r="O23" i="38"/>
  <c r="M23" i="38"/>
  <c r="I23" i="38"/>
  <c r="O22" i="38"/>
  <c r="M22" i="38"/>
  <c r="I22" i="38"/>
  <c r="O21" i="38"/>
  <c r="M21" i="38"/>
  <c r="I21" i="38"/>
  <c r="O20" i="38"/>
  <c r="M20" i="38"/>
  <c r="I20" i="38"/>
  <c r="O19" i="38"/>
  <c r="M19" i="38"/>
  <c r="I19" i="38"/>
  <c r="O18" i="38"/>
  <c r="M18" i="38"/>
  <c r="I18" i="38"/>
  <c r="O17" i="38"/>
  <c r="M17" i="38"/>
  <c r="I17" i="38"/>
  <c r="O16" i="38"/>
  <c r="M16" i="38"/>
  <c r="N16" i="38" s="1"/>
  <c r="I16" i="38"/>
  <c r="O15" i="38"/>
  <c r="M15" i="38"/>
  <c r="I15" i="38"/>
  <c r="N15" i="38" s="1"/>
  <c r="O14" i="38"/>
  <c r="M14" i="38"/>
  <c r="I14" i="38"/>
  <c r="O13" i="38"/>
  <c r="M13" i="38"/>
  <c r="I13" i="38"/>
  <c r="N13" i="38" s="1"/>
  <c r="O12" i="38"/>
  <c r="M12" i="38"/>
  <c r="I12" i="38"/>
  <c r="O11" i="38"/>
  <c r="M11" i="38"/>
  <c r="I11" i="38"/>
  <c r="O10" i="38"/>
  <c r="M10" i="38"/>
  <c r="I10" i="38"/>
  <c r="O9" i="38"/>
  <c r="M9" i="38"/>
  <c r="I9" i="38"/>
  <c r="O8" i="38"/>
  <c r="M8" i="38"/>
  <c r="I8" i="38"/>
  <c r="P34" i="38" l="1"/>
  <c r="P15" i="38"/>
  <c r="N19" i="38"/>
  <c r="P19" i="38" s="1"/>
  <c r="N22" i="38"/>
  <c r="N39" i="38"/>
  <c r="P39" i="38" s="1"/>
  <c r="N43" i="38"/>
  <c r="P43" i="38" s="1"/>
  <c r="N20" i="38"/>
  <c r="P20" i="38" s="1"/>
  <c r="N24" i="38"/>
  <c r="P24" i="38" s="1"/>
  <c r="N38" i="38"/>
  <c r="P38" i="38" s="1"/>
  <c r="N41" i="38"/>
  <c r="N11" i="38"/>
  <c r="N23" i="38"/>
  <c r="P23" i="38" s="1"/>
  <c r="N30" i="38"/>
  <c r="N42" i="38"/>
  <c r="P42" i="38" s="1"/>
  <c r="P13" i="38"/>
  <c r="P22" i="38"/>
  <c r="P32" i="38"/>
  <c r="P41" i="38"/>
  <c r="N8" i="38"/>
  <c r="P8" i="38" s="1"/>
  <c r="N12" i="38"/>
  <c r="P12" i="38" s="1"/>
  <c r="N31" i="38"/>
  <c r="P31" i="38" s="1"/>
  <c r="P11" i="38"/>
  <c r="N14" i="38"/>
  <c r="P14" i="38" s="1"/>
  <c r="P16" i="38"/>
  <c r="P30" i="38"/>
  <c r="N33" i="38"/>
  <c r="P33" i="38" s="1"/>
  <c r="P35" i="38"/>
  <c r="N9" i="38"/>
  <c r="P9" i="38" s="1"/>
  <c r="N27" i="38"/>
  <c r="P27" i="38" s="1"/>
  <c r="N17" i="38"/>
  <c r="P17" i="38" s="1"/>
  <c r="N36" i="38"/>
  <c r="P36" i="38" s="1"/>
  <c r="N25" i="38"/>
  <c r="P25" i="38" s="1"/>
  <c r="N44" i="38"/>
  <c r="P44" i="38" s="1"/>
  <c r="N10" i="38"/>
  <c r="P10" i="38" s="1"/>
  <c r="N29" i="38"/>
  <c r="P29" i="38" s="1"/>
  <c r="N18" i="38"/>
  <c r="P18" i="38" s="1"/>
  <c r="N21" i="38"/>
  <c r="P21" i="38" s="1"/>
  <c r="N37" i="38"/>
  <c r="P37" i="38" s="1"/>
  <c r="P28" i="38" s="1"/>
  <c r="N40" i="38"/>
  <c r="P40" i="38" s="1"/>
  <c r="P26" i="38"/>
  <c r="P45" i="38"/>
  <c r="P49" i="38" l="1"/>
  <c r="P52" i="38" s="1"/>
  <c r="P7" i="38"/>
  <c r="E349" i="15" l="1"/>
  <c r="I349" i="15" s="1"/>
  <c r="J348" i="15" s="1"/>
  <c r="I346" i="15"/>
  <c r="D345" i="15"/>
  <c r="I345" i="15" s="1"/>
  <c r="I342" i="15"/>
  <c r="I341" i="15"/>
  <c r="I340" i="15"/>
  <c r="I339" i="15"/>
  <c r="I338" i="15"/>
  <c r="I337" i="15"/>
  <c r="I336" i="15"/>
  <c r="I335" i="15"/>
  <c r="I334" i="15"/>
  <c r="I333" i="15"/>
  <c r="I332" i="15"/>
  <c r="G326" i="15"/>
  <c r="I326" i="15" s="1"/>
  <c r="D325" i="15"/>
  <c r="I325" i="15" s="1"/>
  <c r="G324" i="15"/>
  <c r="I324" i="15" s="1"/>
  <c r="D323" i="15"/>
  <c r="I323" i="15" s="1"/>
  <c r="I320" i="15"/>
  <c r="I319" i="15"/>
  <c r="I317" i="15"/>
  <c r="I316" i="15"/>
  <c r="I315" i="15"/>
  <c r="I314" i="15"/>
  <c r="I313" i="15"/>
  <c r="I312" i="15"/>
  <c r="I311" i="15"/>
  <c r="I310" i="15"/>
  <c r="I308" i="15"/>
  <c r="I307" i="15"/>
  <c r="I306" i="15"/>
  <c r="I305" i="15"/>
  <c r="I304" i="15"/>
  <c r="I303" i="15"/>
  <c r="I302" i="15"/>
  <c r="I301" i="15"/>
  <c r="I300" i="15"/>
  <c r="I299" i="15"/>
  <c r="I298" i="15"/>
  <c r="I297" i="15"/>
  <c r="I296" i="15"/>
  <c r="I295" i="15"/>
  <c r="I293" i="15"/>
  <c r="I292" i="15"/>
  <c r="I291" i="15"/>
  <c r="I290" i="15"/>
  <c r="I289" i="15"/>
  <c r="I288" i="15"/>
  <c r="I287" i="15"/>
  <c r="I286" i="15"/>
  <c r="I285" i="15"/>
  <c r="I284" i="15"/>
  <c r="I283" i="15"/>
  <c r="I282" i="15"/>
  <c r="I280" i="15"/>
  <c r="I279" i="15"/>
  <c r="I278" i="15"/>
  <c r="I277" i="15"/>
  <c r="I276" i="15"/>
  <c r="I275" i="15"/>
  <c r="I274" i="15"/>
  <c r="I273" i="15"/>
  <c r="I272" i="15"/>
  <c r="I271" i="15"/>
  <c r="I270" i="15"/>
  <c r="I269" i="15"/>
  <c r="I268" i="15"/>
  <c r="I267" i="15"/>
  <c r="I266" i="15"/>
  <c r="I265" i="15"/>
  <c r="I264" i="15"/>
  <c r="I263" i="15"/>
  <c r="I262" i="15"/>
  <c r="I256" i="15"/>
  <c r="F255" i="15"/>
  <c r="D255" i="15"/>
  <c r="I254" i="15"/>
  <c r="D253" i="15"/>
  <c r="I253" i="15" s="1"/>
  <c r="I251" i="15"/>
  <c r="D250" i="15"/>
  <c r="I250" i="15" s="1"/>
  <c r="D249" i="15"/>
  <c r="I249" i="15" s="1"/>
  <c r="D248" i="15"/>
  <c r="I248" i="15" s="1"/>
  <c r="D246" i="15"/>
  <c r="I246" i="15" s="1"/>
  <c r="D245" i="15"/>
  <c r="I245" i="15" s="1"/>
  <c r="D244" i="15"/>
  <c r="I244" i="15" s="1"/>
  <c r="I243" i="15"/>
  <c r="D241" i="15"/>
  <c r="I241" i="15" s="1"/>
  <c r="I240" i="15"/>
  <c r="I239" i="15"/>
  <c r="I238" i="15"/>
  <c r="I237" i="15"/>
  <c r="I234" i="15"/>
  <c r="D233" i="15"/>
  <c r="I233" i="15" s="1"/>
  <c r="I232" i="15"/>
  <c r="I231" i="15"/>
  <c r="I230" i="15"/>
  <c r="I229" i="15"/>
  <c r="I228" i="15"/>
  <c r="D227" i="15"/>
  <c r="I226" i="15"/>
  <c r="D225" i="15"/>
  <c r="I225" i="15" s="1"/>
  <c r="I224" i="15"/>
  <c r="I223" i="15"/>
  <c r="I222" i="15"/>
  <c r="I221" i="15"/>
  <c r="I220" i="15"/>
  <c r="D219" i="15"/>
  <c r="I219" i="15" s="1"/>
  <c r="I218" i="15"/>
  <c r="D217" i="15"/>
  <c r="I217" i="15" s="1"/>
  <c r="I216" i="15"/>
  <c r="D215" i="15"/>
  <c r="I215" i="15" s="1"/>
  <c r="I214" i="15"/>
  <c r="I213" i="15"/>
  <c r="I212" i="15"/>
  <c r="D211" i="15"/>
  <c r="I211" i="15" s="1"/>
  <c r="I210" i="15"/>
  <c r="D209" i="15"/>
  <c r="I209" i="15" s="1"/>
  <c r="I208" i="15"/>
  <c r="D207" i="15"/>
  <c r="I207" i="15" s="1"/>
  <c r="I205" i="15"/>
  <c r="D204" i="15"/>
  <c r="I204" i="15" s="1"/>
  <c r="I203" i="15"/>
  <c r="I202" i="15"/>
  <c r="I201" i="15"/>
  <c r="I200" i="15"/>
  <c r="I199" i="15"/>
  <c r="D198" i="15"/>
  <c r="I197" i="15"/>
  <c r="D196" i="15"/>
  <c r="I196" i="15" s="1"/>
  <c r="I195" i="15"/>
  <c r="I194" i="15"/>
  <c r="I193" i="15"/>
  <c r="I192" i="15"/>
  <c r="I191" i="15"/>
  <c r="D190" i="15"/>
  <c r="I190" i="15" s="1"/>
  <c r="I189" i="15"/>
  <c r="D188" i="15"/>
  <c r="I188" i="15" s="1"/>
  <c r="I187" i="15"/>
  <c r="D186" i="15"/>
  <c r="I186" i="15" s="1"/>
  <c r="I185" i="15"/>
  <c r="I184" i="15"/>
  <c r="I183" i="15"/>
  <c r="D182" i="15"/>
  <c r="I182" i="15" s="1"/>
  <c r="I181" i="15"/>
  <c r="D180" i="15"/>
  <c r="I180" i="15" s="1"/>
  <c r="I179" i="15"/>
  <c r="D178" i="15"/>
  <c r="I178" i="15" s="1"/>
  <c r="I176" i="15"/>
  <c r="D175" i="15"/>
  <c r="I175" i="15" s="1"/>
  <c r="D172" i="15"/>
  <c r="I172" i="15" s="1"/>
  <c r="D171" i="15"/>
  <c r="I171" i="15" s="1"/>
  <c r="D170" i="15"/>
  <c r="I170" i="15" s="1"/>
  <c r="D169" i="15"/>
  <c r="I169" i="15" s="1"/>
  <c r="D168" i="15"/>
  <c r="I168" i="15" s="1"/>
  <c r="D167" i="15"/>
  <c r="I167" i="15" s="1"/>
  <c r="D166" i="15"/>
  <c r="I166" i="15" s="1"/>
  <c r="I165" i="15"/>
  <c r="I164" i="15"/>
  <c r="I163" i="15"/>
  <c r="D162" i="15"/>
  <c r="I162" i="15" s="1"/>
  <c r="I161" i="15"/>
  <c r="I160" i="15"/>
  <c r="I159" i="15"/>
  <c r="D158" i="15"/>
  <c r="I158" i="15" s="1"/>
  <c r="I157" i="15"/>
  <c r="D156" i="15"/>
  <c r="I156" i="15" s="1"/>
  <c r="I155" i="15"/>
  <c r="D154" i="15"/>
  <c r="I153" i="15"/>
  <c r="D152" i="15"/>
  <c r="I152" i="15" s="1"/>
  <c r="I151" i="15"/>
  <c r="D150" i="15"/>
  <c r="I150" i="15" s="1"/>
  <c r="I149" i="15"/>
  <c r="D148" i="15"/>
  <c r="I145" i="15"/>
  <c r="I144" i="15"/>
  <c r="D143" i="15"/>
  <c r="I143" i="15" s="1"/>
  <c r="I142" i="15"/>
  <c r="D141" i="15"/>
  <c r="I141" i="15" s="1"/>
  <c r="D139" i="15"/>
  <c r="I139" i="15" s="1"/>
  <c r="D138" i="15"/>
  <c r="I138" i="15" s="1"/>
  <c r="D137" i="15"/>
  <c r="I137" i="15" s="1"/>
  <c r="D136" i="15"/>
  <c r="I136" i="15" s="1"/>
  <c r="D135" i="15"/>
  <c r="I135" i="15" s="1"/>
  <c r="I134" i="15"/>
  <c r="I133" i="15"/>
  <c r="D132" i="15"/>
  <c r="I132" i="15" s="1"/>
  <c r="I131" i="15"/>
  <c r="F130" i="15"/>
  <c r="D130" i="15"/>
  <c r="I129" i="15"/>
  <c r="I128" i="15"/>
  <c r="I127" i="15"/>
  <c r="E126" i="15"/>
  <c r="I126" i="15" s="1"/>
  <c r="E125" i="15"/>
  <c r="I125" i="15" s="1"/>
  <c r="F124" i="15"/>
  <c r="D124" i="15"/>
  <c r="I123" i="15"/>
  <c r="D122" i="15"/>
  <c r="I122" i="15" s="1"/>
  <c r="I121" i="15"/>
  <c r="I120" i="15"/>
  <c r="I119" i="15"/>
  <c r="I118" i="15"/>
  <c r="D117" i="15"/>
  <c r="I117" i="15" s="1"/>
  <c r="I116" i="15"/>
  <c r="I115" i="15"/>
  <c r="D114" i="15"/>
  <c r="I114" i="15" s="1"/>
  <c r="D113" i="15"/>
  <c r="I113" i="15" s="1"/>
  <c r="D112" i="15"/>
  <c r="I112" i="15" s="1"/>
  <c r="D111" i="15"/>
  <c r="I111" i="15" s="1"/>
  <c r="I110" i="15"/>
  <c r="I109" i="15"/>
  <c r="I108" i="15"/>
  <c r="I107" i="15"/>
  <c r="I106" i="15"/>
  <c r="I105" i="15"/>
  <c r="I104" i="15"/>
  <c r="I103" i="15"/>
  <c r="I102" i="15"/>
  <c r="I101" i="15"/>
  <c r="D99" i="15"/>
  <c r="I99" i="15" s="1"/>
  <c r="D98" i="15"/>
  <c r="I98" i="15" s="1"/>
  <c r="D97" i="15"/>
  <c r="I97" i="15" s="1"/>
  <c r="D96" i="15"/>
  <c r="I96" i="15" s="1"/>
  <c r="D95" i="15"/>
  <c r="I95" i="15" s="1"/>
  <c r="I94" i="15"/>
  <c r="I93" i="15"/>
  <c r="D92" i="15"/>
  <c r="I92" i="15" s="1"/>
  <c r="I91" i="15"/>
  <c r="I90" i="15"/>
  <c r="I89" i="15"/>
  <c r="I88" i="15"/>
  <c r="I87" i="15"/>
  <c r="F86" i="15"/>
  <c r="D86" i="15"/>
  <c r="I85" i="15"/>
  <c r="I84" i="15"/>
  <c r="I83" i="15"/>
  <c r="E82" i="15"/>
  <c r="I82" i="15" s="1"/>
  <c r="E81" i="15"/>
  <c r="I81" i="15" s="1"/>
  <c r="F80" i="15"/>
  <c r="D80" i="15"/>
  <c r="I79" i="15"/>
  <c r="D78" i="15"/>
  <c r="I78" i="15" s="1"/>
  <c r="I77" i="15"/>
  <c r="I76" i="15"/>
  <c r="I75" i="15"/>
  <c r="I74" i="15"/>
  <c r="I73" i="15"/>
  <c r="D72" i="15"/>
  <c r="I72" i="15" s="1"/>
  <c r="D71" i="15"/>
  <c r="I71" i="15" s="1"/>
  <c r="D70" i="15"/>
  <c r="I70" i="15" s="1"/>
  <c r="D69" i="15"/>
  <c r="I69" i="15" s="1"/>
  <c r="I68" i="15"/>
  <c r="I67" i="15"/>
  <c r="I66" i="15"/>
  <c r="I65" i="15"/>
  <c r="I64" i="15"/>
  <c r="I63" i="15"/>
  <c r="I62" i="15"/>
  <c r="I61" i="15"/>
  <c r="I60" i="15"/>
  <c r="I59" i="15"/>
  <c r="I58" i="15"/>
  <c r="D56" i="15"/>
  <c r="I56" i="15" s="1"/>
  <c r="D55" i="15"/>
  <c r="I55" i="15" s="1"/>
  <c r="D54" i="15"/>
  <c r="I54" i="15" s="1"/>
  <c r="D53" i="15"/>
  <c r="I53" i="15" s="1"/>
  <c r="D52" i="15"/>
  <c r="I52" i="15" s="1"/>
  <c r="D51" i="15"/>
  <c r="I51" i="15" s="1"/>
  <c r="I50" i="15"/>
  <c r="I49" i="15"/>
  <c r="D48" i="15"/>
  <c r="I48" i="15" s="1"/>
  <c r="I47" i="15"/>
  <c r="I46" i="15"/>
  <c r="D45" i="15"/>
  <c r="I45" i="15" s="1"/>
  <c r="I44" i="15"/>
  <c r="I43" i="15"/>
  <c r="D42" i="15"/>
  <c r="I42" i="15" s="1"/>
  <c r="I41" i="15"/>
  <c r="I40" i="15"/>
  <c r="D39" i="15"/>
  <c r="I39" i="15" s="1"/>
  <c r="I38" i="15"/>
  <c r="I37" i="15"/>
  <c r="I36" i="15"/>
  <c r="I35" i="15"/>
  <c r="F34" i="15"/>
  <c r="D34" i="15"/>
  <c r="I33" i="15"/>
  <c r="I32" i="15"/>
  <c r="I31" i="15"/>
  <c r="E30" i="15"/>
  <c r="I30" i="15" s="1"/>
  <c r="E29" i="15"/>
  <c r="I29" i="15" s="1"/>
  <c r="F28" i="15"/>
  <c r="D28" i="15"/>
  <c r="I27" i="15"/>
  <c r="I26" i="15"/>
  <c r="I25" i="15"/>
  <c r="I24" i="15"/>
  <c r="D23" i="15"/>
  <c r="I23" i="15" s="1"/>
  <c r="F22" i="15"/>
  <c r="D22" i="15"/>
  <c r="I21" i="15"/>
  <c r="D20" i="15"/>
  <c r="I20" i="15" s="1"/>
  <c r="I19" i="15"/>
  <c r="I18" i="15"/>
  <c r="D17" i="15"/>
  <c r="I17" i="15" s="1"/>
  <c r="I16" i="15"/>
  <c r="I15" i="15"/>
  <c r="D14" i="15"/>
  <c r="I14" i="15" s="1"/>
  <c r="I154" i="15" l="1"/>
  <c r="J159" i="15"/>
  <c r="I198" i="15"/>
  <c r="J198" i="15"/>
  <c r="I148" i="15"/>
  <c r="J153" i="15"/>
  <c r="I227" i="15"/>
  <c r="J227" i="15"/>
  <c r="I343" i="15"/>
  <c r="I34" i="15"/>
  <c r="I28" i="15"/>
  <c r="J259" i="15"/>
  <c r="I22" i="15"/>
  <c r="I124" i="15"/>
  <c r="I255" i="15"/>
  <c r="J146" i="15" s="1"/>
  <c r="I86" i="15"/>
  <c r="I130" i="15"/>
  <c r="I80" i="15"/>
  <c r="J347" i="15" l="1"/>
  <c r="K146" i="15"/>
  <c r="F14" i="39" s="1"/>
  <c r="L14" i="39" s="1"/>
  <c r="M14" i="39" s="1"/>
  <c r="I330" i="15"/>
  <c r="J12" i="15"/>
  <c r="I329" i="15" s="1"/>
  <c r="H33" i="34" l="1"/>
  <c r="F34" i="34"/>
  <c r="H34" i="34" s="1"/>
  <c r="F33" i="34"/>
  <c r="F32" i="34"/>
  <c r="H32" i="34" s="1"/>
  <c r="F31" i="34"/>
  <c r="H31" i="34" s="1"/>
  <c r="F25" i="34"/>
  <c r="H29" i="34"/>
  <c r="J28" i="34" s="1"/>
  <c r="C40" i="34" s="1"/>
  <c r="E17" i="34"/>
  <c r="D14" i="34"/>
  <c r="G8" i="34"/>
  <c r="G7" i="34"/>
  <c r="I48" i="31"/>
  <c r="J7" i="31"/>
  <c r="I51" i="31" s="1"/>
  <c r="G46" i="30"/>
  <c r="G45" i="30"/>
  <c r="F46" i="30"/>
  <c r="I54" i="31" l="1"/>
  <c r="J30" i="34"/>
  <c r="C41" i="34" s="1"/>
  <c r="J46" i="30"/>
  <c r="L46" i="30" s="1"/>
  <c r="D63" i="30" s="1"/>
  <c r="F49" i="30"/>
  <c r="G49" i="30"/>
  <c r="G48" i="30"/>
  <c r="F48" i="30"/>
  <c r="F41" i="30"/>
  <c r="J41" i="30" s="1"/>
  <c r="F45" i="30"/>
  <c r="I40" i="30"/>
  <c r="F40" i="30"/>
  <c r="G21" i="30"/>
  <c r="J21" i="30" s="1"/>
  <c r="E29" i="30"/>
  <c r="E31" i="30"/>
  <c r="D31" i="30"/>
  <c r="D29" i="30"/>
  <c r="F27" i="30"/>
  <c r="J27" i="30" s="1"/>
  <c r="F26" i="30"/>
  <c r="E37" i="30"/>
  <c r="D37" i="30"/>
  <c r="D40" i="30"/>
  <c r="F42" i="30"/>
  <c r="E42" i="30"/>
  <c r="D42" i="30"/>
  <c r="F35" i="30"/>
  <c r="F34" i="30"/>
  <c r="G34" i="30"/>
  <c r="J40" i="30" l="1"/>
  <c r="J42" i="30"/>
  <c r="J49" i="30"/>
  <c r="L49" i="30" s="1"/>
  <c r="D62" i="30" s="1"/>
  <c r="J39" i="30" l="1"/>
  <c r="G19" i="30" l="1"/>
  <c r="G17" i="30"/>
  <c r="I56" i="31"/>
  <c r="H56" i="31"/>
  <c r="F24" i="30"/>
  <c r="J24" i="30" s="1"/>
  <c r="E23" i="30"/>
  <c r="K56" i="31" l="1"/>
  <c r="F42" i="31"/>
  <c r="I31" i="31"/>
  <c r="I30" i="31"/>
  <c r="I29" i="31"/>
  <c r="I28" i="31"/>
  <c r="I27" i="31"/>
  <c r="I26" i="31"/>
  <c r="I25" i="31"/>
  <c r="I24" i="31"/>
  <c r="E25" i="31"/>
  <c r="K25" i="31" s="1"/>
  <c r="E26" i="31"/>
  <c r="E27" i="31"/>
  <c r="E28" i="31"/>
  <c r="E29" i="31"/>
  <c r="E30" i="31"/>
  <c r="E31" i="31"/>
  <c r="K31" i="31" s="1"/>
  <c r="E24" i="31"/>
  <c r="K26" i="31" l="1"/>
  <c r="K24" i="31"/>
  <c r="K29" i="31"/>
  <c r="K28" i="31"/>
  <c r="K30" i="31"/>
  <c r="K27" i="31"/>
  <c r="H25" i="34" l="1"/>
  <c r="J25" i="34" s="1"/>
  <c r="F24" i="34"/>
  <c r="H24" i="34" s="1"/>
  <c r="D23" i="34"/>
  <c r="F23" i="34"/>
  <c r="H17" i="34"/>
  <c r="F21" i="34"/>
  <c r="H21" i="34" s="1"/>
  <c r="F20" i="34"/>
  <c r="D20" i="34"/>
  <c r="H15" i="34"/>
  <c r="H16" i="34"/>
  <c r="H18" i="34"/>
  <c r="F15" i="34"/>
  <c r="F14" i="34"/>
  <c r="H14" i="34" s="1"/>
  <c r="H13" i="34" l="1"/>
  <c r="H20" i="34"/>
  <c r="H19" i="34" s="1"/>
  <c r="J19" i="34" s="1"/>
  <c r="H23" i="34"/>
  <c r="H22" i="34" s="1"/>
  <c r="J22" i="34" s="1"/>
  <c r="M23" i="31"/>
  <c r="F38" i="30"/>
  <c r="J38" i="30" s="1"/>
  <c r="F36" i="30"/>
  <c r="J36" i="30" s="1"/>
  <c r="F37" i="30"/>
  <c r="D35" i="30"/>
  <c r="F32" i="30"/>
  <c r="J32" i="30" s="1"/>
  <c r="F30" i="30"/>
  <c r="J30" i="30" s="1"/>
  <c r="F31" i="30"/>
  <c r="F29" i="30"/>
  <c r="D45" i="30"/>
  <c r="D34" i="30"/>
  <c r="D26" i="30"/>
  <c r="J26" i="30" s="1"/>
  <c r="D23" i="30"/>
  <c r="D19" i="30"/>
  <c r="D17" i="30"/>
  <c r="E48" i="30"/>
  <c r="J48" i="30" s="1"/>
  <c r="E45" i="30"/>
  <c r="E34" i="30"/>
  <c r="E19" i="30"/>
  <c r="E17" i="30"/>
  <c r="F55" i="31"/>
  <c r="F53" i="31"/>
  <c r="E55" i="31"/>
  <c r="J37" i="30" l="1"/>
  <c r="J35" i="30"/>
  <c r="J23" i="30"/>
  <c r="J22" i="30" s="1"/>
  <c r="J31" i="30"/>
  <c r="J34" i="30"/>
  <c r="J29" i="30"/>
  <c r="K55" i="31"/>
  <c r="J45" i="30"/>
  <c r="J13" i="34"/>
  <c r="J12" i="34" s="1"/>
  <c r="C39" i="34" s="1"/>
  <c r="M22" i="31"/>
  <c r="K39" i="30"/>
  <c r="L39" i="30" s="1"/>
  <c r="D56" i="30" s="1"/>
  <c r="M56" i="31"/>
  <c r="K54" i="31"/>
  <c r="K51" i="31"/>
  <c r="K48" i="31"/>
  <c r="F50" i="31"/>
  <c r="J28" i="30" l="1"/>
  <c r="C65" i="31"/>
  <c r="L28" i="30"/>
  <c r="D54" i="30" s="1"/>
  <c r="J25" i="30"/>
  <c r="L22" i="30"/>
  <c r="D53" i="30" s="1"/>
  <c r="I50" i="31"/>
  <c r="D14" i="31"/>
  <c r="D15" i="31"/>
  <c r="D17" i="31"/>
  <c r="I47" i="31"/>
  <c r="F47" i="31"/>
  <c r="L25" i="30" l="1"/>
  <c r="D59" i="30" s="1"/>
  <c r="F40" i="31"/>
  <c r="F34" i="31"/>
  <c r="F37" i="31"/>
  <c r="E42" i="31"/>
  <c r="K42" i="31" s="1"/>
  <c r="F15" i="31"/>
  <c r="I17" i="31"/>
  <c r="F17" i="31"/>
  <c r="D18" i="31"/>
  <c r="E18" i="31"/>
  <c r="D19" i="31"/>
  <c r="E19" i="31"/>
  <c r="F19" i="31"/>
  <c r="F18" i="31"/>
  <c r="M42" i="31" l="1"/>
  <c r="E53" i="31"/>
  <c r="K53" i="31" s="1"/>
  <c r="M52" i="31" s="1"/>
  <c r="E50" i="31"/>
  <c r="K50" i="31" s="1"/>
  <c r="M49" i="31" s="1"/>
  <c r="E37" i="31"/>
  <c r="K37" i="31" s="1"/>
  <c r="E41" i="31"/>
  <c r="K41" i="31" s="1"/>
  <c r="E38" i="31"/>
  <c r="K38" i="31" s="1"/>
  <c r="K18" i="31"/>
  <c r="E40" i="31"/>
  <c r="K40" i="31" s="1"/>
  <c r="K19" i="31"/>
  <c r="I15" i="31"/>
  <c r="E17" i="31"/>
  <c r="K17" i="31" s="1"/>
  <c r="E47" i="31"/>
  <c r="K47" i="31" s="1"/>
  <c r="I14" i="31"/>
  <c r="F14" i="31"/>
  <c r="K58" i="31" l="1"/>
  <c r="M46" i="31"/>
  <c r="M45" i="31" s="1"/>
  <c r="C66" i="31" s="1"/>
  <c r="M39" i="31"/>
  <c r="M36" i="31"/>
  <c r="E35" i="31"/>
  <c r="K35" i="31" s="1"/>
  <c r="E34" i="31"/>
  <c r="K34" i="31" s="1"/>
  <c r="M16" i="31"/>
  <c r="E14" i="31"/>
  <c r="K14" i="31" s="1"/>
  <c r="E15" i="31"/>
  <c r="K15" i="31" l="1"/>
  <c r="M15" i="31" s="1"/>
  <c r="K21" i="31"/>
  <c r="K44" i="31"/>
  <c r="M14" i="31"/>
  <c r="M33" i="31"/>
  <c r="M32" i="31" s="1"/>
  <c r="C64" i="31" s="1"/>
  <c r="M44" i="31"/>
  <c r="M58" i="31"/>
  <c r="M13" i="31" l="1"/>
  <c r="C63" i="31"/>
  <c r="M21" i="31"/>
  <c r="C67" i="31" s="1"/>
  <c r="J20" i="30" l="1"/>
  <c r="F19" i="30"/>
  <c r="J19" i="30" s="1"/>
  <c r="F17" i="30"/>
  <c r="J17" i="30" s="1"/>
  <c r="J33" i="30" l="1"/>
  <c r="L33" i="30" s="1"/>
  <c r="J47" i="30"/>
  <c r="K47" i="30"/>
  <c r="K20" i="30"/>
  <c r="L20" i="30" s="1"/>
  <c r="D60" i="30" s="1"/>
  <c r="K44" i="30"/>
  <c r="K18" i="30"/>
  <c r="J18" i="30"/>
  <c r="L47" i="30" l="1"/>
  <c r="D61" i="30" s="1"/>
  <c r="J44" i="30"/>
  <c r="L44" i="30" s="1"/>
  <c r="D57" i="30" s="1"/>
  <c r="D55" i="30"/>
  <c r="L18" i="30"/>
  <c r="D58" i="30" s="1"/>
  <c r="K16" i="30"/>
  <c r="J16" i="30"/>
  <c r="G219" i="29"/>
  <c r="G218" i="29"/>
  <c r="G166" i="29"/>
  <c r="G160" i="29"/>
  <c r="G159" i="29"/>
  <c r="G161" i="29"/>
  <c r="G158" i="29"/>
  <c r="L16" i="30" l="1"/>
  <c r="D52" i="30" s="1"/>
  <c r="G46" i="29" l="1"/>
  <c r="G143" i="29"/>
  <c r="G142" i="29"/>
  <c r="G141" i="29"/>
  <c r="G139" i="29"/>
  <c r="G138" i="29"/>
  <c r="G140" i="29"/>
  <c r="G137" i="29"/>
  <c r="G136" i="29"/>
  <c r="G135" i="29"/>
  <c r="G120" i="29"/>
  <c r="G119" i="29"/>
  <c r="G118" i="29"/>
  <c r="G155" i="29"/>
  <c r="G154" i="29"/>
  <c r="G153" i="29"/>
  <c r="G112" i="29"/>
  <c r="G29" i="29"/>
  <c r="G28" i="29"/>
  <c r="G30" i="29"/>
  <c r="G86" i="29"/>
  <c r="G85" i="29"/>
  <c r="G84" i="29"/>
  <c r="G68" i="29" l="1"/>
  <c r="G71" i="29"/>
  <c r="G70" i="29"/>
  <c r="G54" i="29"/>
  <c r="G69" i="29"/>
  <c r="G47" i="29"/>
  <c r="G45" i="29"/>
  <c r="G44" i="29"/>
  <c r="G43" i="29"/>
  <c r="G42" i="29"/>
  <c r="G27" i="29"/>
  <c r="G26" i="29"/>
  <c r="G24" i="29"/>
  <c r="G23" i="29"/>
  <c r="G22" i="29"/>
  <c r="G21" i="29"/>
  <c r="G20" i="29"/>
  <c r="J328" i="15"/>
  <c r="G52" i="29"/>
  <c r="G51" i="29"/>
  <c r="G50" i="29"/>
  <c r="G49" i="29"/>
  <c r="G41" i="29"/>
  <c r="G40" i="29"/>
  <c r="G36" i="29"/>
  <c r="G35" i="29"/>
  <c r="G34" i="29"/>
  <c r="G33" i="29"/>
  <c r="G37" i="29"/>
  <c r="G38" i="29"/>
  <c r="G39" i="29"/>
  <c r="G32" i="29"/>
  <c r="G117" i="29"/>
  <c r="G134" i="29"/>
  <c r="G133" i="29"/>
  <c r="G132" i="29"/>
  <c r="G131" i="29"/>
  <c r="G130" i="29"/>
  <c r="G129" i="29"/>
  <c r="G111" i="29"/>
  <c r="G110" i="29"/>
  <c r="G107" i="29"/>
  <c r="G105" i="29"/>
  <c r="G103" i="29"/>
  <c r="G101" i="29"/>
  <c r="G99" i="29"/>
  <c r="G97" i="29"/>
  <c r="G95" i="29"/>
  <c r="G93" i="29"/>
  <c r="G92" i="29"/>
  <c r="G91" i="29"/>
  <c r="G83" i="29"/>
  <c r="G82" i="29"/>
  <c r="G81" i="29"/>
  <c r="G79" i="29"/>
  <c r="G78" i="29"/>
  <c r="G76" i="29"/>
  <c r="G75" i="29"/>
  <c r="G74" i="29"/>
  <c r="G18" i="29"/>
  <c r="G17" i="29"/>
  <c r="G16" i="29"/>
  <c r="G15" i="29"/>
  <c r="G152" i="29" l="1"/>
  <c r="G151" i="29"/>
  <c r="G150" i="29"/>
  <c r="G149" i="29"/>
  <c r="G148" i="29"/>
  <c r="G147" i="29"/>
  <c r="G116" i="29"/>
  <c r="G115" i="29"/>
  <c r="A115" i="29"/>
  <c r="A116" i="29" s="1"/>
  <c r="A117" i="29" s="1"/>
  <c r="A118" i="29" s="1"/>
  <c r="G114" i="29"/>
  <c r="G90" i="29"/>
  <c r="G89" i="29"/>
  <c r="G88" i="29"/>
  <c r="G80" i="29"/>
  <c r="G128" i="29"/>
  <c r="G127" i="29"/>
  <c r="A127" i="29"/>
  <c r="A128" i="29" s="1"/>
  <c r="A129" i="29" s="1"/>
  <c r="A130" i="29" s="1"/>
  <c r="A131" i="29" s="1"/>
  <c r="A132" i="29" s="1"/>
  <c r="A133" i="29" s="1"/>
  <c r="A134" i="29" s="1"/>
  <c r="G126" i="29"/>
  <c r="G8" i="29"/>
  <c r="G7" i="29"/>
  <c r="G6" i="29"/>
  <c r="G5" i="29"/>
  <c r="G233" i="29" l="1"/>
  <c r="G234" i="29" s="1"/>
  <c r="G235" i="29" s="1"/>
  <c r="E41" i="39" l="1"/>
  <c r="F41" i="39" s="1"/>
  <c r="E43" i="39"/>
  <c r="E44" i="39"/>
  <c r="E45" i="39"/>
  <c r="E46" i="39"/>
  <c r="E47" i="39"/>
  <c r="E48" i="39"/>
  <c r="E49" i="39"/>
  <c r="E50" i="39"/>
  <c r="E51" i="39"/>
  <c r="E52" i="39"/>
  <c r="E53" i="39"/>
  <c r="E54" i="39"/>
  <c r="E55" i="39"/>
  <c r="E56" i="39"/>
  <c r="F56" i="39" s="1"/>
  <c r="E34" i="39"/>
  <c r="E31" i="39"/>
  <c r="F31" i="39" s="1"/>
  <c r="E21" i="17"/>
  <c r="E28" i="39" s="1"/>
  <c r="E20" i="17"/>
  <c r="E27" i="39" s="1"/>
  <c r="E19" i="17"/>
  <c r="E23" i="39" s="1"/>
  <c r="F23" i="39" s="1"/>
  <c r="E18" i="17"/>
  <c r="E19" i="39" s="1"/>
  <c r="F19" i="39" s="1"/>
  <c r="E17" i="17"/>
  <c r="E18" i="39" s="1"/>
  <c r="E16" i="17"/>
  <c r="E17" i="39" s="1"/>
  <c r="E15" i="17"/>
  <c r="E16" i="39" s="1"/>
  <c r="E14" i="17"/>
  <c r="E15" i="39" s="1"/>
  <c r="E13" i="17"/>
  <c r="E14" i="39" s="1"/>
  <c r="K14" i="39" s="1"/>
  <c r="N14" i="39" s="1"/>
  <c r="E12" i="17"/>
  <c r="E13" i="39" s="1"/>
  <c r="E11" i="17"/>
  <c r="E12" i="39" s="1"/>
  <c r="E10" i="17"/>
  <c r="E11" i="39" s="1"/>
  <c r="E9" i="17"/>
  <c r="E10" i="39" s="1"/>
  <c r="E8" i="17"/>
  <c r="E9" i="39" s="1"/>
  <c r="K12" i="39" l="1"/>
  <c r="F12" i="39"/>
  <c r="L12" i="39" s="1"/>
  <c r="M12" i="39" s="1"/>
  <c r="L23" i="39"/>
  <c r="M23" i="39" s="1"/>
  <c r="K49" i="39"/>
  <c r="F49" i="39"/>
  <c r="L49" i="39" s="1"/>
  <c r="K13" i="39"/>
  <c r="F13" i="39"/>
  <c r="L13" i="39" s="1"/>
  <c r="M13" i="39" s="1"/>
  <c r="K55" i="39"/>
  <c r="F55" i="39"/>
  <c r="L55" i="39" s="1"/>
  <c r="K47" i="39"/>
  <c r="F47" i="39"/>
  <c r="L47" i="39" s="1"/>
  <c r="L31" i="39"/>
  <c r="M31" i="39" s="1"/>
  <c r="K54" i="39"/>
  <c r="F54" i="39"/>
  <c r="L54" i="39" s="1"/>
  <c r="K46" i="39"/>
  <c r="F46" i="39"/>
  <c r="L46" i="39" s="1"/>
  <c r="L41" i="39"/>
  <c r="K15" i="39"/>
  <c r="F15" i="39"/>
  <c r="L15" i="39" s="1"/>
  <c r="M15" i="39" s="1"/>
  <c r="K16" i="39"/>
  <c r="F16" i="39"/>
  <c r="L16" i="39" s="1"/>
  <c r="M16" i="39" s="1"/>
  <c r="K53" i="39"/>
  <c r="F53" i="39"/>
  <c r="L53" i="39" s="1"/>
  <c r="K45" i="39"/>
  <c r="F45" i="39"/>
  <c r="L45" i="39" s="1"/>
  <c r="K17" i="39"/>
  <c r="F17" i="39"/>
  <c r="L17" i="39" s="1"/>
  <c r="M17" i="39" s="1"/>
  <c r="K52" i="39"/>
  <c r="F52" i="39"/>
  <c r="L52" i="39" s="1"/>
  <c r="K44" i="39"/>
  <c r="F44" i="39"/>
  <c r="L44" i="39" s="1"/>
  <c r="K27" i="39"/>
  <c r="F27" i="39"/>
  <c r="L27" i="39" s="1"/>
  <c r="M27" i="39" s="1"/>
  <c r="K48" i="39"/>
  <c r="F48" i="39"/>
  <c r="L48" i="39" s="1"/>
  <c r="K9" i="39"/>
  <c r="F9" i="39"/>
  <c r="L9" i="39" s="1"/>
  <c r="K10" i="39"/>
  <c r="F10" i="39"/>
  <c r="L10" i="39" s="1"/>
  <c r="M10" i="39" s="1"/>
  <c r="K18" i="39"/>
  <c r="F18" i="39"/>
  <c r="L18" i="39" s="1"/>
  <c r="M18" i="39" s="1"/>
  <c r="L56" i="39"/>
  <c r="M56" i="39" s="1"/>
  <c r="K51" i="39"/>
  <c r="F51" i="39"/>
  <c r="L51" i="39" s="1"/>
  <c r="K11" i="39"/>
  <c r="F11" i="39"/>
  <c r="L11" i="39" s="1"/>
  <c r="M11" i="39" s="1"/>
  <c r="L19" i="39"/>
  <c r="M19" i="39" s="1"/>
  <c r="K50" i="39"/>
  <c r="F50" i="39"/>
  <c r="L50" i="39" s="1"/>
  <c r="K31" i="39"/>
  <c r="K34" i="39"/>
  <c r="N34" i="39" s="1"/>
  <c r="K41" i="39"/>
  <c r="K19" i="39"/>
  <c r="K23" i="39"/>
  <c r="N23" i="39" s="1"/>
  <c r="K56" i="39"/>
  <c r="N56" i="39" s="1"/>
  <c r="K28" i="39"/>
  <c r="N28" i="39" s="1"/>
  <c r="K43" i="39"/>
  <c r="N43" i="39" s="1"/>
  <c r="E13" i="18"/>
  <c r="F13" i="17"/>
  <c r="E18" i="18"/>
  <c r="F18" i="17"/>
  <c r="E8" i="18"/>
  <c r="F8" i="17"/>
  <c r="E11" i="18"/>
  <c r="F11" i="17"/>
  <c r="E15" i="18"/>
  <c r="F15" i="17"/>
  <c r="F19" i="17"/>
  <c r="E10" i="18"/>
  <c r="F10" i="17"/>
  <c r="E17" i="18"/>
  <c r="F17" i="17"/>
  <c r="F21" i="17"/>
  <c r="E14" i="18"/>
  <c r="F14" i="17"/>
  <c r="E9" i="18"/>
  <c r="F9" i="17"/>
  <c r="E12" i="18"/>
  <c r="F12" i="17"/>
  <c r="E16" i="18"/>
  <c r="F16" i="17"/>
  <c r="F20" i="17"/>
  <c r="F17" i="18" l="1"/>
  <c r="L17" i="18" s="1"/>
  <c r="F15" i="18"/>
  <c r="L15" i="18" s="1"/>
  <c r="F14" i="18"/>
  <c r="L14" i="18" s="1"/>
  <c r="F10" i="18"/>
  <c r="L10" i="18" s="1"/>
  <c r="F9" i="18"/>
  <c r="L9" i="18" s="1"/>
  <c r="F11" i="18"/>
  <c r="L11" i="18" s="1"/>
  <c r="F16" i="18"/>
  <c r="L16" i="18" s="1"/>
  <c r="F13" i="18"/>
  <c r="L13" i="18" s="1"/>
  <c r="F12" i="18"/>
  <c r="L12" i="18" s="1"/>
  <c r="F8" i="18"/>
  <c r="L8" i="18" s="1"/>
  <c r="F18" i="18"/>
  <c r="L18" i="18" s="1"/>
  <c r="N19" i="39"/>
  <c r="N31" i="39"/>
  <c r="N27" i="39"/>
  <c r="N16" i="39"/>
  <c r="N9" i="39"/>
  <c r="N41" i="39"/>
  <c r="M9" i="39"/>
  <c r="M45" i="39"/>
  <c r="N45" i="39"/>
  <c r="L39" i="39"/>
  <c r="M41" i="39"/>
  <c r="M53" i="39"/>
  <c r="N53" i="39"/>
  <c r="M46" i="39"/>
  <c r="N46" i="39"/>
  <c r="M47" i="39"/>
  <c r="N47" i="39"/>
  <c r="N17" i="39"/>
  <c r="N15" i="39"/>
  <c r="N12" i="39"/>
  <c r="M50" i="39"/>
  <c r="N50" i="39"/>
  <c r="M48" i="39"/>
  <c r="N48" i="39"/>
  <c r="M44" i="39"/>
  <c r="N44" i="39"/>
  <c r="M54" i="39"/>
  <c r="N54" i="39"/>
  <c r="M55" i="39"/>
  <c r="N55" i="39"/>
  <c r="N18" i="39"/>
  <c r="N13" i="39"/>
  <c r="M51" i="39"/>
  <c r="N51" i="39"/>
  <c r="M52" i="39"/>
  <c r="N52" i="39"/>
  <c r="M49" i="39"/>
  <c r="N49" i="39"/>
  <c r="N11" i="39"/>
  <c r="N10" i="39"/>
  <c r="K39" i="39"/>
  <c r="I9" i="18" l="1"/>
  <c r="I10" i="18"/>
  <c r="I11" i="18"/>
  <c r="I12" i="18"/>
  <c r="I13" i="18"/>
  <c r="I14" i="18"/>
  <c r="I15" i="18"/>
  <c r="I16" i="18"/>
  <c r="I17" i="18"/>
  <c r="I18" i="18"/>
  <c r="J18" i="18" l="1"/>
  <c r="K18" i="18"/>
  <c r="J17" i="18"/>
  <c r="K17" i="18"/>
  <c r="J13" i="18"/>
  <c r="K13" i="18"/>
  <c r="J10" i="18"/>
  <c r="K10" i="18"/>
  <c r="J14" i="18"/>
  <c r="K14" i="18"/>
  <c r="J16" i="18"/>
  <c r="K16" i="18"/>
  <c r="J12" i="18"/>
  <c r="K12" i="18"/>
  <c r="J9" i="18"/>
  <c r="K9" i="18"/>
  <c r="J15" i="18"/>
  <c r="K15" i="18"/>
  <c r="J11" i="18"/>
  <c r="K11" i="18"/>
  <c r="E37" i="39" l="1"/>
  <c r="F37" i="39" s="1"/>
  <c r="L37" i="39" l="1"/>
  <c r="K37" i="39"/>
  <c r="M37" i="39" l="1"/>
  <c r="M8" i="39" s="1"/>
  <c r="M58" i="39" s="1"/>
  <c r="M59" i="39" s="1"/>
  <c r="M60" i="39" s="1"/>
  <c r="M61" i="39" s="1"/>
  <c r="M65" i="39" s="1"/>
  <c r="L8" i="39"/>
  <c r="L58" i="39" s="1"/>
  <c r="L59" i="39" s="1"/>
  <c r="L60" i="39" s="1"/>
  <c r="L61" i="39" s="1"/>
  <c r="L65" i="39" s="1"/>
  <c r="K8" i="39"/>
  <c r="K58" i="39" s="1"/>
  <c r="K59" i="39" s="1"/>
  <c r="K60" i="39" s="1"/>
  <c r="K61" i="39" s="1"/>
  <c r="K65" i="39" s="1"/>
  <c r="N37" i="39"/>
  <c r="N8" i="39" s="1"/>
  <c r="N58" i="39" s="1"/>
  <c r="N59" i="39" s="1"/>
  <c r="N60" i="39" s="1"/>
  <c r="N61" i="39" s="1"/>
  <c r="N65" i="39" s="1"/>
  <c r="A3" i="15"/>
  <c r="A3" i="38" s="1"/>
  <c r="A4" i="30" s="1"/>
  <c r="A4" i="34" s="1"/>
  <c r="A4" i="31" s="1"/>
  <c r="A2" i="15"/>
  <c r="A2" i="38" s="1"/>
  <c r="A3" i="30" s="1"/>
  <c r="A3" i="34" s="1"/>
  <c r="A3" i="31" s="1"/>
  <c r="A3" i="17"/>
  <c r="A2" i="17"/>
  <c r="L7" i="18" l="1"/>
  <c r="L19" i="18" s="1"/>
  <c r="L20" i="18" s="1"/>
  <c r="I8" i="18"/>
  <c r="K8" i="18" l="1"/>
  <c r="J8" i="18"/>
  <c r="J7" i="18" l="1"/>
  <c r="K7" i="18"/>
  <c r="J19" i="18" l="1"/>
  <c r="J20" i="18" s="1"/>
  <c r="K19" i="18"/>
  <c r="K20" i="18" s="1"/>
</calcChain>
</file>

<file path=xl/comments1.xml><?xml version="1.0" encoding="utf-8"?>
<comments xmlns="http://schemas.openxmlformats.org/spreadsheetml/2006/main">
  <authors>
    <author>Le Hoang Sam</author>
  </authors>
  <commentList>
    <comment ref="A2" authorId="0" shapeId="0">
      <text>
        <r>
          <rPr>
            <b/>
            <sz val="9"/>
            <color indexed="81"/>
            <rFont val="Tahoma"/>
            <family val="2"/>
          </rPr>
          <t>Le Hoang Sam:</t>
        </r>
        <r>
          <rPr>
            <sz val="9"/>
            <color indexed="81"/>
            <rFont val="Tahoma"/>
            <family val="2"/>
          </rPr>
          <t xml:space="preserve">
Nhà thầu Thi công</t>
        </r>
      </text>
    </comment>
  </commentList>
</comments>
</file>

<file path=xl/comments2.xml><?xml version="1.0" encoding="utf-8"?>
<comments xmlns="http://schemas.openxmlformats.org/spreadsheetml/2006/main">
  <authors>
    <author>TRAN MINH TUAN</author>
    <author>Le Hoang Sam</author>
  </authors>
  <commentList>
    <comment ref="B5" authorId="0" shapeId="0">
      <text>
        <r>
          <rPr>
            <b/>
            <sz val="9"/>
            <color indexed="81"/>
            <rFont val="Tahoma"/>
            <family val="2"/>
          </rPr>
          <t>HSG: Thể hiện theo HĐ đã ký</t>
        </r>
        <r>
          <rPr>
            <sz val="9"/>
            <color indexed="81"/>
            <rFont val="Tahoma"/>
            <family val="2"/>
          </rPr>
          <t xml:space="preserve">
</t>
        </r>
      </text>
    </comment>
    <comment ref="S19" authorId="1" shapeId="0">
      <text>
        <r>
          <rPr>
            <b/>
            <sz val="9"/>
            <color indexed="81"/>
            <rFont val="Tahoma"/>
          </rPr>
          <t>Le Hoang Sam:</t>
        </r>
        <r>
          <rPr>
            <sz val="9"/>
            <color indexed="81"/>
            <rFont val="Tahoma"/>
          </rPr>
          <t xml:space="preserve">
Khối lượng có thể thực hiện theo kl vật tư nhập về (Theo định mức)</t>
        </r>
      </text>
    </comment>
    <comment ref="S23" authorId="1" shapeId="0">
      <text>
        <r>
          <rPr>
            <b/>
            <sz val="9"/>
            <color indexed="81"/>
            <rFont val="Tahoma"/>
          </rPr>
          <t>Le Hoang Sam:</t>
        </r>
        <r>
          <rPr>
            <sz val="9"/>
            <color indexed="81"/>
            <rFont val="Tahoma"/>
          </rPr>
          <t xml:space="preserve">
Khối lượng có thể thực hiện theo kl vật tư nhập về (Theo định mức)</t>
        </r>
      </text>
    </comment>
    <comment ref="S27" authorId="1" shapeId="0">
      <text>
        <r>
          <rPr>
            <b/>
            <sz val="9"/>
            <color indexed="81"/>
            <rFont val="Tahoma"/>
          </rPr>
          <t>Le Hoang Sam:</t>
        </r>
        <r>
          <rPr>
            <sz val="9"/>
            <color indexed="81"/>
            <rFont val="Tahoma"/>
          </rPr>
          <t xml:space="preserve">
Khối lượng có thể thực hiện theo kl vật tư nhập về (Theo định mức)</t>
        </r>
      </text>
    </comment>
    <comment ref="S28" authorId="1" shapeId="0">
      <text>
        <r>
          <rPr>
            <b/>
            <sz val="9"/>
            <color indexed="81"/>
            <rFont val="Tahoma"/>
          </rPr>
          <t>Le Hoang Sam:</t>
        </r>
        <r>
          <rPr>
            <sz val="9"/>
            <color indexed="81"/>
            <rFont val="Tahoma"/>
          </rPr>
          <t xml:space="preserve">
Khối lượng có thể thực hiện theo kl vật tư nhập về (Theo định mức)</t>
        </r>
      </text>
    </comment>
    <comment ref="S31" authorId="1" shapeId="0">
      <text>
        <r>
          <rPr>
            <b/>
            <sz val="9"/>
            <color indexed="81"/>
            <rFont val="Tahoma"/>
          </rPr>
          <t>Le Hoang Sam:</t>
        </r>
        <r>
          <rPr>
            <sz val="9"/>
            <color indexed="81"/>
            <rFont val="Tahoma"/>
          </rPr>
          <t xml:space="preserve">
Khối lượng có thể thực hiện theo kl vật tư nhập về (Theo định mức)</t>
        </r>
      </text>
    </comment>
    <comment ref="S38" authorId="1" shapeId="0">
      <text>
        <r>
          <rPr>
            <b/>
            <sz val="9"/>
            <color indexed="81"/>
            <rFont val="Tahoma"/>
          </rPr>
          <t>Le Hoang Sam:</t>
        </r>
        <r>
          <rPr>
            <sz val="9"/>
            <color indexed="81"/>
            <rFont val="Tahoma"/>
          </rPr>
          <t xml:space="preserve">
Khối lượng theo Hóa đơn</t>
        </r>
      </text>
    </comment>
    <comment ref="S42" authorId="1" shapeId="0">
      <text>
        <r>
          <rPr>
            <b/>
            <sz val="9"/>
            <color indexed="81"/>
            <rFont val="Tahoma"/>
          </rPr>
          <t>Le Hoang Sam:</t>
        </r>
        <r>
          <rPr>
            <sz val="9"/>
            <color indexed="81"/>
            <rFont val="Tahoma"/>
          </rPr>
          <t xml:space="preserve">
Khối lượng theo hóa đơn</t>
        </r>
      </text>
    </comment>
  </commentList>
</comments>
</file>

<file path=xl/comments3.xml><?xml version="1.0" encoding="utf-8"?>
<comments xmlns="http://schemas.openxmlformats.org/spreadsheetml/2006/main">
  <authors>
    <author>TRAN MINH TUAN</author>
  </authors>
  <commentList>
    <comment ref="B5" authorId="0" shapeId="0">
      <text>
        <r>
          <rPr>
            <b/>
            <sz val="9"/>
            <color indexed="81"/>
            <rFont val="Tahoma"/>
            <family val="2"/>
          </rPr>
          <t>HSG: Thể hiện theo HĐ đã ký</t>
        </r>
        <r>
          <rPr>
            <sz val="9"/>
            <color indexed="81"/>
            <rFont val="Tahoma"/>
            <family val="2"/>
          </rPr>
          <t xml:space="preserve">
</t>
        </r>
      </text>
    </comment>
  </commentList>
</comments>
</file>

<file path=xl/sharedStrings.xml><?xml version="1.0" encoding="utf-8"?>
<sst xmlns="http://schemas.openxmlformats.org/spreadsheetml/2006/main" count="5186" uniqueCount="1773">
  <si>
    <t>m3</t>
  </si>
  <si>
    <t>m2</t>
  </si>
  <si>
    <t>m</t>
  </si>
  <si>
    <t>cái</t>
  </si>
  <si>
    <t>bộ</t>
  </si>
  <si>
    <t>Bộ</t>
  </si>
  <si>
    <t>Cái</t>
  </si>
  <si>
    <t>trọn gói</t>
  </si>
  <si>
    <t>A</t>
  </si>
  <si>
    <t>B</t>
  </si>
  <si>
    <t xml:space="preserve">BẢNG DIỄN GIẢI KHỐI LƯỢNG </t>
  </si>
  <si>
    <t>STT</t>
  </si>
  <si>
    <t>Ổ cắm đôi 3 chấu 16A-220Vac</t>
  </si>
  <si>
    <t>Cu/PVC 1.5mm2</t>
  </si>
  <si>
    <t>Cu/PVC 2.5mm2</t>
  </si>
  <si>
    <t>Cu/PVC 4mm2</t>
  </si>
  <si>
    <t>Cu/XLPE/PVC 25mm2</t>
  </si>
  <si>
    <t>Ống điện mềm D20</t>
  </si>
  <si>
    <t>Ống Điện D20</t>
  </si>
  <si>
    <t>Ổ cắm mạng RJ45</t>
  </si>
  <si>
    <t xml:space="preserve">Đèn báo pha (R, Y, B) </t>
  </si>
  <si>
    <t xml:space="preserve">Cầu chì 2A </t>
  </si>
  <si>
    <t>MCB-1P-10A-4.5kA</t>
  </si>
  <si>
    <t>Cu/XLPE/PVC 10mm2</t>
  </si>
  <si>
    <t>Tủ</t>
  </si>
  <si>
    <t xml:space="preserve">Bộ </t>
  </si>
  <si>
    <t>Lô</t>
  </si>
  <si>
    <t>TỔNG CỘNG TRƯỚC THUẾ:</t>
  </si>
  <si>
    <t>Ghi chú:</t>
  </si>
  <si>
    <t>BẢNG TỔNG HỢP KHỐI LƯỢNG</t>
  </si>
  <si>
    <t>NỘI DUNG CÔNG VIỆC</t>
  </si>
  <si>
    <t>MÔ TẢ KỸ THUẬT</t>
  </si>
  <si>
    <t>GHI CHÚ</t>
  </si>
  <si>
    <t>ĐVT</t>
  </si>
  <si>
    <t>KHỐI LƯỢNG</t>
  </si>
  <si>
    <t>THỰC HIỆN</t>
  </si>
  <si>
    <t>ĐƠN GIÁ</t>
  </si>
  <si>
    <t>VẬT TƯ</t>
  </si>
  <si>
    <t>NHÂN CÔNG</t>
  </si>
  <si>
    <t>TỔNG CỘNG</t>
  </si>
  <si>
    <t>THÀNH TIỀN</t>
  </si>
  <si>
    <t>KÍCH THƯỚC</t>
  </si>
  <si>
    <t>DÀI</t>
  </si>
  <si>
    <t xml:space="preserve">RỘNG </t>
  </si>
  <si>
    <t>CAO</t>
  </si>
  <si>
    <t>SỐ LƯỢNG</t>
  </si>
  <si>
    <t>HỆ SỐ</t>
  </si>
  <si>
    <t>TỪNG PHẦN</t>
  </si>
  <si>
    <t>TỔNG</t>
  </si>
  <si>
    <t>KHỐI LƯỢNG THỰC HIỆN</t>
  </si>
  <si>
    <t>BẢNG XÁC NHẬN GIÁ TRỊ HOÀN THÀNH</t>
  </si>
  <si>
    <t>TỶ LỆ HOÀN THÀNH SO VỚI HĐ+PL(%)</t>
  </si>
  <si>
    <t>Đèn led panel 40w 600x600</t>
  </si>
  <si>
    <t>Ống Điện D25</t>
  </si>
  <si>
    <t>Schneider</t>
  </si>
  <si>
    <t>Panasonic</t>
  </si>
  <si>
    <t>YW1P-1EQM3(R,Y,B)</t>
  </si>
  <si>
    <t>Idec</t>
  </si>
  <si>
    <t>OFL10x38-6A + OMG-FS32X</t>
  </si>
  <si>
    <t>Omega</t>
  </si>
  <si>
    <t>BE-96</t>
  </si>
  <si>
    <t>Bew</t>
  </si>
  <si>
    <t>VN</t>
  </si>
  <si>
    <t>Hoa Sen</t>
  </si>
  <si>
    <t>III</t>
  </si>
  <si>
    <t>II</t>
  </si>
  <si>
    <t>I</t>
  </si>
  <si>
    <t>TÊN LINE</t>
  </si>
  <si>
    <t>KÍ HIỆU BẢN VẼ</t>
  </si>
  <si>
    <t>SỐ LƯỢNG DÂY</t>
  </si>
  <si>
    <t>TỔNG DÂY</t>
  </si>
  <si>
    <t>TỔNG CỘNG SAU HAO HỤT</t>
  </si>
  <si>
    <t>BẢNG TỔNG HỢP</t>
  </si>
  <si>
    <t>Dây CV 1.5mm2</t>
  </si>
  <si>
    <t>KÍ HIỆU
BẢN VẼ</t>
  </si>
  <si>
    <t>SỐ LƯỢNG
 DÂY</t>
  </si>
  <si>
    <t>TỔNG
DÂY</t>
  </si>
  <si>
    <t>TỔNG CỘNG
SAU HAO HỤT</t>
  </si>
  <si>
    <t>IV</t>
  </si>
  <si>
    <t>V</t>
  </si>
  <si>
    <t>VI</t>
  </si>
  <si>
    <t>Dây CV 2.5mm2</t>
  </si>
  <si>
    <t>I.2</t>
  </si>
  <si>
    <t>HÃNG - XUẤT XỨ</t>
  </si>
  <si>
    <t>Hệ thống điện</t>
  </si>
  <si>
    <t>MCB-1P-25A-4.5kA</t>
  </si>
  <si>
    <t>Thiết bị vệ sinh</t>
  </si>
  <si>
    <t>Taiwan</t>
  </si>
  <si>
    <t>gói</t>
  </si>
  <si>
    <t xml:space="preserve">MCCB-3P-100A-18kA </t>
  </si>
  <si>
    <t>Đồng hồ Volt + Switch chuyển</t>
  </si>
  <si>
    <t>Đồng hồ Ampe + Switch chuyển</t>
  </si>
  <si>
    <t>MCB-3P-25A-4.5kA</t>
  </si>
  <si>
    <t>Cu/XLPE/PVC 16mm2</t>
  </si>
  <si>
    <t>Hoa sen</t>
  </si>
  <si>
    <t>Dây CXV 16mm2</t>
  </si>
  <si>
    <t>CTY CỔ PHẦN ĐẦU TƯ XÂY DỰNG</t>
  </si>
  <si>
    <t xml:space="preserve">            CỘNG HÒA XÃ HỘI CHỦ NGHĨA VIỆT NAM</t>
  </si>
  <si>
    <t xml:space="preserve">         Độc lập - Tự do - Hạnh phúc</t>
  </si>
  <si>
    <r>
      <t xml:space="preserve">       ______ </t>
    </r>
    <r>
      <rPr>
        <sz val="13"/>
        <color indexed="8"/>
        <rFont val="Wingdings"/>
        <charset val="2"/>
      </rPr>
      <t>²</t>
    </r>
    <r>
      <rPr>
        <sz val="13"/>
        <color indexed="8"/>
        <rFont val="Times New Roman"/>
        <family val="1"/>
      </rPr>
      <t xml:space="preserve">  ______</t>
    </r>
  </si>
  <si>
    <t>ĐẠI DIỆN CHỦ ĐẦU TƯ</t>
  </si>
  <si>
    <t>VII</t>
  </si>
  <si>
    <t>VIII</t>
  </si>
  <si>
    <t>IX</t>
  </si>
  <si>
    <t>X</t>
  </si>
  <si>
    <t>HẠNG MỤC XÂY DỰNG</t>
  </si>
  <si>
    <t xml:space="preserve">Chi phí Điện - Nước thi công </t>
  </si>
  <si>
    <t xml:space="preserve">Chi phí xin giấy phép xây dựng </t>
  </si>
  <si>
    <t>Tháo dỡ theo bản vẽ thiết kế được duyệt và theo yêu cầu của CĐT trong quá trình triển khai thi công,....</t>
  </si>
  <si>
    <t>Vận chuyển rác thải, xà bần ra ngoài công trình</t>
  </si>
  <si>
    <t>Cạo, xủi vệ sinh lớp sơn tường cũ trong nhà</t>
  </si>
  <si>
    <t>Cạo, xủi vệ sinh lớp sơn tường cũ ngoài nhà</t>
  </si>
  <si>
    <t>Vệ sinh nền sảnh trệt, cầu thang và đánh bóng lại đá lát nền hiện trạng</t>
  </si>
  <si>
    <t>Vệ sinh và sơn PU tay vịn lan can cầu thang</t>
  </si>
  <si>
    <t>Đục phá lớp gạch lát sàn, vữa lót nền tới lớp bê tông sàn hiện hữu (xử lý trước khi láng nền sàn)</t>
  </si>
  <si>
    <t>Tháo dỡ cầu thang hiện hữu tầng 1, tầng 2, hoàn thiện mặt nền tới cao độ hiện trạng (Bao gồm Bê tông, ván khuôn, khoan cấy thép, cán nền, …)</t>
  </si>
  <si>
    <t>Sơn dầm, trần, cột, tường trong nhà (bã mastic 02 lớp, sơn 01 lớp lót 02 lớp hoàn thiện)</t>
  </si>
  <si>
    <t>Sơn dầm, trần, cột, tường ngoài nhà (bã mastic 02 lớp, sơn 01 lớp lót 02 lớp hoàn thiện)</t>
  </si>
  <si>
    <t>Sơn giả đá cột khu vực sảnh chờ theo thiết kế</t>
  </si>
  <si>
    <t xml:space="preserve">Láng nền sàn phẳng, vữa Xi măng M75, dày 2cm -5cm </t>
  </si>
  <si>
    <t xml:space="preserve">Láng nền sàn phẳng, vữa Xi măng M75, dày 15mm, tạo dốc về phiễu thu dày 2cm -5cm </t>
  </si>
  <si>
    <t>Quét chống thấm khu vực nhà vệ sinh bằng SikaTop Seal107 (Yêu cầu thời gian bảo hành 03 năm). 
+ Theo Quy Trình: 
- Công tác riêng : Đục tẩy lớp vữa cán hồ đến lớp bê tông sàn hiện hữu , vệ sinh thổi bụi làm sạch.
 - Quét chống thấm (2 lớp) bằng sika top Seal 107_Lớp 1
 - Gia cố chân tường bằng màng polyeste 150mm
 - (Chống thấm sàn và chân tường cao 300mm)
 - Trét quét phủ (fill) cổ ống thoát nước bao gồm chống thấm cổ ống
 - Ngâm nước kiểm tra  (test nước) 3 ngày
 - Cán nền bảo vệ lớp chống thấm
 - Nâng nền bằng cao độ thiết kế
 - Cán nền, tạo dốc (theo thiết kế).
 - Quét chống thấm (2 lớp) bằng sika top Seal 107_Lớp 2
Cán nền - lát gạch hoàn thiện bằng keo.</t>
  </si>
  <si>
    <t>Lát gạch nền, sàn bằng gạch Granite màu vàng kem, kích thước 800x800mm. 
Chà ron bằng keo chà ron
Lát gạch bằng keo dán gạch</t>
  </si>
  <si>
    <t>HẠNG MỤC MEP</t>
  </si>
  <si>
    <t>Đèn led downlight âm trần 12W</t>
  </si>
  <si>
    <t>Đèn led dây 8w/m</t>
  </si>
  <si>
    <t>Công tắc đơn 2 chiều 10A</t>
  </si>
  <si>
    <t>Công tắc đơn 1 chiều 10A</t>
  </si>
  <si>
    <t>Tủ điện DB-T1</t>
  </si>
  <si>
    <t>RCCB-4P-100A-300mA</t>
  </si>
  <si>
    <t xml:space="preserve">MCCB-3P-150A-18kA </t>
  </si>
  <si>
    <t>Tủ điện DB-T2</t>
  </si>
  <si>
    <t xml:space="preserve">MCT 100/5A </t>
  </si>
  <si>
    <t>Vỏ tủ điện, thanh cái 150A 3P+N+E &amp; Phụ kiện Form 2A</t>
  </si>
  <si>
    <t>Tủ điện DB-T3</t>
  </si>
  <si>
    <t>Tủ điện DB-T4</t>
  </si>
  <si>
    <t>Tủ điện DB-IT</t>
  </si>
  <si>
    <t>Cu/PVC 120mm2</t>
  </si>
  <si>
    <t>Cu/XLPE/PVC 240mm2</t>
  </si>
  <si>
    <t>Cáp mạng Cat 6 FTP</t>
  </si>
  <si>
    <t>Cáp mạng Cat 3 UTP-2pair</t>
  </si>
  <si>
    <t>sợi</t>
  </si>
  <si>
    <t>Ống Điện HDPE D125/100</t>
  </si>
  <si>
    <t>Leader 400x100</t>
  </si>
  <si>
    <t>Phễu thoát sàn</t>
  </si>
  <si>
    <t>Co D114</t>
  </si>
  <si>
    <t>THIẾT BỊ WIFI ZYXEL NWA210AX (AX3000)</t>
  </si>
  <si>
    <t>SWTICH HP 2530-48 PORT</t>
  </si>
  <si>
    <t>SWTICH PoE ZYXEL XGS1930-52HP</t>
  </si>
  <si>
    <t>SWITCH PoE ZYXEL XGS1930-28HP</t>
  </si>
  <si>
    <t>MODUL MẠNG GẮN PATCH PANEL CAT 6 (Đầu nối RJ45-Modular Jack AMP CAT6)</t>
  </si>
  <si>
    <t>CAMERA DOME  Ipro/ Panasonic WV-U2132LA</t>
  </si>
  <si>
    <t>Giá đã bao gồm chi phí điện nước phục vụ thi công</t>
  </si>
  <si>
    <t>Dulux</t>
  </si>
  <si>
    <t>Mua từ chuỗi hệ thống HS Home</t>
  </si>
  <si>
    <t>Dulux - mastic và sơn chống thấm</t>
  </si>
  <si>
    <t>Hòa Bình/Kova</t>
  </si>
  <si>
    <t>Xi măng PC40 Fico</t>
  </si>
  <si>
    <t>Đồng nhất biện pháp thi công</t>
  </si>
  <si>
    <t>An Cường</t>
  </si>
  <si>
    <t>D P06 60x60/40W
 LEDPN12
AP01E066/6</t>
  </si>
  <si>
    <t xml:space="preserve">Rạng Đông
Điện Quang
AC </t>
  </si>
  <si>
    <t>ánh sáng trắng/Mua từ chuỗi hệ thống HS Home</t>
  </si>
  <si>
    <t>Long Phú
Đại Cường Phát
Hawee
Đạt Vĩnh Tiến</t>
  </si>
  <si>
    <t>Form 2A</t>
  </si>
  <si>
    <t>A9R14491</t>
  </si>
  <si>
    <t>EZC250F3100</t>
  </si>
  <si>
    <t>EZ9F34325</t>
  </si>
  <si>
    <t>Bổ sung MCB do tận dụng máy lạnh 5HP</t>
  </si>
  <si>
    <t>EZ9F34125</t>
  </si>
  <si>
    <t>EZ9F34110</t>
  </si>
  <si>
    <t>RCT-15-1 100/5A</t>
  </si>
  <si>
    <t>Đỏ, Vàng, Xanh sọc lá</t>
  </si>
  <si>
    <t xml:space="preserve">Daphaco/Lioa </t>
  </si>
  <si>
    <t>Hoa Sen thương mại</t>
  </si>
  <si>
    <t>Unitek</t>
  </si>
  <si>
    <t>KF-4560VA</t>
  </si>
  <si>
    <t>J9775A</t>
  </si>
  <si>
    <t>XGS1930-52HP</t>
  </si>
  <si>
    <t>XGS1930-28HP</t>
  </si>
  <si>
    <t>WV-U2132LA</t>
  </si>
  <si>
    <t>Tầng trệt</t>
  </si>
  <si>
    <t>WC tầng trệt,1,2</t>
  </si>
  <si>
    <t>Tường bao xung quanh</t>
  </si>
  <si>
    <t>Tường ngăn</t>
  </si>
  <si>
    <t>Trừ cửa</t>
  </si>
  <si>
    <t>Theo HĐ số 03/2022/HĐXD/HSG-HTC ký ngày 10/05/2022</t>
  </si>
  <si>
    <t>kg</t>
  </si>
  <si>
    <t>Trừ cột</t>
  </si>
  <si>
    <t>Trục 2-3</t>
  </si>
  <si>
    <t>Trục 3-4</t>
  </si>
  <si>
    <t>Trục 4-5</t>
  </si>
  <si>
    <t>Trục 5-6</t>
  </si>
  <si>
    <t>Trục 6-7</t>
  </si>
  <si>
    <t>Trục 7-8</t>
  </si>
  <si>
    <t>Trục 1-2</t>
  </si>
  <si>
    <t>1. Nền nhà hiện trạng:</t>
  </si>
  <si>
    <t>2. Nền WC hiện trạng:</t>
  </si>
  <si>
    <t>3. Gạch ốp WC hiện trạng:</t>
  </si>
  <si>
    <t>Trừ cửa sổ</t>
  </si>
  <si>
    <t>Trừ cửa đi</t>
  </si>
  <si>
    <t>Trừ hộp gen</t>
  </si>
  <si>
    <t>Tủ điện DB-AC</t>
  </si>
  <si>
    <t>Cu/XLPE/PVC 70mm2</t>
  </si>
  <si>
    <t>Cu/PVC 35mm2</t>
  </si>
  <si>
    <t>Dàn nóng máy lạnh VRF 80HP</t>
  </si>
  <si>
    <t>Bộ điều khiển nhiệt độ có dây</t>
  </si>
  <si>
    <t>Bộ điểu khiển trung tâm</t>
  </si>
  <si>
    <t xml:space="preserve">Dàn lạnh âm trần FCU 10.6KW </t>
  </si>
  <si>
    <t>Dàn lạnh âm trần FCU 7.3 KW</t>
  </si>
  <si>
    <t>Dàn lạnh treo tường trung tâm 3.6kw</t>
  </si>
  <si>
    <t>Máy lạnh treo tường cục bộ 2.5HP inverter</t>
  </si>
  <si>
    <t>Mặt nạ dàn âm trần CZ-KPU3H</t>
  </si>
  <si>
    <t>Bộ chia ga dàn lạnh CZ-P1350PJ2</t>
  </si>
  <si>
    <t>Bộ chia ga dàn lạnh CZ-P1350BK2</t>
  </si>
  <si>
    <t>Bộ chia ga dàn lạnh CZ-P680BK2</t>
  </si>
  <si>
    <t>Bộ chia ga dàn lạnh CZ-P160BK2</t>
  </si>
  <si>
    <t>Dây điện điều khiển Alantek 1 Pair 20 AWG</t>
  </si>
  <si>
    <t>Van phao cơ D34</t>
  </si>
  <si>
    <t>Van khóa đồng thau D27</t>
  </si>
  <si>
    <t>Co uPvc D168</t>
  </si>
  <si>
    <t>Co uPvc D60</t>
  </si>
  <si>
    <t>Co uPvc D42</t>
  </si>
  <si>
    <t>Lơi uPvc D168</t>
  </si>
  <si>
    <t>Lơi uPvc D90</t>
  </si>
  <si>
    <t>Y uPvc D114</t>
  </si>
  <si>
    <t>Y giảm D168/114</t>
  </si>
  <si>
    <t>Tê uPvc D114</t>
  </si>
  <si>
    <t>Tê uPvc D90</t>
  </si>
  <si>
    <t>Tê uPvc D60</t>
  </si>
  <si>
    <t>Tê uPvc D42</t>
  </si>
  <si>
    <t>Lơi uPvc D60</t>
  </si>
  <si>
    <t>Lơi uPvc D42</t>
  </si>
  <si>
    <t>Y uPvc D60</t>
  </si>
  <si>
    <t>Tê giảm uPVC D168/114</t>
  </si>
  <si>
    <t>Tê giảm uPVC D114/60</t>
  </si>
  <si>
    <t>Tê giảm uPVC D90/60</t>
  </si>
  <si>
    <t>Tê giảm uPVC D60/34</t>
  </si>
  <si>
    <t>Nối giảm uPvc D168/114</t>
  </si>
  <si>
    <t>Nối giảm uPvc D90/60</t>
  </si>
  <si>
    <t>Nối giảm uPvc D60/42</t>
  </si>
  <si>
    <t>Nối giảm uPvc D60/34</t>
  </si>
  <si>
    <t>Tên vật tư</t>
  </si>
  <si>
    <t>Đơn vị tính</t>
  </si>
  <si>
    <t>Đơn giá</t>
  </si>
  <si>
    <t>Thành tiền</t>
  </si>
  <si>
    <t>Hóa đơn tham chiếu</t>
  </si>
  <si>
    <t>Hóa đơn tham chiếu PDF</t>
  </si>
  <si>
    <t>Ghi chú</t>
  </si>
  <si>
    <t>Thép hình I POS:
200mmx100mmx5.5mmx8mmx12.0m</t>
  </si>
  <si>
    <t xml:space="preserve">Sơn nước </t>
  </si>
  <si>
    <t>Bột trét nội thất KORE PUTTY INTERIOR KCC:
40KG</t>
  </si>
  <si>
    <t>Bột trét ngọai thất KORE PUTTY EXTERIOR KCC:
40KG</t>
  </si>
  <si>
    <t>Sơn dầu</t>
  </si>
  <si>
    <t>Cáp điện lực hạ thế 1 lõi CV màu đỏ LI: 1.5mm</t>
  </si>
  <si>
    <t xml:space="preserve"> Cáp điện lực hạ thế 1 lõi CV màu te LI: 1.5mm</t>
  </si>
  <si>
    <t>Cáp điện lực hạ thế 1 lõi CV màu vàng LI: 1.5mm</t>
  </si>
  <si>
    <t>Cáp điện lực hạ thế 1 lõi CV màu đỏ LI: 2.5mm</t>
  </si>
  <si>
    <t>Cáp điện lực hạ thế 1 lõi CV màu vàng LI: 2.5mm</t>
  </si>
  <si>
    <t>Cáp điện lực hạ thế 1 lõi CV màu te LI: 2.5mm</t>
  </si>
  <si>
    <t>Cáp điện lực hạ thế 1 lõi CV màu vàng LI: 4.0mm</t>
  </si>
  <si>
    <t>Cáp điện lực 1 lõi CXV màu đen LI: 10mm</t>
  </si>
  <si>
    <t>XI</t>
  </si>
  <si>
    <t>Ống cấp thoát nước</t>
  </si>
  <si>
    <t>TỔNG CỘNG</t>
  </si>
  <si>
    <t>VAT 10%</t>
  </si>
  <si>
    <t>TỔNG GIÁ TRỊ SAU VAT</t>
  </si>
  <si>
    <t>BẢNG THỐNG KÊ GIÁ TRỊ VẬT TƯ HOA SEN BÁN THƯƠNG MẠI</t>
  </si>
  <si>
    <t>CÔNG TRÌNH: THI CÔNG NÂNG CẤP VĂN PHÒNG HOA SEN BÌNH DƯƠNG</t>
  </si>
  <si>
    <t>Thép xây dựng dạng thanh vằn VAS D10 CB500-V</t>
  </si>
  <si>
    <t>00003082</t>
  </si>
  <si>
    <t>Thép hình I POS:
250mmx125mmx6mmx9mmx12.0m</t>
  </si>
  <si>
    <t>00003985</t>
  </si>
  <si>
    <t>Thép I POS:
200mmx100mmx5.50mmx8.00mmx6.0m</t>
  </si>
  <si>
    <t>00007858</t>
  </si>
  <si>
    <t>Tole sàn Deck</t>
  </si>
  <si>
    <t>Thép dày mạ kẽm Z08 phủ CR: 0.95mmx1200mm
TCT SGC 340 00340122020114100</t>
  </si>
  <si>
    <t>Thép dày mạ kẽm Z080 phủ CR: 0.95mmx1200mm
G350 00340422050053000</t>
  </si>
  <si>
    <t>Tôn lạnh màu trong AF CL AZ100 00/05:
0.50mmx1200mm G550 00350122040070200</t>
  </si>
  <si>
    <t>00003885</t>
  </si>
  <si>
    <t>Gạch ốp lát, keo dán gạch</t>
  </si>
  <si>
    <t xml:space="preserve"> Cáp điện lực hạ thế 1 lõi CV màu te LI: 4.0mm</t>
  </si>
  <si>
    <t>Cáp điện lực hạ thế 1 lõi CV màu đỏ LI: 4.0mm</t>
  </si>
  <si>
    <t>0000573</t>
  </si>
  <si>
    <t>00010815</t>
  </si>
  <si>
    <t>Cáp điện lực hạ thế 1 lõi CV màu te LI: 35mm</t>
  </si>
  <si>
    <t xml:space="preserve"> Cáp điện lực hạ thế 1 lõi CV màu đen LI: 120mm</t>
  </si>
  <si>
    <t>Cáp điện lực 1 lõi CXV màu đen LI: 16mm</t>
  </si>
  <si>
    <t>Cáp điện lực 1 lõi CXV màu đen LI: 25mm</t>
  </si>
  <si>
    <t>Cáp điện lực 1 lõi CXV màu đen LI: 70mm</t>
  </si>
  <si>
    <t xml:space="preserve"> Cáp điện lực 1 lõi CXV màu đen LI: 240mm</t>
  </si>
  <si>
    <t>Dây điện, cáp nguồn</t>
  </si>
  <si>
    <t>Dây mạng, điện thoại, thiết bị mạng</t>
  </si>
  <si>
    <t>Cáp mạng FTP 4 đôi - CAT6E-4P MP</t>
  </si>
  <si>
    <t>00012024</t>
  </si>
  <si>
    <t>00013909</t>
  </si>
  <si>
    <t>00012485</t>
  </si>
  <si>
    <t>Đèn LED Downlight D AT04L 110/12W 220V-
3000K E RĐ</t>
  </si>
  <si>
    <t>Bộ Driver lắp với đèn LED dây LD01.9W RĐ</t>
  </si>
  <si>
    <t>Bóng đèn</t>
  </si>
  <si>
    <t>Thiết bị điện, phụ kiện</t>
  </si>
  <si>
    <t>Ống nhựa uPVC gân xoắn luồn dây điện: 20mmx50m</t>
  </si>
  <si>
    <t>Ống nhựa uPVC luồn dây điện: 20mmx1.3mmx2.92m</t>
  </si>
  <si>
    <t>cây</t>
  </si>
  <si>
    <t>Ống nhựa uPVC luồn dây điện: 25mmx1.5mmx2.92m</t>
  </si>
  <si>
    <t>Kẹp đỡ ống uPVC LDĐ 20</t>
  </si>
  <si>
    <t>Nối uPVC LDĐ 20</t>
  </si>
  <si>
    <t>Khớp nối ren uPVC LDĐ 20</t>
  </si>
  <si>
    <t>Đế âm tường tự chống cháy uPVC LDĐ
110mmx60mmx40mm</t>
  </si>
  <si>
    <t xml:space="preserve"> Hộp nối 3 đường uPVC LDĐ 20 (Có nắp)</t>
  </si>
  <si>
    <t>Hộp nối dây tự chống cháy uPVC LDĐ
110mmx110mmx50mm (có nắp)</t>
  </si>
  <si>
    <t>0034891</t>
  </si>
  <si>
    <t>Đèn LED dây RD-LD01.9W ánh sáng vàng RĐ</t>
  </si>
  <si>
    <t>00012483</t>
  </si>
  <si>
    <t>Bồn cầu một khối nắp rơi êm AC-902VN/BW1 IN</t>
  </si>
  <si>
    <t>trọn bộ</t>
  </si>
  <si>
    <t>00011813</t>
  </si>
  <si>
    <t>Vòi xịt vệ sinh CFV-102A IN</t>
  </si>
  <si>
    <t>Phễu thoát sàn ST1212 CAE</t>
  </si>
  <si>
    <t>00012139</t>
  </si>
  <si>
    <t xml:space="preserve"> Lavabo âm bàn L-2298V/BW1 IN</t>
  </si>
  <si>
    <t xml:space="preserve"> Gương soi KF-4560VA IN: 460mmx610mm</t>
  </si>
  <si>
    <t>Bồn tiểu nam U-431VR/BW1 IN</t>
  </si>
  <si>
    <t>00013028</t>
  </si>
  <si>
    <t>bao</t>
  </si>
  <si>
    <t>0001727</t>
  </si>
  <si>
    <t xml:space="preserve"> Sơn lót cao cấp ngoài trời WEATHERSHIELD Chống
Kiềm A936 - 75230 Dulux: 18L</t>
  </si>
  <si>
    <t>thùng</t>
  </si>
  <si>
    <t>00003092</t>
  </si>
  <si>
    <t>Bột trét tường cao cấp trong nhà và ngoài trời A502 -
29133 Dulux: 40KG</t>
  </si>
  <si>
    <t>0003109</t>
  </si>
  <si>
    <t>00007823</t>
  </si>
  <si>
    <t>00012690</t>
  </si>
  <si>
    <t>00014569</t>
  </si>
  <si>
    <t xml:space="preserve"> Sơn lót nội thất KORESEALER KCC: 18L</t>
  </si>
  <si>
    <t>Sơn lót cao cấp ngoài trời WEATHERSHIELD Chống
Kiềm A936 - 75230 Dulux: 18L</t>
  </si>
  <si>
    <t>00001072</t>
  </si>
  <si>
    <t>Sơn dầu Galant màu PLATINUM 5205 UR: 17.500ml</t>
  </si>
  <si>
    <t>00000343</t>
  </si>
  <si>
    <t xml:space="preserve"> Sơn lót chống rỉ ATM màu PLATINUM GREY UR:
17.500ml</t>
  </si>
  <si>
    <t>00008759</t>
  </si>
  <si>
    <t>Diện tích trần thạch cao khung chìm</t>
  </si>
  <si>
    <t>Diện tích Cạo, xủi vệ sinh lớp sơn tường cũ trong nhà</t>
  </si>
  <si>
    <t>Gạch granite màu kem vân đá hoa cương VB810 VID:
800mmx800mm</t>
  </si>
  <si>
    <t>00004137</t>
  </si>
  <si>
    <t>Gạch granite màu nâu bóng vân đá hoa cương VB832
VID: 800mmx800mm</t>
  </si>
  <si>
    <t>Gạch granite màu nâu bóng vân đá hoa cương VB632
VID: 600mmx600mm</t>
  </si>
  <si>
    <t>00004927</t>
  </si>
  <si>
    <t>Gạch granite màu nâu nhám vân đá hoa cương
V632 VID: 600mmx600mm</t>
  </si>
  <si>
    <t>00007674</t>
  </si>
  <si>
    <t>Gạch granite màu nâu bóng vân đá hoa cương
VB832 VID: 800mmx800mm</t>
  </si>
  <si>
    <t>00014568</t>
  </si>
  <si>
    <t>Keo (Vữa) dán gạch Cá Sấu Green màu Xám
C01010106 CCD: 20kg</t>
  </si>
  <si>
    <t>00008136</t>
  </si>
  <si>
    <t>00008282</t>
  </si>
  <si>
    <t>Sơn nước nội thất KORECLEAN mờ lau chùi vượt
trội Base A Grey GA0125 KCC: 18L</t>
  </si>
  <si>
    <t>Sơn nước nội thất KORECLEAN lau chùi vượt trội
Mờ Màu Pha KCC: 18L</t>
  </si>
  <si>
    <t>00007832</t>
  </si>
  <si>
    <t xml:space="preserve"> Sơn nước ngoại thất cao cấp WEATHERSHIELD
Bề mặt mờ - BJ8 Màu Pha Dulux: 15L</t>
  </si>
  <si>
    <t xml:space="preserve"> Sơn nước ngoại thất cao cấp WEATHERSHIELD
Bề mặt mờ - BJ8 Màu Trắng Dulux: 15L</t>
  </si>
  <si>
    <t>00008746</t>
  </si>
  <si>
    <t>Sơn nước ngoại thất cao cấp WEATHERSHIELD
Bề mặt mờ - BJ8 Màu Pha Dulux: 5L</t>
  </si>
  <si>
    <t>lon</t>
  </si>
  <si>
    <t>00008756</t>
  </si>
  <si>
    <t>Hệ trần thạch cao</t>
  </si>
  <si>
    <t>00003566</t>
  </si>
  <si>
    <t>Tấm thạch cao chống võng Sheetrock® Standard
UBR: 1210mmx2420mmx9.00mm (SE)</t>
  </si>
  <si>
    <t>tấm</t>
  </si>
  <si>
    <t xml:space="preserve"> Tấm trần sợi khoáng Pin Perf UBR:
1220mmx610mmx16mm</t>
  </si>
  <si>
    <t>00008179</t>
  </si>
  <si>
    <t xml:space="preserve"> Tấm thạch cao chống võng Sheetrock® Standard
UBR: 1210mmx2420mmx9.00mm (SE)</t>
  </si>
  <si>
    <t>Tấm trần sợi khoáng Pin Perf UBR:
1220mmx610mmx16mm</t>
  </si>
  <si>
    <t>00006292</t>
  </si>
  <si>
    <t xml:space="preserve"> Cáp điện lực hạ thế 1 lõi CV màu vàng LI: 2.5mm</t>
  </si>
  <si>
    <t>Cáp điện lực hạ thế 1 lõi CV màu xanh LI: 2.5mm</t>
  </si>
  <si>
    <t>00001100</t>
  </si>
  <si>
    <t>00003399</t>
  </si>
  <si>
    <t>Keo (Vữa) dán gạch Cá Sấu Red màu Xám
C01920106 CCD: 20kg</t>
  </si>
  <si>
    <t>Keo (Vữa) chà ron Cá Sấu Silver màu White
C02141001 CCD: 1kg</t>
  </si>
  <si>
    <t>00007885</t>
  </si>
  <si>
    <t xml:space="preserve"> Van vặn khóa nước chữ T A-703-7 IN</t>
  </si>
  <si>
    <t>Ống thải chữ P A-325PL IN</t>
  </si>
  <si>
    <t>chiếc</t>
  </si>
  <si>
    <t xml:space="preserve"> Van xả nhấn bồn tiểu nam UF-3VS IN</t>
  </si>
  <si>
    <t>00012400</t>
  </si>
  <si>
    <t>Bóng đèn Led tube PF 0.5 18W 6500K -
AT02C0186 AC</t>
  </si>
  <si>
    <t>00014325</t>
  </si>
  <si>
    <t xml:space="preserve"> Máng đèn batten 1 bóng 1.2m dùng bóng led -
BFS136N-C AC</t>
  </si>
  <si>
    <t>Máng đèn batten 2 bóng 1.2m dùng bóng led -
BFS236N-C AC</t>
  </si>
  <si>
    <t>00014331</t>
  </si>
  <si>
    <t>Công tắc 1 chiều 16AX, size S AvatarOn A SE</t>
  </si>
  <si>
    <t>Công tắc 2 chiều 16AX, size S AvatarOn A SE</t>
  </si>
  <si>
    <t>Mặt cho 1 thiết bị size S AvatarOn A SE</t>
  </si>
  <si>
    <t>Mặt cho 2 thiết bị size S AvatarOn A SE</t>
  </si>
  <si>
    <t>Mặt cho 3 thiết bị size S AvatarOn A SE</t>
  </si>
  <si>
    <t>Ổ cắm mạng cat5e, size S AvatarOn A SE</t>
  </si>
  <si>
    <t>00014343</t>
  </si>
  <si>
    <t>Ổ cắm đôi 3 chấu 16A, size E AvatarOn A SE</t>
  </si>
  <si>
    <t>00014804</t>
  </si>
  <si>
    <t>00017156</t>
  </si>
  <si>
    <t>Sơn nước ngoại thất cao cấp WEATHERSHIELD
Bề mặt mờ - BJ8 Màu Trắng Dulux: 15L</t>
  </si>
  <si>
    <t>00015566</t>
  </si>
  <si>
    <t>Trừ cửa</t>
  </si>
  <si>
    <t>Cột tầng trệt</t>
  </si>
  <si>
    <t>Vách ngăn phòng IT</t>
  </si>
  <si>
    <t>Tường trục 8(A-B)</t>
  </si>
  <si>
    <t>Trừ cửa sổ W1</t>
  </si>
  <si>
    <t>Đáy cầu thang nhịp 1</t>
  </si>
  <si>
    <t>Đáy cầu thang nhịp 2</t>
  </si>
  <si>
    <t>Đáy cầu thang chiếu nghỉ</t>
  </si>
  <si>
    <t>Tường ô cầu thang thoát hiểm</t>
  </si>
  <si>
    <t>Trừ cửa đi thoát hiểm</t>
  </si>
  <si>
    <t>Trừ cửa sổ S2</t>
  </si>
  <si>
    <t>Trừ cửa sổ W3</t>
  </si>
  <si>
    <t>Tường trục A(5-8)</t>
  </si>
  <si>
    <t>1. Tầng trệt</t>
  </si>
  <si>
    <t>2. Lầu 1</t>
  </si>
  <si>
    <t>3. Lầu 2</t>
  </si>
  <si>
    <t>4. Tầng mái</t>
  </si>
  <si>
    <t>Tầng mái mặt ngoài nhà</t>
  </si>
  <si>
    <t>Diện tích vách thạch cao:</t>
  </si>
  <si>
    <t>XII</t>
  </si>
  <si>
    <t>Xi măng</t>
  </si>
  <si>
    <t>00002946</t>
  </si>
  <si>
    <t>Xi măng PCB40 Fico: 50Kg</t>
  </si>
  <si>
    <t>00000223</t>
  </si>
  <si>
    <t>00000439</t>
  </si>
  <si>
    <t xml:space="preserve"> 0002169</t>
  </si>
  <si>
    <t xml:space="preserve"> Xi măng PCB40 Fico: 50Kg</t>
  </si>
  <si>
    <t>00010569</t>
  </si>
  <si>
    <t>00000089</t>
  </si>
  <si>
    <t>00000090</t>
  </si>
  <si>
    <t>00000225</t>
  </si>
  <si>
    <t>00000226</t>
  </si>
  <si>
    <t>00000525</t>
  </si>
  <si>
    <t>00000884</t>
  </si>
  <si>
    <t>Từ Trạm biến áp -&gt; DB-T1</t>
  </si>
  <si>
    <t>Chiều cao điểm đấu nối từ tủ Trạm xuống sàn</t>
  </si>
  <si>
    <t>TỔNG DÂY Cu/XLPE/PVC 240mm2</t>
  </si>
  <si>
    <t>TỔNG DÂY Cu/PVC 120mm2</t>
  </si>
  <si>
    <t>MẶT BẰNG DÂY ĐIỆN ĐI ÂM ĐẤT</t>
  </si>
  <si>
    <t xml:space="preserve">Ống điện HDPE D130/100 </t>
  </si>
  <si>
    <t>TỔNG DÂY Cu/XLPE/PVC 16mm2</t>
  </si>
  <si>
    <t>TỔNG DÂY Cu/XLPE/PVC 4.0mm2</t>
  </si>
  <si>
    <t>Chiều cao tủ bơm, XLNT xuống sàn</t>
  </si>
  <si>
    <t>Từ DB-T1 -&gt; DB-BP</t>
  </si>
  <si>
    <t>Từ DB-T1 -&gt; DB-XLNT</t>
  </si>
  <si>
    <t>DÂY Cu/XLPE/PVC 240mm2</t>
  </si>
  <si>
    <t>DÂY Cu/XLPE/PVC 16mm2</t>
  </si>
  <si>
    <t>DÂY Cu/XLPE/PVC 4.0mm2</t>
  </si>
  <si>
    <t>DÂY Cu/PVC 120mm2</t>
  </si>
  <si>
    <t>DÂY Cu/PVC 2.5mm2 TÍN HIỆU PHAO</t>
  </si>
  <si>
    <t>Phao 1 Bồn nước -&gt; DB-BP
DB-BP -&gt; Phao 2</t>
  </si>
  <si>
    <t>DÂY Cu/PVC 2.5mm2</t>
  </si>
  <si>
    <t>BẢNG DIỄN GIẢI CÁP ĐIỆN NGUỒN NGOÀI NHÀ</t>
  </si>
  <si>
    <t>MẶT BẰNG DÂY ĐIỆN ĐI NỔI TRÊN TRẦN/ TRUNKING</t>
  </si>
  <si>
    <t>TỪ TRUNKING / TRẦN XUỐNG TỦ ĐIỆN</t>
  </si>
  <si>
    <t>I.1</t>
  </si>
  <si>
    <t>I.3</t>
  </si>
  <si>
    <t>I.4</t>
  </si>
  <si>
    <t>Ống điện PVC D20</t>
  </si>
  <si>
    <t>BẢNG DIỄN GIẢI CÁP ĐIỆN NGUỒN TRONG NHÀ</t>
  </si>
  <si>
    <t>DÂY 2.5mm2 cho nguồn máy lạnh</t>
  </si>
  <si>
    <t>Chiều cao tủ DB-T1</t>
  </si>
  <si>
    <t>Chiều cao tủ DB-T2, T3</t>
  </si>
  <si>
    <t>DÂY CHỜ ĐẤU NỐI</t>
  </si>
  <si>
    <t>TỪ TRUNKING/ TRẦN ĐẾN THIẾT BỊ</t>
  </si>
  <si>
    <t>Dàn lạnh Tầng 1</t>
  </si>
  <si>
    <t>Dàn lạnh Tầng 2</t>
  </si>
  <si>
    <t>Chiều cao trần tầng 1</t>
  </si>
  <si>
    <t>Chiều cao trần tầng 2, 3</t>
  </si>
  <si>
    <t>MẶT BẰNG DÂY ĐIỆN ĐI NỔI TRÊN TRẦN</t>
  </si>
  <si>
    <t>SỐ LƯỢNG THẾT BỊ</t>
  </si>
  <si>
    <t>dàn lạnh khu văn phòng + phòng P.TGD</t>
  </si>
  <si>
    <t>DÂY ĐIỆN ĐI TRONG TRUNKING</t>
  </si>
  <si>
    <t>DÂY 1.5mm2 khiển từ máy lạnh đến remote</t>
  </si>
  <si>
    <t>bộ điều khiển trung tâm</t>
  </si>
  <si>
    <t>mặt bằng kéo cáp khiển từ dàn lạnh</t>
  </si>
  <si>
    <t>Tổng đầu chờ = [∑ số thiết bị máy lạnh x (0.3+cao độ từ trần bê tông xuống trần)]</t>
  </si>
  <si>
    <t>DÂY Alantek 1-Pair 20AWG khiển line từ dàn lạnh lên dàn nóng</t>
  </si>
  <si>
    <t>Tầng 1</t>
  </si>
  <si>
    <t>trục đứng trunking</t>
  </si>
  <si>
    <t>Chiều cao Trunking điện nhẹ Tầng 1</t>
  </si>
  <si>
    <t>Chiều cao Trunking điện nhẹ Tầng 2, 3</t>
  </si>
  <si>
    <t xml:space="preserve">mặt bằng tầng 2 </t>
  </si>
  <si>
    <t>Tầng 2</t>
  </si>
  <si>
    <t>Tầng mái</t>
  </si>
  <si>
    <t>3 dàn lạnh treo tường phòng IT</t>
  </si>
  <si>
    <t>Dàn lạnh Phòng IT</t>
  </si>
  <si>
    <t>Tổng đầu chờ đấu nối thiết bị = [∑số thiết bị máy lạnh x (0.3+ cao độ từ trần bê tông xuống trần thạch cao)]</t>
  </si>
  <si>
    <t>Dây Alantek 1-Pair 20AWG</t>
  </si>
  <si>
    <t>Stt</t>
  </si>
  <si>
    <t>Nội Dung</t>
  </si>
  <si>
    <t>Số lượng</t>
  </si>
  <si>
    <t>Mã Bản Vẽ</t>
  </si>
  <si>
    <t>DANH MỤC BẢN VẼ</t>
  </si>
  <si>
    <t>KÍ HIỆU CHUNG</t>
  </si>
  <si>
    <t>Ghi Chú</t>
  </si>
  <si>
    <t>Mặt bằng lắp đặt ống - cáp khiển remote máy lạnh tầng trệt</t>
  </si>
  <si>
    <t>Mặt bằng lắp đặt ống - cáp khiển remote máy lạnh tầng 1</t>
  </si>
  <si>
    <t>Mặt bằng lắp đặt ống - cáp khiển remote máy lạnh tầng 2</t>
  </si>
  <si>
    <t>Mặt bằng lắp đặt ống - cáp khiển máy lạnh tầng mái</t>
  </si>
  <si>
    <t>Mặt bằng lắp đặt ống - cáp nguồn máy lạnh tầng trệt</t>
  </si>
  <si>
    <t>Mặt bằng lắp đặt ống - cáp nguồn máy lạnh tầng 1</t>
  </si>
  <si>
    <t>Mặt bằng lắp đặt ống - cáp nguồn máy lạnh tầng 2</t>
  </si>
  <si>
    <t>Mặt bằng lắp đặt ống - cáp nguồn máy lạnh tầng mái</t>
  </si>
  <si>
    <t>Mặt bằng lắp đặt ống - cáp khiển dàn lạnh lên dàn nóng tầng trệt</t>
  </si>
  <si>
    <t>Mặt bằng lắp đặt ống - cáp khiển dàn lạnh lên dàn nóng tầng 1</t>
  </si>
  <si>
    <t>Mặt bằng lắp đặt ống - cáp khiển dàn lạnh lên dàn nóng tầng 2</t>
  </si>
  <si>
    <t>Mặt bằng lắp đặt ống - cáp khiển dàn lạnh lên dàn nóng tầng mái</t>
  </si>
  <si>
    <t>TỔNG DÂY Cu/XLPE/PVC 70mm2</t>
  </si>
  <si>
    <t>TỔNG DÂY Cu/PVC 35mm2</t>
  </si>
  <si>
    <t>Từ tủ DB-T1 -&gt;   DB-AC</t>
  </si>
  <si>
    <t>Chiều cao Trunking điện Tầng 2, 3</t>
  </si>
  <si>
    <t>Chiều cao Trunking điện Tầng 1</t>
  </si>
  <si>
    <t>Trục đứng đi trong thang, máng cáp</t>
  </si>
  <si>
    <t>TỔNG DÂY Cu/XLPE/PVC 25mm2</t>
  </si>
  <si>
    <t>Từ tủ DB-T1 -&gt;   DB-T2</t>
  </si>
  <si>
    <t>Từ tủ DB-T1 -&gt;   DB-T3</t>
  </si>
  <si>
    <t>TỔNG DÂY Cu/XLPE/PVC 10mm2</t>
  </si>
  <si>
    <t>Từ tủ DB-T1 -&gt;   DB-T4</t>
  </si>
  <si>
    <t xml:space="preserve">TỪ TRUNKING XUỐNG TỦ DB-T1 </t>
  </si>
  <si>
    <t>Dàn nóng Tầng mái</t>
  </si>
  <si>
    <t>dàn nóng 1 tổ 1F+2F</t>
  </si>
  <si>
    <t>dàn nóng 2 tổ 1F+2F</t>
  </si>
  <si>
    <t>dàn nóng 3 tổ 1F+2F</t>
  </si>
  <si>
    <t>dàn nóng 4 tổ 1F+2F</t>
  </si>
  <si>
    <t>dàn nóng 1 tổ 2F+3F</t>
  </si>
  <si>
    <t>dàn nóng 2 tổ 2F+3F</t>
  </si>
  <si>
    <t>dàn nóng 3 tổ 2F+3F</t>
  </si>
  <si>
    <t>dàn nóng 4 tổ 2F+3F</t>
  </si>
  <si>
    <t>HỆ SỐ HAO
 HỤT</t>
  </si>
  <si>
    <t>DÂY 16mm2 cấp nguồn cho dàn nóng máy lạnh</t>
  </si>
  <si>
    <t>Mặt bằng lắp đặt cáp nguồn tủ điện tầng 1</t>
  </si>
  <si>
    <t>Mặt bằng lắp đặt cáp nguồn tủ điện tầng trệt</t>
  </si>
  <si>
    <t>Mặt bằng lắp đặt cáp nguồn tủ điện tầng 2</t>
  </si>
  <si>
    <t>Mặt bằng lắp đặt cáp nguồn tủ điện tầng mái</t>
  </si>
  <si>
    <t>Mặt đứng lắp đặt cáp nguồn tủ điện</t>
  </si>
  <si>
    <t>MEP-RE-01</t>
  </si>
  <si>
    <t>MEP-RE-02</t>
  </si>
  <si>
    <t>MEP-RE-03</t>
  </si>
  <si>
    <t>MEP-RE-04</t>
  </si>
  <si>
    <t>MEP-NL-01</t>
  </si>
  <si>
    <t>MEP-NL-02</t>
  </si>
  <si>
    <t>MEP-NL-03</t>
  </si>
  <si>
    <t>MEP-NL-04</t>
  </si>
  <si>
    <t>MEP-KH-01</t>
  </si>
  <si>
    <t>MEP-KH-02</t>
  </si>
  <si>
    <t>MEP-KH-03</t>
  </si>
  <si>
    <t>MEP-KH-04</t>
  </si>
  <si>
    <t>MEP-KH-05</t>
  </si>
  <si>
    <t>MEP-PW-01</t>
  </si>
  <si>
    <t>MEP-PW-02</t>
  </si>
  <si>
    <t>MEP-PW-03</t>
  </si>
  <si>
    <t>MEP-PW-04</t>
  </si>
  <si>
    <t>MEP-PW-05</t>
  </si>
  <si>
    <t>Mặt bằng lắp đặt trunking tầng trệt</t>
  </si>
  <si>
    <t>Mặt bằng lắp đặt trunking tầng 1</t>
  </si>
  <si>
    <t>Mặt bằng lắp đặt trunking tầng 2</t>
  </si>
  <si>
    <t>Mặt bằng lắp đặt trunking tầng mái</t>
  </si>
  <si>
    <t>MEP-TR-01</t>
  </si>
  <si>
    <t>MEP-TR-02</t>
  </si>
  <si>
    <t>MEP-TR-03</t>
  </si>
  <si>
    <t>MEP-TR-04</t>
  </si>
  <si>
    <t>Trunking 200 x 100 + Nắp</t>
  </si>
  <si>
    <t>Chiều cao Trunking điện - điện nhẹ Tầng 1</t>
  </si>
  <si>
    <t>Chiều cao Trunking điện - điện nhẹ Tầng 2, 3</t>
  </si>
  <si>
    <t>MẶT BẰNG ĐI NỔI TRÊN TRẦN</t>
  </si>
  <si>
    <t>TRUNKING TRỤC ĐỨNG</t>
  </si>
  <si>
    <t xml:space="preserve">trunking dùng cho nguồn từ trạm biến áp vào (Chi tiết 2) </t>
  </si>
  <si>
    <t>trunking điện</t>
  </si>
  <si>
    <t xml:space="preserve">trunking điện nhẹ </t>
  </si>
  <si>
    <t>Hộp gain kỹ thuật (bọc đáy trunking trục đứng)</t>
  </si>
  <si>
    <t xml:space="preserve">trunking cấp nguồn cho tủ XLNT, tủ bơm (Chi tiết A) </t>
  </si>
  <si>
    <t xml:space="preserve"> phòng IT</t>
  </si>
  <si>
    <t>phòng IT</t>
  </si>
  <si>
    <t>12 dãy bàn</t>
  </si>
  <si>
    <t>34 dãy bàn</t>
  </si>
  <si>
    <t>26 dãy bàn</t>
  </si>
  <si>
    <t>MEP-OD-01</t>
  </si>
  <si>
    <t>MEP-OD-02</t>
  </si>
  <si>
    <t>Mặt bằng bố trí cấp nguồn tủ DB-T1, DB-XLNT, DB-BP, tín hiệu phao điện</t>
  </si>
  <si>
    <t>Mặt bằng bố trí tín hiệu phao điện bồn nước</t>
  </si>
  <si>
    <t>MEP-TR-05</t>
  </si>
  <si>
    <t>Chi tiết lắp đặt trunking</t>
  </si>
  <si>
    <t>TỪ TRUNKING / TRẦN ĐẾN TỦ ĐIỆN</t>
  </si>
  <si>
    <t>Tầng mái (17 điểm đấu nối tại dàn nóng)</t>
  </si>
  <si>
    <t>DB-T2</t>
  </si>
  <si>
    <t>DB-T3</t>
  </si>
  <si>
    <t>DB-T4</t>
  </si>
  <si>
    <t>DB-T1</t>
  </si>
  <si>
    <t xml:space="preserve">Ống điện PVC D20 </t>
  </si>
  <si>
    <t>Từ tủ DB-T3 -&gt;   DB-IT</t>
  </si>
  <si>
    <t>TỪ TỦ TẢI/ XUỐNG SÀN HOẶC LÊN TRẦN</t>
  </si>
  <si>
    <t>Ống điện PVC D25</t>
  </si>
  <si>
    <t>Chiều cao tầng 1</t>
  </si>
  <si>
    <t xml:space="preserve">Chiều cao tầng 2, 3 </t>
  </si>
  <si>
    <t>Ống điện PVC D20 = Tổng dây/3(số dây) - dây điện đi trong Trunking - dây chờ đấu nối</t>
  </si>
  <si>
    <t>trục đứng cáp khiển đến remote gắn tường</t>
  </si>
  <si>
    <t xml:space="preserve">trục đứng trunking </t>
  </si>
  <si>
    <t>Ống điện PVC D20 = Tổng dây - dây điện đi trong Trunking - dây chờ đấu nối</t>
  </si>
  <si>
    <t xml:space="preserve">Chiều cao tầng 1 </t>
  </si>
  <si>
    <t>Chiều cao tầng 2, 3</t>
  </si>
  <si>
    <t>Trunking 400 x 100 + Nắp</t>
  </si>
  <si>
    <t xml:space="preserve">Trục đứng </t>
  </si>
  <si>
    <t>Trunking 90 x 40 + Nắp</t>
  </si>
  <si>
    <t xml:space="preserve">SỐ LƯỢNG </t>
  </si>
  <si>
    <t xml:space="preserve">TỔNG </t>
  </si>
  <si>
    <t>DÂY Cu/XLPE/PVC 70mm2</t>
  </si>
  <si>
    <t>DÂY Cu/PVC 35mm2</t>
  </si>
  <si>
    <t>DÂY Cu/XLPE/PVC 25mm2</t>
  </si>
  <si>
    <t>DÂY Cu/XLPE/PVC 10mm2</t>
  </si>
  <si>
    <t>Ống HDPE 30/40</t>
  </si>
  <si>
    <t>Ống HDPE 50/65</t>
  </si>
  <si>
    <t>HẠNG MỤC XÂY DỰNG</t>
  </si>
  <si>
    <t>cái</t>
  </si>
  <si>
    <t>HẠNG MỤC MEP</t>
  </si>
  <si>
    <t>bộ</t>
  </si>
  <si>
    <t>tủ</t>
  </si>
  <si>
    <t>Đèn Led Bán nguyêt KB Batten 36W ánh sáng trắng</t>
  </si>
  <si>
    <t>……, ngày……tháng……năm 2023</t>
  </si>
  <si>
    <t>HPL</t>
  </si>
  <si>
    <t>KCC</t>
  </si>
  <si>
    <t>Saicom</t>
  </si>
  <si>
    <t>Inax</t>
  </si>
  <si>
    <t>FV-20CUT1</t>
  </si>
  <si>
    <t>FV-15TGU1</t>
  </si>
  <si>
    <t>Long Phú</t>
  </si>
  <si>
    <t>Daphaco</t>
  </si>
  <si>
    <t>MPE</t>
  </si>
  <si>
    <t>SHP-M2S</t>
  </si>
  <si>
    <t>WEG2021SW</t>
  </si>
  <si>
    <t>THUẾ VAT 08%</t>
  </si>
  <si>
    <t>A1</t>
  </si>
  <si>
    <t>THUẾ VAT 10%</t>
  </si>
  <si>
    <t>A2</t>
  </si>
  <si>
    <t>A3</t>
  </si>
  <si>
    <t>CHI PHÍ TỔNG CỘNG SAU THUẾ: (A1+A2)</t>
  </si>
  <si>
    <t>MEP-TB-01</t>
  </si>
  <si>
    <t>MEP-TB-02</t>
  </si>
  <si>
    <t>MEP-TB-03</t>
  </si>
  <si>
    <t>MEP-TB-04</t>
  </si>
  <si>
    <t>MEP-OC-01</t>
  </si>
  <si>
    <t>MEP-OC-02</t>
  </si>
  <si>
    <t>MEP-OC-03</t>
  </si>
  <si>
    <t>MEP-OC-04</t>
  </si>
  <si>
    <t>Mặt bằng lắp đặt ống - cáp cấp nguồn ổ cắm tầng trệt</t>
  </si>
  <si>
    <t>Mặt bằng lắp đặt ống - cáp cấp nguồn ổ cắm tầng 1</t>
  </si>
  <si>
    <t>Mặt bằng lắp đặt ống - cáp cấp nguồn ổ cắm tầng 2</t>
  </si>
  <si>
    <t>Mặt bằng lắp đặt ống - cáp cấp nguồn ổ cắm tầng mái</t>
  </si>
  <si>
    <t>Mặt bằng lắp đặt ống - cáp cấp nguồn chiếu sáng tầng trệt</t>
  </si>
  <si>
    <t>Mặt bằng lắp đặt ống - cáp cấp nguồn chiếu sáng tầng 1</t>
  </si>
  <si>
    <t>Mặt bằng lắp đặt ống - cáp cấp nguồn chiếu sáng tầng 2</t>
  </si>
  <si>
    <t>Mặt bằng lắp đặt ống - cáp cấp nguồn chiếu sáng tầng mái</t>
  </si>
  <si>
    <t>MEP-CS-01</t>
  </si>
  <si>
    <t>MEP-CS-02</t>
  </si>
  <si>
    <t>MEP-CS-03</t>
  </si>
  <si>
    <t>MEP-CS-04</t>
  </si>
  <si>
    <t>Mặt bằng lắp đặt ống gas - ống thoát nước ngưng tầng trệt</t>
  </si>
  <si>
    <t>MEP-VRV-01</t>
  </si>
  <si>
    <t>MEP-VRV-02</t>
  </si>
  <si>
    <t>MEP-VRV-03</t>
  </si>
  <si>
    <t>MEP-VRV-04</t>
  </si>
  <si>
    <t>Mặt bằng lắp đặt ống gas - ống thoát nước ngưng tầng 1</t>
  </si>
  <si>
    <t>Mặt bằng lắp đặt ống gas - ống thoát nước ngưng tầng 2</t>
  </si>
  <si>
    <t>Mặt bằng lắp đặt ống gas - ống thoát nước ngưng tầng mái, trục đứng</t>
  </si>
  <si>
    <t>MEP-VRV-05</t>
  </si>
  <si>
    <t>Chi tiết lắp đặt</t>
  </si>
  <si>
    <t>MEP-DN-01</t>
  </si>
  <si>
    <t>MEP-DN-02</t>
  </si>
  <si>
    <t>MEP-DN-03</t>
  </si>
  <si>
    <t>MEP-NC-04</t>
  </si>
  <si>
    <t>MEP-NL-05</t>
  </si>
  <si>
    <t>Tường trong phòng: trục A-B/1-2</t>
  </si>
  <si>
    <t>KT-01; KT-18</t>
  </si>
  <si>
    <t>Cao độ trần 3m</t>
  </si>
  <si>
    <t>Trừ cửa sổ W2 trục 1/A-A'</t>
  </si>
  <si>
    <t>HT-06</t>
  </si>
  <si>
    <t>Trừ vách kính tường biên trục A/1-2</t>
  </si>
  <si>
    <t>HT-05</t>
  </si>
  <si>
    <t>Tường trong phòng: trục A-B/7-8</t>
  </si>
  <si>
    <t>Trừ cửa sổ W1 trục 8/A-A'</t>
  </si>
  <si>
    <t>Trừ vách kính tường biên trục A/7-8</t>
  </si>
  <si>
    <t>Tường trong phòng: trục B-B'/3-4</t>
  </si>
  <si>
    <t>Trừ cửa sổ W1 trục B/3-4</t>
  </si>
  <si>
    <t>HT-07</t>
  </si>
  <si>
    <t>Trừ vách kính CT3 (trục B'/3-4)</t>
  </si>
  <si>
    <t>KT-25</t>
  </si>
  <si>
    <t>Tường trong phòng: trục B-B'/5-8</t>
  </si>
  <si>
    <t>Trừ cửa sổ W1 trục 8/B-B'</t>
  </si>
  <si>
    <t>Trừ cửa sổ W1 trục B/5-8</t>
  </si>
  <si>
    <t>Tường trục 4/A-A' (2 mặt)</t>
  </si>
  <si>
    <t>KT-01;KT-14;KT-18</t>
  </si>
  <si>
    <t>Cao độ trần 3.3m</t>
  </si>
  <si>
    <t>Tường trục 5/A-A' (2 mặt)</t>
  </si>
  <si>
    <t>KT-01;KT-14;KT-19</t>
  </si>
  <si>
    <t>Tường ô cầu thang thoát hiểm: trục 1-2/B-B'</t>
  </si>
  <si>
    <t>KT-01</t>
  </si>
  <si>
    <t>Chiều cao bằng cao độ tầng trệt trừ sàn chiếu nghỉ</t>
  </si>
  <si>
    <t>Đáy cầu thang chiếu nghỉ, chiếu tới</t>
  </si>
  <si>
    <t>Tường ô cầu thang giữa: trục 3-4/B-B'</t>
  </si>
  <si>
    <t>Tường trong phòng kỹ thuật: trục 2-3/B-B'</t>
  </si>
  <si>
    <t>KT-01;KT-14</t>
  </si>
  <si>
    <t>Tường trục A/2-7</t>
  </si>
  <si>
    <t>Sơn đến cao độ trần 3.3m</t>
  </si>
  <si>
    <t>Trừ vách kính</t>
  </si>
  <si>
    <t>Tường hành lang trục A'/1-8</t>
  </si>
  <si>
    <t>Trừ vách kính CT8</t>
  </si>
  <si>
    <t>KT-26</t>
  </si>
  <si>
    <t>Trừ vách kính CT1</t>
  </si>
  <si>
    <t>Tường hành lang trục B'/1-8</t>
  </si>
  <si>
    <t>Trừ cửa đi vào khu WC, phòng kỹ thuật</t>
  </si>
  <si>
    <t>Trừ vách kính CT3</t>
  </si>
  <si>
    <t>Trừ vách kính CT2</t>
  </si>
  <si>
    <t>Cột trục A/2,7</t>
  </si>
  <si>
    <t>Cột trục A/3,6</t>
  </si>
  <si>
    <t>Cột trục A/4,5</t>
  </si>
  <si>
    <t>Cột trục A'/2,3,6,7</t>
  </si>
  <si>
    <t>Cột trục A'/4,5</t>
  </si>
  <si>
    <t>Tường trục 1(A-B')</t>
  </si>
  <si>
    <t>KT-02;KT-15</t>
  </si>
  <si>
    <t>Tường trục 3(B-B')</t>
  </si>
  <si>
    <t>KT-02;KT-19</t>
  </si>
  <si>
    <t>Tường trục 4(A-A')</t>
  </si>
  <si>
    <t>Tường trục 4(B-B')</t>
  </si>
  <si>
    <t>Tường trục 5(A-A')</t>
  </si>
  <si>
    <t>Tường trục 5(B-B')</t>
  </si>
  <si>
    <t xml:space="preserve">Trừ cửa sổ </t>
  </si>
  <si>
    <t>KT-02;HT-06</t>
  </si>
  <si>
    <t>KT-02;HT-07</t>
  </si>
  <si>
    <t>Tường trục A(1-4)</t>
  </si>
  <si>
    <t>Trừ vách kính mặt tiền</t>
  </si>
  <si>
    <t>Tường trục A'(4-5)</t>
  </si>
  <si>
    <t>Tường trục B'(1-3)</t>
  </si>
  <si>
    <t>Trừ cửa đi vô buồng thang thoát hiểm</t>
  </si>
  <si>
    <t>KT-02</t>
  </si>
  <si>
    <t>Trừ cửa đi vô WC, phòng kỹ thuật</t>
  </si>
  <si>
    <t>Trừ cửa sổ phòng kỹ thuật</t>
  </si>
  <si>
    <t>Tường trục B(5-8) bao gồm cột</t>
  </si>
  <si>
    <t>KT-02; KT-15</t>
  </si>
  <si>
    <t>Đáy cầu thang chiếu tới</t>
  </si>
  <si>
    <t>Cột trục A/2,3,6,7</t>
  </si>
  <si>
    <t>Cột trục B'/6,7</t>
  </si>
  <si>
    <t>KT-03;KT-16</t>
  </si>
  <si>
    <t>Tường trục B'(1-5)</t>
  </si>
  <si>
    <t>Trừ cửa đi vô phòng IT</t>
  </si>
  <si>
    <t>KT-04</t>
  </si>
  <si>
    <t>Trừ cửa đi</t>
  </si>
  <si>
    <t>Tường phòng kho</t>
  </si>
  <si>
    <t>Trừ cửa sổ</t>
  </si>
  <si>
    <t>1. Tầng Trệt</t>
  </si>
  <si>
    <t>Tường trục 1 (mặt đứng trục A-B)</t>
  </si>
  <si>
    <t>Ô văng cửa sổ (mặt trên và mặt dưới)</t>
  </si>
  <si>
    <t>Cạnh đứng</t>
  </si>
  <si>
    <t>Ô văng cửa đi (mặt trên và mặt dưới)</t>
  </si>
  <si>
    <t>Trừ diện tích gạch ốp hiện trạng (bao gồm cửa đi, cửa sổ)</t>
  </si>
  <si>
    <t>Tường trục 8 (mặt đứng trục B-A)</t>
  </si>
  <si>
    <t>Tường trục B ( mặt đứng trục 1-8)</t>
  </si>
  <si>
    <t>Trừ cửa sổ W1</t>
  </si>
  <si>
    <t>Trừ cửa sổ S1</t>
  </si>
  <si>
    <t>Tường trục A ( mặt đứng trục 8-1)</t>
  </si>
  <si>
    <t>Ô văng phía trên vách kính (mặt trên và mặt dưới)</t>
  </si>
  <si>
    <t>Trừ tường ốp gạch</t>
  </si>
  <si>
    <t>Mặt đứng Sảnh đón</t>
  </si>
  <si>
    <t>HT-05; KT-01</t>
  </si>
  <si>
    <t>Đáy Sảnh đón</t>
  </si>
  <si>
    <t xml:space="preserve"> KT-01</t>
  </si>
  <si>
    <t>Trừ vách kính</t>
  </si>
  <si>
    <t>Ô văng cửa sổ W1 (mặt trên và mặt dưới)</t>
  </si>
  <si>
    <t>Ô văng cửa sổ S3 (mặt trên và mặt dưới)</t>
  </si>
  <si>
    <t>Trừ cửa sổ S3</t>
  </si>
  <si>
    <t>Phía trên tường dày 200</t>
  </si>
  <si>
    <t>Tầng mái phía bên trong sàn Deck</t>
  </si>
  <si>
    <t>Tường trục 1-2/A-B (bao gồm tum thang)</t>
  </si>
  <si>
    <t>HT-04</t>
  </si>
  <si>
    <t>Tường trục 7-8/A-B</t>
  </si>
  <si>
    <t>Tường trục A/1-8</t>
  </si>
  <si>
    <t>Tường trục B/2-7</t>
  </si>
  <si>
    <t>Vòm mặt tiền (trục A/4-5)</t>
  </si>
  <si>
    <t>Mặt đứng trục 8-1 bên ngoài</t>
  </si>
  <si>
    <t>Mặt bằng phía trên vòm</t>
  </si>
  <si>
    <t>HT-04; HT-05</t>
  </si>
  <si>
    <t xml:space="preserve">Mặt đứng phía bên trong sàn Deck </t>
  </si>
  <si>
    <t>a. Tầng trệt</t>
  </si>
  <si>
    <t>Trục 1-2/A-A'</t>
  </si>
  <si>
    <t>KT-09</t>
  </si>
  <si>
    <t>Trục 2-4/A-A'</t>
  </si>
  <si>
    <t>Trừ cột trục A/2</t>
  </si>
  <si>
    <t>Trừ cột trục A/3</t>
  </si>
  <si>
    <t>Trừ cột trục A'/2,3</t>
  </si>
  <si>
    <t>Trục 7-8/A-A'</t>
  </si>
  <si>
    <t>Trục 5-7/A-A'</t>
  </si>
  <si>
    <t>Trừ cột trục A/7</t>
  </si>
  <si>
    <t>Trừ cột trục A/6</t>
  </si>
  <si>
    <t>Trừ cột trục A'/6,7</t>
  </si>
  <si>
    <t>Trục 1-2/B-B' (buồng thang thoát hiểm)</t>
  </si>
  <si>
    <t>Trục 3-4/B-B'</t>
  </si>
  <si>
    <t>Trục 4-5/B-B'</t>
  </si>
  <si>
    <t>Trục 5-8/B-B'</t>
  </si>
  <si>
    <t>Trừ cột trục B'/6,7</t>
  </si>
  <si>
    <t>Trừ cột trục B/6,7</t>
  </si>
  <si>
    <t>Phòng kỹ thuật (trục B-B'/2-3)</t>
  </si>
  <si>
    <t>Hành lang (trục A'-B'/1-4)</t>
  </si>
  <si>
    <t>Hành lang (trục A'-B'/5-8)</t>
  </si>
  <si>
    <t>b. Lầu 1</t>
  </si>
  <si>
    <t>Trục 1-4/A-B'</t>
  </si>
  <si>
    <t>KT-10</t>
  </si>
  <si>
    <t>Phòng kỹ thuật</t>
  </si>
  <si>
    <t>Trục 4-5/A-A'</t>
  </si>
  <si>
    <t>Trục 5-8/A-B</t>
  </si>
  <si>
    <t>c. Lầu 2</t>
  </si>
  <si>
    <t>KT-11</t>
  </si>
  <si>
    <t>Trục 5-8/A-B'</t>
  </si>
  <si>
    <t>Trục 6-8/B-B'</t>
  </si>
  <si>
    <t>d. Tầng mái</t>
  </si>
  <si>
    <t>Trục 1-8/A-B</t>
  </si>
  <si>
    <t>KT-12</t>
  </si>
  <si>
    <t>Trừ tum thang</t>
  </si>
  <si>
    <t>Trừ phần khuyết trục A/1</t>
  </si>
  <si>
    <t>Trừ phần khuyết trục A/8</t>
  </si>
  <si>
    <t>Trừ mái vòm (trục A/4-5)</t>
  </si>
  <si>
    <t>KT-13</t>
  </si>
  <si>
    <t>HT-02; HT-03</t>
  </si>
  <si>
    <t>Trừ trần thạch cao lầu 2: che các ô sàn đã cắt (chỉ bả mastic chứ không sơn)</t>
  </si>
  <si>
    <t>KT-21</t>
  </si>
  <si>
    <t>Diện tích trát tường trong nhà (không tính phần trát tường WC vì diện tích này ốp gạch)</t>
  </si>
  <si>
    <t>Bằng diện tích Cạo, xủi vệ sinh lớp sơn tường cũ ngoài nhà</t>
  </si>
  <si>
    <t>KT-34</t>
  </si>
  <si>
    <t>BẢNG THỐNG KÊ CỐT THÉP MÓNG, ĐÀ KIỀNG, CỔ CỘT, SÀN</t>
  </si>
  <si>
    <t>Tên
cấu kiện</t>
  </si>
  <si>
    <t>Số 
hiệu 
thép</t>
  </si>
  <si>
    <t>Hình dạng và kích thước</t>
  </si>
  <si>
    <t>Đường kính</t>
  </si>
  <si>
    <t>Chiều dài
 thanh (mm)</t>
  </si>
  <si>
    <t>Số
mối
nối</t>
  </si>
  <si>
    <t>Số lượng</t>
  </si>
  <si>
    <t>Tổng chiều
 dài (m)</t>
  </si>
  <si>
    <t>Tỷ trọng (kg/md)</t>
  </si>
  <si>
    <t>Tổng
khối 
lượng (kg)</t>
  </si>
  <si>
    <t>Thanh
trên 1CK</t>
  </si>
  <si>
    <t>Cấu kiện</t>
  </si>
  <si>
    <t>Toàn bộ</t>
  </si>
  <si>
    <t>I. THÉP SÀN TẦNG TRỆT</t>
  </si>
  <si>
    <t>Bản vẽ KC-22</t>
  </si>
  <si>
    <t>Thép tăng cường chân cột</t>
  </si>
  <si>
    <t>II. THÉP SÀN TẦNG MÁI</t>
  </si>
  <si>
    <t>Bản vẽ KC-23</t>
  </si>
  <si>
    <t>Cạnh đứng máng xối</t>
  </si>
  <si>
    <t>Tổng hợp thép (kg)</t>
  </si>
  <si>
    <t>MEP-PS-01</t>
  </si>
  <si>
    <t>MEP-DN-04</t>
  </si>
  <si>
    <t>MEP-VS-01</t>
  </si>
  <si>
    <t>MEP-VS-02</t>
  </si>
  <si>
    <t>MEP-VS-03</t>
  </si>
  <si>
    <t>MEP-PW-01,04</t>
  </si>
  <si>
    <t>MEP-PW-01,02</t>
  </si>
  <si>
    <t>MEP-PW-01,03</t>
  </si>
  <si>
    <t>MEP-NC-05</t>
  </si>
  <si>
    <t>MEP-NC-03</t>
  </si>
  <si>
    <t>MEP-NC-01</t>
  </si>
  <si>
    <t>MEP-NC-02</t>
  </si>
  <si>
    <t>MEP-VS-04</t>
  </si>
  <si>
    <t>MEP-NT-01</t>
  </si>
  <si>
    <t>MEP-NT-04</t>
  </si>
  <si>
    <t>MEP-NT-03</t>
  </si>
  <si>
    <t>MEP-NT-02</t>
  </si>
  <si>
    <t>MEP-NC-06</t>
  </si>
  <si>
    <t>MEP-FI-01</t>
  </si>
  <si>
    <t>MEP-FI-02</t>
  </si>
  <si>
    <t>Dàn lạnh Tầng trệt</t>
  </si>
  <si>
    <t xml:space="preserve">mặt bằng tầng trệt </t>
  </si>
  <si>
    <t>mặt bằng tầng 1</t>
  </si>
  <si>
    <t>Mặt bằng fill lỗ tầng 1</t>
  </si>
  <si>
    <t>Mặt bằng fill lỗ tầng 2</t>
  </si>
  <si>
    <t>Mặt bằng bố trí đánh số thứ tự note mạng, điện thoại tầng trệt</t>
  </si>
  <si>
    <t>Mặt bằng bố trí đánh số thứ tự note mạng, điện thoại tầng 1</t>
  </si>
  <si>
    <t>Mặt bằng bố trí đánh số thứ tự note mạng, điện thoại tầng 2</t>
  </si>
  <si>
    <t>Bảng tổng hợp đánh số thứ tự note mạng, điện thoại</t>
  </si>
  <si>
    <t>MEP-TT-01</t>
  </si>
  <si>
    <t>MEP-TT-02</t>
  </si>
  <si>
    <t>MEP-TT-03</t>
  </si>
  <si>
    <t>MEP-TT-04</t>
  </si>
  <si>
    <t>Mặt bằng bố trí thiết bị vệ sinh tầng trệt</t>
  </si>
  <si>
    <t>Mặt bằng bố trí thiết bị vệ sinh tầng 1</t>
  </si>
  <si>
    <t>Mặt bằng bố trí thiết bị vệ sinh tầng 2</t>
  </si>
  <si>
    <t>Mặt bằng bố trí thiết bị vệ sinh tầng mái</t>
  </si>
  <si>
    <t>Mặt bằng cắt đục - lắp đặt ổ cắm âm sàn nắp trượt tầng trệt</t>
  </si>
  <si>
    <t>MEP-PS-02</t>
  </si>
  <si>
    <t>Mặt bằng bọc lưới mắt cáo thang cáp trục đứng - ngăn cách các tầng</t>
  </si>
  <si>
    <t>Mặt bằng lắp đặt ống thoát nước tầng trệt</t>
  </si>
  <si>
    <t>Mặt bằng lắp đặt ống thoát nước tầng 1</t>
  </si>
  <si>
    <t>Mặt bằng lắp đặt ống thoát nước tầng 2</t>
  </si>
  <si>
    <t>Mặt bằng lắp đặt ống thoát nước tầng mái</t>
  </si>
  <si>
    <t>MEP-NT-05</t>
  </si>
  <si>
    <t>Mặt bằng lắp đặt ống cấp nước tầng trệt</t>
  </si>
  <si>
    <t>Mặt bằng lắp đặt ống cấp nước tầng 1</t>
  </si>
  <si>
    <t>Mặt bằng lắp đặt ống cấp nước tầng 2</t>
  </si>
  <si>
    <t>Mặt bằng lắp đặt ống cấp nước tầng mái</t>
  </si>
  <si>
    <t>Mặt bằng bố trí cụm bơm nước cấp từ bể nước lên bồn</t>
  </si>
  <si>
    <t>Mặt đứng bố trí ống cấp bồn nước mái</t>
  </si>
  <si>
    <t>Chi tiết lắp đặt giá đỡ giàn nóng</t>
  </si>
  <si>
    <t>MEP-VRV-06</t>
  </si>
  <si>
    <t>Chi tiết lắp đặt giàn nóng</t>
  </si>
  <si>
    <t>Mặt bằng bố trí đi ống - cáp Cat 6 - cáp điện thoại tầng trệt</t>
  </si>
  <si>
    <t>Mặt bằng bố trí đi ống - cáp Cat 6 - cáp điện thoại tầng 1</t>
  </si>
  <si>
    <t>Mặt bằng bố trí đi ống - cáp Cat 6 - cáp điện thoại tầng 2</t>
  </si>
  <si>
    <t>Mặt bằng bố trí đi ống - cáp Cat 6 kho hồ sơ Tôn Hoa Sen</t>
  </si>
  <si>
    <t>Mặt bằng lắp đặt ống nổi cấp nguồn chiếu sáng tầng trệt</t>
  </si>
  <si>
    <t>Mặt bằng lắp đặt ống nổi cấp nguồn chiếu sáng tầng 1</t>
  </si>
  <si>
    <t>Mặt bằng lắp đặt ống nổi cấp nguồn chiếu sáng tầng 2</t>
  </si>
  <si>
    <t>Mặt bằng lắp đặt ống nổi cấp nguồn chiếu sáng tầng mái</t>
  </si>
  <si>
    <t>Mặt bằng lắp đặt nguồn công tắc tầng trệt</t>
  </si>
  <si>
    <t>Mặt bằng lắp đặt nguồn công tắc tầng 1</t>
  </si>
  <si>
    <t>Mặt bằng lắp đặt nguồn công tắc tầng 2</t>
  </si>
  <si>
    <t>Mặt bằng lắp đặt nguồn công tắc tầng mái</t>
  </si>
  <si>
    <t>MEP-OC-05</t>
  </si>
  <si>
    <t>MEP-OC-06</t>
  </si>
  <si>
    <t>MEP-OC-07</t>
  </si>
  <si>
    <t>MEP-OC-08</t>
  </si>
  <si>
    <t>MEP-OC-09</t>
  </si>
  <si>
    <t>MEP-OC-10</t>
  </si>
  <si>
    <t>Mặt bằng lắp đặt ống nổi cấp nguồn chiếu sáng trạm bơm</t>
  </si>
  <si>
    <t>Mặt bằng bố trí thiết bị trần tầng trệt</t>
  </si>
  <si>
    <t>Mặt bằng bố trí thiết bị trần ttầng 1</t>
  </si>
  <si>
    <t>Mặt bằng bố trí thiết bị trần ttầng 2</t>
  </si>
  <si>
    <t>Mặt bằng bố trí thiết bị trần ttầng mái, phòng bơm</t>
  </si>
  <si>
    <t>SƠ ĐỒ NGUYÊN LÝ TỦ ĐIỆN DB-T1</t>
  </si>
  <si>
    <t>SƠ ĐỒ NGUYÊN LÝ TỦ ĐIỆN DB-T2</t>
  </si>
  <si>
    <t>SƠ ĐỒ NGUYÊN LÝ TỦ ĐIỆN DB-T3</t>
  </si>
  <si>
    <t>SƠ ĐỒ NGUYÊN LÝ TỦ ĐIỆN DB-T4, DB-IT</t>
  </si>
  <si>
    <t>SƠ ĐỒ NGUYÊN LÝ TỦ ĐIỆN DB-AC</t>
  </si>
  <si>
    <t>MEP-GC-01</t>
  </si>
  <si>
    <t>HỢP ĐỒNG+PL</t>
  </si>
  <si>
    <t>Gạch granite màu nâu bóng vân đá hoa cương
VB632 VID: 600mmx600mm</t>
  </si>
  <si>
    <t>00018342</t>
  </si>
  <si>
    <t xml:space="preserve"> Vòi lavabo lạnh LFV-22S IN</t>
  </si>
  <si>
    <t>Chiếc</t>
  </si>
  <si>
    <t>00018901</t>
  </si>
  <si>
    <t>Đèn Led Panel vuông SPL-12T
150mmx150mm/12W ánh sáng trắng MP</t>
  </si>
  <si>
    <t>Đèn Led Downlight điều chỉnh góc chiếu mặt
vuông DLA2S-7T 7W MP</t>
  </si>
  <si>
    <t>Đèn Led Panel tròn nổi SRPL-24T 300mm/24W
ánh sáng trắng MP</t>
  </si>
  <si>
    <t>Đèn Led Panel tròn RPL-12T 150mm/12W ánh
sáng trắng MP</t>
  </si>
  <si>
    <t>00020232</t>
  </si>
  <si>
    <t>Ổ cắm âm sàn kiểu vuông F2Y-60 màu vàng MP</t>
  </si>
  <si>
    <t>Đế sắt âm sàn F115 MP</t>
  </si>
  <si>
    <t>00020233</t>
  </si>
  <si>
    <t xml:space="preserve"> HAO HỤT </t>
  </si>
  <si>
    <t>GIÁ TRỊ TRƯỚC THUẾ XUẤT HÓA ĐƠN 8%</t>
  </si>
  <si>
    <t>GIÁ TRỊ XUẤT HÓA ĐƠN VAT 8%</t>
  </si>
  <si>
    <t>GIÁ TRỊ TRƯỚC THUẾ ĐÃ XUẤT HÓA ĐƠN 10%</t>
  </si>
  <si>
    <t>GIÁ TRỊ ĐÃ XUẤT HÓA ĐƠN VAT 10%</t>
  </si>
  <si>
    <t>KHỐI LƯỢNG HỢP ĐỒNG+PL</t>
  </si>
  <si>
    <t>ĐẠI DIỆN NHÀ THẦU THI CÔNG</t>
  </si>
  <si>
    <t>HỒ SƠ QUYẾT TOÁN</t>
  </si>
  <si>
    <t>Số BB nghiệm thu</t>
  </si>
  <si>
    <t>Nhãn hiệu/Ncc theo Hợp đồng</t>
  </si>
  <si>
    <t>Nhãn hiệu/Ncc theo Hồ sơ</t>
  </si>
  <si>
    <t>BB giao hàng số</t>
  </si>
  <si>
    <t>CO/Xuất xưởng số</t>
  </si>
  <si>
    <t>CQ/Chứng nhận chất lượng số</t>
  </si>
  <si>
    <t>Số Biên bản nghiệm thu</t>
  </si>
  <si>
    <t>Bản vẽ thiết kế/hoàn công</t>
  </si>
  <si>
    <t>Thí nghiệm đối chứng</t>
  </si>
  <si>
    <t>TTr Chủ trương</t>
  </si>
  <si>
    <t>KIỂM SOÁT HỒ SƠ ĐẦU VÀO</t>
  </si>
  <si>
    <t>KIỂM SOÁT HỒ SƠ NGHIỆM THU CHẤT LƯỢNG</t>
  </si>
  <si>
    <t>Cát</t>
  </si>
  <si>
    <t>viên</t>
  </si>
  <si>
    <t>Bột trét trong</t>
  </si>
  <si>
    <t>Sơn lót trong</t>
  </si>
  <si>
    <t>Sơn hoàn thiện trong</t>
  </si>
  <si>
    <t>Sika Top Seal 107</t>
  </si>
  <si>
    <t>Đinh mức</t>
  </si>
  <si>
    <t>1.5-2kg/m2/lớp</t>
  </si>
  <si>
    <t>1 bộ =20kg bột+5kg nước</t>
  </si>
  <si>
    <t>Khối lượng chi tiết</t>
  </si>
  <si>
    <t>Khối lượng tổng</t>
  </si>
  <si>
    <t>Gạch 600x600 nhám</t>
  </si>
  <si>
    <t>Gạch 600x600 bóng</t>
  </si>
  <si>
    <t>Trần thạch cao chìm</t>
  </si>
  <si>
    <t>Đơn vị m2</t>
  </si>
  <si>
    <t>Khung trần chìm U3 UBR:
35mmx14mmx4000mmx0.30mm</t>
  </si>
  <si>
    <t>thanh</t>
  </si>
  <si>
    <t>Khung viền tường V3 UBR:
20mmx20mmx4000mmx0.30mm</t>
  </si>
  <si>
    <t xml:space="preserve"> Ty treo HVP: 3.8mmx2m6</t>
  </si>
  <si>
    <t>Tender inox ProMETAL HVP</t>
  </si>
  <si>
    <t>Tắc kê sắt HVP: 6mm</t>
  </si>
  <si>
    <t>Pat 2 lỗ HVP</t>
  </si>
  <si>
    <t>Vít đen HVP: 3.5mmx25mm</t>
  </si>
  <si>
    <t>Tấm thạch cao chống ẩm sơn trắng HVP:
1210mmx605mmx9.00mm</t>
  </si>
  <si>
    <t>tấm</t>
  </si>
  <si>
    <t>Khung trần nổi ArTEK T3660 rãnh đen HVP:
3660mmx24mmx32mmx0.27mm</t>
  </si>
  <si>
    <t xml:space="preserve"> Khung trần nổi ArTEK T1220 rãnh đen HVP:
1220mmx24mmx27mmx0.27mm</t>
  </si>
  <si>
    <t>Khung trần nổi ArTEK T610 rãnh đen HVP:
610mmx24mmx27mmx0.27mm</t>
  </si>
  <si>
    <t>Khung trần nổi TEKO V3600 HVP:
3600mmx20mmx20mmx0.35mm</t>
  </si>
  <si>
    <t>Ty treo HVP: 3.8mmx2m6</t>
  </si>
  <si>
    <t xml:space="preserve"> Tender inox ProMETAL HVP</t>
  </si>
  <si>
    <t>Trần sợi khoáng</t>
  </si>
  <si>
    <t>Vách thạch cao</t>
  </si>
  <si>
    <t>Vách kính cường lực 10mm, khung nhôm XingFa, phụ kiện</t>
  </si>
  <si>
    <t>Cửa đi 2 cánh trượt, kính cường lực 12mm</t>
  </si>
  <si>
    <t xml:space="preserve">Bộ phụ kiện cửa lùa tự động </t>
  </si>
  <si>
    <t>Lam gỗ tự nhiên</t>
  </si>
  <si>
    <t>Vách MDF chống ẩm</t>
  </si>
  <si>
    <t>Icon Logo</t>
  </si>
  <si>
    <t>Icon HOA SEN GROUP</t>
  </si>
  <si>
    <t>Đơn vị m</t>
  </si>
  <si>
    <t>Xí bệt + vòi xịt vệ sinh + bộ chia 2</t>
  </si>
  <si>
    <t>Lavabo + bộ xả + vòi rửa</t>
  </si>
  <si>
    <t>Bồn tiểu nam</t>
  </si>
  <si>
    <t>Keo PVC 1000 gram</t>
  </si>
  <si>
    <t>Ống nhựa uPVC cấp thoát nước nong dài: 114mmx5.0mmx4.0m</t>
  </si>
  <si>
    <t>Ống nhựa uPVC cấp thoát nước nong trơn: 34mmx2.0mmx4.0m</t>
  </si>
  <si>
    <t>Ống nhựa uPVC cấp thoát nước nong trơn: 21mmx1.6mmx4.0m</t>
  </si>
  <si>
    <t>Ống nhựa uPVC cấp thoát nước nong trơn: 27mmx1.8mmx4.0m</t>
  </si>
  <si>
    <t>Co uPVC 34 dày</t>
  </si>
  <si>
    <t>Tê uPVC 34 dày</t>
  </si>
  <si>
    <t>Tê giảm uPVC 34/27 dày</t>
  </si>
  <si>
    <t>Nối uPVC 34 dày</t>
  </si>
  <si>
    <t>Tê uPVC 27 dày</t>
  </si>
  <si>
    <t>Tê giảm uPVC 27/21 dày</t>
  </si>
  <si>
    <t>Co uPVC 27 dày</t>
  </si>
  <si>
    <t>Co uPVC 21 dày</t>
  </si>
  <si>
    <t>Tê ren trong uPVC 21 dày</t>
  </si>
  <si>
    <t>Co ren trong uPVC 21 dày</t>
  </si>
  <si>
    <t>Nối giảm uPVC 27/21 dày</t>
  </si>
  <si>
    <t>Van uPVC 34</t>
  </si>
  <si>
    <t>Van uPVC 27</t>
  </si>
  <si>
    <t>Co ren ngoài uPVC 27 dày</t>
  </si>
  <si>
    <t>Ống nhựa uPVC cấp thoát nước nong dài: 168mmx7.3mmx4.0m</t>
  </si>
  <si>
    <t>Ống nhựa uPVC cấp thoát nước nong dài: 114mmx3.5mmx4.0m</t>
  </si>
  <si>
    <t>Ống nhựa uPVC cấp thoát nước nong trơn: 90mmx2.9mmx4.0m</t>
  </si>
  <si>
    <t>Ống nhựa uPVC cấp thoát nước nong trơn: 60mmx2.0mmx4.0m</t>
  </si>
  <si>
    <t>Ống nhựa uPVC cấp thoát nước nong trơn: 42mmx2.1mmx4.0m</t>
  </si>
  <si>
    <t>Co uPVC 168 mỏng</t>
  </si>
  <si>
    <t>Co uPVC 114 mỏng</t>
  </si>
  <si>
    <t>Co uPVC 60 mỏng</t>
  </si>
  <si>
    <t>Co uPVC 42 dày</t>
  </si>
  <si>
    <t>Lơi uPVC 168 mỏng</t>
  </si>
  <si>
    <t>Lơi uPVC 114 mỏng</t>
  </si>
  <si>
    <t>Lơi uPVC 90 mỏng</t>
  </si>
  <si>
    <t>Y uPVC 114 mỏng</t>
  </si>
  <si>
    <t>Y giảm uPVC 168/114 mỏng</t>
  </si>
  <si>
    <t>Tê uPVC 114 mỏng</t>
  </si>
  <si>
    <t>Tê uPVC 90 mỏng</t>
  </si>
  <si>
    <t>Tê uPVC 60 mỏng</t>
  </si>
  <si>
    <t>Tê uPVC 42 dày</t>
  </si>
  <si>
    <t>Tê uPVC 21 dày</t>
  </si>
  <si>
    <t>Lơi uPVC 60 mỏng</t>
  </si>
  <si>
    <t>Lơi uPVC 42 mỏng</t>
  </si>
  <si>
    <t>Y uPVC 60 mỏng</t>
  </si>
  <si>
    <t>Nắp bít uPVC 34 mỏng</t>
  </si>
  <si>
    <t>Nắp bít uPVC 42 mỏng</t>
  </si>
  <si>
    <t>Nắp bít uPVC 90 mỏng</t>
  </si>
  <si>
    <t>Nối uPVC 90 mỏng</t>
  </si>
  <si>
    <t>Nối uPVC 114 mỏng</t>
  </si>
  <si>
    <t>Tê giảm uPVC 168/114 mỏng</t>
  </si>
  <si>
    <t>Tê giảm uPVC 114/60 mỏng</t>
  </si>
  <si>
    <t>Tê giảm uPVC 90/60 mỏng</t>
  </si>
  <si>
    <t>Tê giảm uPVC 60/34 mỏng</t>
  </si>
  <si>
    <t>Nối giảm uPVC 168/114 mỏng</t>
  </si>
  <si>
    <t>Nối giảm uPVC 90/60 mỏng</t>
  </si>
  <si>
    <t>Nối giảm uPVC 60/42 dày</t>
  </si>
  <si>
    <t>Nối giảm uPVC 60/34 dày</t>
  </si>
  <si>
    <t>Ống nhựa uPVC luồn dây điện: 25mmx1.5nnx2.92mm</t>
  </si>
  <si>
    <t>Nối  uPVC LDĐ 25</t>
  </si>
  <si>
    <t>XIII</t>
  </si>
  <si>
    <t>Ống uPVC D168</t>
  </si>
  <si>
    <t>Ống uPVC D114</t>
  </si>
  <si>
    <t>Lơi D114</t>
  </si>
  <si>
    <t>Thép D10</t>
  </si>
  <si>
    <t xml:space="preserve">Thép hình </t>
  </si>
  <si>
    <t>Bản mã</t>
  </si>
  <si>
    <t>Tôn sàn deck</t>
  </si>
  <si>
    <t>Neomax Prime P11</t>
  </si>
  <si>
    <t>Neomax 201</t>
  </si>
  <si>
    <t>Neomax Topcoat T14</t>
  </si>
  <si>
    <t>Ống uPVC D27</t>
  </si>
  <si>
    <t>Ống uPVC D34</t>
  </si>
  <si>
    <t>Ống uPvc D21</t>
  </si>
  <si>
    <t>Ống uPvc D90</t>
  </si>
  <si>
    <t xml:space="preserve">Đá Granite </t>
  </si>
  <si>
    <t>Thép hộp mạ kẽm</t>
  </si>
  <si>
    <t>Thép hộp, thép ống mạ kẽm</t>
  </si>
  <si>
    <t>Thép tròn xây dựng, thép hình</t>
  </si>
  <si>
    <t>Thép hộp mạ kẽm Z080:
50mmx100mmx1.40mmx4.0m</t>
  </si>
  <si>
    <t>Thép ống mạ kẽm Z080: 49mmx1.10mmx6.0m</t>
  </si>
  <si>
    <t>00005796</t>
  </si>
  <si>
    <t>00005797</t>
  </si>
  <si>
    <t>Đèn LED Panel DP06 60x60/40W SS-KPK RĐ</t>
  </si>
  <si>
    <t>Thép hộp mạ kẽm Z080: 40mmx40mmx1.40mmx6.0m</t>
  </si>
  <si>
    <t>Thép hộp mạ kẽm Z080: 30mmx30mmx1.20mmx6.0m</t>
  </si>
  <si>
    <t>00001971</t>
  </si>
  <si>
    <t>Cáp quang SingleMode 8FO</t>
  </si>
  <si>
    <t>Cáp quang SingleMode 4FO</t>
  </si>
  <si>
    <t>Cáp quang SingleMode 12FO</t>
  </si>
  <si>
    <t>Cáp điện thoại 50 đôi 50x2x0.5</t>
  </si>
  <si>
    <t>Cáp điện thoại 20 đôi 20x2x0.5</t>
  </si>
  <si>
    <t>Đèn Led Thanh nhôm 1m2</t>
  </si>
  <si>
    <t xml:space="preserve"> Đèn Led Thanh nhôm 2m4</t>
  </si>
  <si>
    <t>Đèn Downlight Vuông Đèn LED âm trần</t>
  </si>
  <si>
    <t xml:space="preserve"> Đèn Led Chiếu điểm</t>
  </si>
  <si>
    <t>Bột trét ngoài</t>
  </si>
  <si>
    <t>Sơn lót ngoài</t>
  </si>
  <si>
    <t>Sơn hoàn thiện ngoài</t>
  </si>
  <si>
    <t>Cửa đi nhôm XingFa, kính cường lực 10mm</t>
  </si>
  <si>
    <t>Tấm Polycarbonate</t>
  </si>
  <si>
    <t>Quạt hút âm trần FV-20CUT</t>
  </si>
  <si>
    <t>Quạt hút âm trần FV-15TGU1</t>
  </si>
  <si>
    <t>Tủ bơm cấp nước</t>
  </si>
  <si>
    <t>Đồng hồ nước</t>
  </si>
  <si>
    <t>Ổ cắm âm sàn nắp trượt</t>
  </si>
  <si>
    <t xml:space="preserve">Ổ cắm HDMI </t>
  </si>
  <si>
    <t>Đá 1x2</t>
  </si>
  <si>
    <t>Cộng hòa xã hội chủ nghĩa Việt Nam</t>
  </si>
  <si>
    <t>Độc lập - tự do - hạnh phúc</t>
  </si>
  <si>
    <t>-----o0o-----</t>
  </si>
  <si>
    <t>BẢNG  KHỐI LƯỢNG VẬT LIỆU - THIẾT BỊ - SẢN PHẨM NHẬP VỀ CÔNG TRÌNH</t>
  </si>
  <si>
    <t>Tên thiết bị/vật tư</t>
  </si>
  <si>
    <t>Đ. vị</t>
  </si>
  <si>
    <t>Khối 
lượng</t>
  </si>
  <si>
    <t>Nhãn hiệu</t>
  </si>
  <si>
    <t>Xuất xứ</t>
  </si>
  <si>
    <t>Ghi chú</t>
  </si>
  <si>
    <t>6m/1 cây</t>
  </si>
  <si>
    <t>CĐT cấp</t>
  </si>
  <si>
    <t>Gạch 80x80x180mm</t>
  </si>
  <si>
    <t>Tuynel</t>
  </si>
  <si>
    <t>80x80x180mm</t>
  </si>
  <si>
    <t>Bình Dương</t>
  </si>
  <si>
    <t>Gạch 40x80x180mm</t>
  </si>
  <si>
    <t>40x80x180mm</t>
  </si>
  <si>
    <t>Cát xây dựng</t>
  </si>
  <si>
    <t>Cát vàng</t>
  </si>
  <si>
    <t>FICO</t>
  </si>
  <si>
    <t>PCB40</t>
  </si>
  <si>
    <t>Việt Nam</t>
  </si>
  <si>
    <t>Bột trét nội thất KORE INTERIOR KCC: 40kg</t>
  </si>
  <si>
    <t>40kg/bao</t>
  </si>
  <si>
    <t>Korea</t>
  </si>
  <si>
    <t xml:space="preserve">Bột trét tường cao cấp trong nhà và ngoài trời A502-29133 Dulux : 40kg  </t>
  </si>
  <si>
    <t>Dullux</t>
  </si>
  <si>
    <t>Sơn lót nội thất KORE SEALER KCC: 18L</t>
  </si>
  <si>
    <t>Thùng 18L</t>
  </si>
  <si>
    <t>Sơn lót cao cấp ngoài trời WEATHERSHIELD chống kiềm A936-75230 Dulux: 18L</t>
  </si>
  <si>
    <t>Thép xây dựng dạng vằn VAS D10 CB500</t>
  </si>
  <si>
    <t>Thép gân</t>
  </si>
  <si>
    <t>Dây kẽm đen ủ mềm HS 1.0 mm</t>
  </si>
  <si>
    <t>Bê tông đá 1x2, M250( nền trệt)</t>
  </si>
  <si>
    <t>HKCONS</t>
  </si>
  <si>
    <t>Bê tông thương phẩm, đá 1x2, M250 R28, độ sụt 10+/-2</t>
  </si>
  <si>
    <t xml:space="preserve">Sơn dầu galant màu Platium-5204 UR : 17,500mm  </t>
  </si>
  <si>
    <t>Galant</t>
  </si>
  <si>
    <t>17.5 lít/ thùng</t>
  </si>
  <si>
    <t>Sơn lót chống rỉ ATM màu Platium grey UR: 17,500ml</t>
  </si>
  <si>
    <t xml:space="preserve">Tấm trần sợi khoáng Pin Perf UBR </t>
  </si>
  <si>
    <t>UBR</t>
  </si>
  <si>
    <t>610mmx610mmx16mm ( cấp 1220x610x16)</t>
  </si>
  <si>
    <t xml:space="preserve">Tấm thạch cao chống ẩm sơn trắng HVP </t>
  </si>
  <si>
    <t>HVP</t>
  </si>
  <si>
    <t>1210mmx605x9mm</t>
  </si>
  <si>
    <t xml:space="preserve"> Khung trần nổi ArTEK T3660 rãnh đen HVP: </t>
  </si>
  <si>
    <t>3660mmx24mmx32mmx0.27mm</t>
  </si>
  <si>
    <t xml:space="preserve">Khung trần nổi ArTEK T1220 rãnh đen HVP: </t>
  </si>
  <si>
    <t>1220mmx24mmx27mmx0.27mm</t>
  </si>
  <si>
    <t xml:space="preserve">Khung trần nổi TEKO V3600 HVP: </t>
  </si>
  <si>
    <t>3600mmx20mmx20mmx0.35mm</t>
  </si>
  <si>
    <t xml:space="preserve">Khung trần nổi ArTEK T610 rãnh đen HVP: </t>
  </si>
  <si>
    <t>610mmx24mmx27mmx0.27mm</t>
  </si>
  <si>
    <t xml:space="preserve">Tấm thạch cao chống võng Sheetrock® Standard UBR: </t>
  </si>
  <si>
    <t xml:space="preserve">1210mmx2420mmx9.00mm (SE)  </t>
  </si>
  <si>
    <t xml:space="preserve">Khung trần chìm U3 UBR: </t>
  </si>
  <si>
    <t>35mmx14mmx4000mmx0.30mm</t>
  </si>
  <si>
    <t xml:space="preserve">Khung viền tường V3 vàng UBR: </t>
  </si>
  <si>
    <t>20mmx20mmx4000mmx0.30mm</t>
  </si>
  <si>
    <t xml:space="preserve">Thép hình I 250x125x6x9x12mm   </t>
  </si>
  <si>
    <t>12m/1 cây</t>
  </si>
  <si>
    <t xml:space="preserve">Thép hình I 200x100x5,5x8x12mm  </t>
  </si>
  <si>
    <t>Thép tấm bản mã</t>
  </si>
  <si>
    <t>Nhiều quy cách</t>
  </si>
  <si>
    <t>Thép dày mạ kẽm Z100 0.95mmx1200mm cán sóng</t>
  </si>
  <si>
    <t>12m/1 tấm</t>
  </si>
  <si>
    <t>Thép dày mạ kẽm Z100 0,5mmx1200mm cán sóng</t>
  </si>
  <si>
    <t>Keo (Vữa) dán gạch Cá Sấu Green màu Xám C01010106 CCD: 20kg</t>
  </si>
  <si>
    <t>CCD</t>
  </si>
  <si>
    <t>20kg/gói</t>
  </si>
  <si>
    <t>Thái lan</t>
  </si>
  <si>
    <t xml:space="preserve">Keo (Vữa) dán gạch Cá Sấu Red màu Xám C01920106 CCD: 20kg    </t>
  </si>
  <si>
    <t xml:space="preserve">Keo (Vữa) chà ron Cá Sấu Silver màu White C02141001 CCD: 1kg   </t>
  </si>
  <si>
    <t>1kg/gói</t>
  </si>
  <si>
    <t xml:space="preserve">Gạch granite màu kem vân đá hoa cương VB810 VID: 800mmx800mm  </t>
  </si>
  <si>
    <t>VID</t>
  </si>
  <si>
    <t>800x800mm</t>
  </si>
  <si>
    <t>Gạch granite màu nâu bóng vân đá hoa cương VB832 VID: 800mmx800mm</t>
  </si>
  <si>
    <t>Ty ren G8.8</t>
  </si>
  <si>
    <t>M16x200</t>
  </si>
  <si>
    <t>Bu lông liên kết - cấp bền 8.8</t>
  </si>
  <si>
    <t>Gạch granite màu nâu bóng vân đá hoa cương VB632 VID: 600mmx600mm</t>
  </si>
  <si>
    <t>600x600mm</t>
  </si>
  <si>
    <t>Gạch granite màu nâu nhám vân đá hoa cương V632 VID: 600mmx600mm</t>
  </si>
  <si>
    <t xml:space="preserve">Sika TopSeal 107   </t>
  </si>
  <si>
    <t>Sika</t>
  </si>
  <si>
    <t>25kg/bộ</t>
  </si>
  <si>
    <t xml:space="preserve">Sika grout 214-11   </t>
  </si>
  <si>
    <t>Thanh trương nở DB 2015 5m</t>
  </si>
  <si>
    <t>cuộn</t>
  </si>
  <si>
    <t>5m/cuộn</t>
  </si>
  <si>
    <t xml:space="preserve">Thép hộp mạ kẽm Hoa Sen 50x100x1,4mmx4m  </t>
  </si>
  <si>
    <t xml:space="preserve">Thép ống mạ kẽm Hoa Sen D49x1,1mmx6m </t>
  </si>
  <si>
    <t>Thép V kẽm QT: 30mmx30mmx2.8mmx6.0m</t>
  </si>
  <si>
    <t>Bê tông đá 1x2, M300( nền sàn mái)</t>
  </si>
  <si>
    <t>Bê tông thương phẩm, đá 1x2, M300 R7, B8, độ sụt 12+/-2</t>
  </si>
  <si>
    <t xml:space="preserve">Sơn nước ngoại thất cao cấp Weathershield bề mặt mờ-BJ8 Màu pha dulux -15L (90YR 34/468-Golden tan)          </t>
  </si>
  <si>
    <t>Thùng 5L</t>
  </si>
  <si>
    <t xml:space="preserve">Sơn nước ngoại thất cao cấp Weathershield bề mặt mờ-BJ8 Màu pha dulux -15L (05YY 72/254-ORANGE BLOSSM ) </t>
  </si>
  <si>
    <t>Thùng 15L</t>
  </si>
  <si>
    <t>Sơn nước ngoại thất cao cấp Weathershield bề mặt mờ-BJ8 Màu pha dulux -15L - Viền màu trắng</t>
  </si>
  <si>
    <t>Sơn nước nội thất cao cấp KORECLEAN bề mặt mờ lau chùi vượt trội Base A grey-GA0125-18L - Purist grey</t>
  </si>
  <si>
    <t xml:space="preserve">Sơn nước ngoại thất cao cấp jotun DRAGON RED 3657-Y93R </t>
  </si>
  <si>
    <t>JOTUN</t>
  </si>
  <si>
    <t>Nhôm xingfa quảng đông, kính cường lực bình dương</t>
  </si>
  <si>
    <t>Nhôm xingfa hệ 55 dày 1.4mm, kính cường lực 10mm</t>
  </si>
  <si>
    <t>Quảng đông, Bình Dương</t>
  </si>
  <si>
    <t>Tấm vách thạch cao chống ẩm, độ dày 12mm, cách âm ( bao gồm hệ khung, phụ kiện vĩnh tường hoặc tương đương)</t>
  </si>
  <si>
    <t>Vĩnh tường</t>
  </si>
  <si>
    <t xml:space="preserve">Đá granite đỏ </t>
  </si>
  <si>
    <t>dày 18-20mm</t>
  </si>
  <si>
    <t>Đá granite đen Ấn Độ</t>
  </si>
  <si>
    <t>can</t>
  </si>
  <si>
    <t>Neomax</t>
  </si>
  <si>
    <t>5kg/can</t>
  </si>
  <si>
    <t>20kg/bộ</t>
  </si>
  <si>
    <t>5kg/bộ</t>
  </si>
  <si>
    <t>Tấm compact màu ghi 1006 -805 dày 12mm</t>
  </si>
  <si>
    <t>1220x1830x12mm</t>
  </si>
  <si>
    <t>1530x1830x12mm</t>
  </si>
  <si>
    <t>Nhôm hèm 12mm</t>
  </si>
  <si>
    <t>2m/cây</t>
  </si>
  <si>
    <t>Nhôm U 12mm</t>
  </si>
  <si>
    <t>Nhôm nóc 12mm</t>
  </si>
  <si>
    <t>6m/cây</t>
  </si>
  <si>
    <t>Chân V2 cao150mm inox 304</t>
  </si>
  <si>
    <t>Chân V2 cao 200mm inox 304</t>
  </si>
  <si>
    <t>Bản lề inox 304</t>
  </si>
  <si>
    <t>Khóa inox 304</t>
  </si>
  <si>
    <t>Tay nắm inox 304</t>
  </si>
  <si>
    <t>Móc áo inox 304</t>
  </si>
  <si>
    <t xml:space="preserve"> Ke inox 304</t>
  </si>
  <si>
    <t>Tấm Aluminium ốp quầy lễ tân dày 4mm/ lớp nhôm 0.3mm hoàn thiện ốp quầy lễ tân</t>
  </si>
  <si>
    <t>Alcorest</t>
  </si>
  <si>
    <t>EV2031</t>
  </si>
  <si>
    <t>Lam gỗ tự nhiên gõ Nam phi  khổ ván từ 300mm đến 500mm (Hộp hoàn thiện dày từ 300 đến 500mm, bản tấm dày 10mm)</t>
  </si>
  <si>
    <t>Ván MDF 9mm chống ẩm</t>
  </si>
  <si>
    <t>Icon Logo: Tôn sơn tĩnh điện màu vàng, độ dày tôn: 1.2mm</t>
  </si>
  <si>
    <t xml:space="preserve"> 870x870x30mm</t>
  </si>
  <si>
    <t>Icon HOA SEN GROUP: Tôn sơn tĩnh điện màu vàng, độ dày tôn: 1.2mm</t>
  </si>
  <si>
    <t>3000x300x30mm</t>
  </si>
  <si>
    <t>Quầy lễ tân: Mặt đá Mapble, Khung gỗ, cánh gỗ, phụ kiện đi kèm, Ốp lam gỗ</t>
  </si>
  <si>
    <t>3800x800x1180mm</t>
  </si>
  <si>
    <t>Bộ điều khiển cửa lùa tự động</t>
  </si>
  <si>
    <t>RITS-N</t>
  </si>
  <si>
    <t>RADOS-100WB-D90W</t>
  </si>
  <si>
    <t>Hàn Quốc</t>
  </si>
  <si>
    <t>NTVL 01</t>
  </si>
  <si>
    <t>NTVL 02</t>
  </si>
  <si>
    <t>NTVL 03</t>
  </si>
  <si>
    <t>NTVL 04</t>
  </si>
  <si>
    <t>NTVL 05</t>
  </si>
  <si>
    <t>NTVL 06</t>
  </si>
  <si>
    <t>NTVL 07</t>
  </si>
  <si>
    <t>NTVL 08</t>
  </si>
  <si>
    <t>NTVL 09</t>
  </si>
  <si>
    <t>NTVL 10</t>
  </si>
  <si>
    <t>NTVL 11</t>
  </si>
  <si>
    <t>NTVL 12</t>
  </si>
  <si>
    <t>NTVL 13</t>
  </si>
  <si>
    <t>NTVL 14</t>
  </si>
  <si>
    <t>NTVL 15</t>
  </si>
  <si>
    <t>NTVL 16</t>
  </si>
  <si>
    <t>NTVL 17</t>
  </si>
  <si>
    <t>NTVL 18</t>
  </si>
  <si>
    <t>NTVL 19</t>
  </si>
  <si>
    <t>NTVL 20</t>
  </si>
  <si>
    <t>NTVL 21</t>
  </si>
  <si>
    <t>NTVL 22</t>
  </si>
  <si>
    <t>NTVL 23</t>
  </si>
  <si>
    <t>NTVL 24</t>
  </si>
  <si>
    <t>NTVL 25</t>
  </si>
  <si>
    <t>NTVL 26</t>
  </si>
  <si>
    <t>Quy cách</t>
  </si>
  <si>
    <t>HOA SEN ống nhựa upvc luồn điện 20x1.3x2.92m</t>
  </si>
  <si>
    <t>CĐT Cấp</t>
  </si>
  <si>
    <t>HOA SEN ống nhựa upvc luồn điện 25x1.5x2.92m</t>
  </si>
  <si>
    <t>Ống nhựa uPVC gân xoắn luồn dây điện 20mmx50m</t>
  </si>
  <si>
    <t>Hộp nối 3 đường uPVC luồn dây điện 20 ( có nắp)</t>
  </si>
  <si>
    <t>Đế âm tường tự chống cháy  uPVC LDĐ 110x60mmx40mm</t>
  </si>
  <si>
    <t xml:space="preserve">Nối uPVC LDĐ 20 </t>
  </si>
  <si>
    <t xml:space="preserve">Kẹp đỡ ống uPVC LDĐ 20 </t>
  </si>
  <si>
    <t>Hộp nối dây tự chống cháy uPVC LDĐ 110mm x110mm x50mm (có nắp)</t>
  </si>
  <si>
    <t>Khớp nối ren uPVC LDĐ 20</t>
  </si>
  <si>
    <t xml:space="preserve">Hoa Sen nối điện D25 </t>
  </si>
  <si>
    <t>Khớp nối ren điện D25</t>
  </si>
  <si>
    <t>Hộp box 200x200x56mm</t>
  </si>
  <si>
    <t>Kẹp điện D25</t>
  </si>
  <si>
    <t>Hộp box 108x108x45mm</t>
  </si>
  <si>
    <t>Móc sắt xi 27</t>
  </si>
  <si>
    <t>Tắc kê 4</t>
  </si>
  <si>
    <t>con</t>
  </si>
  <si>
    <t>Vít tắc kê 5li</t>
  </si>
  <si>
    <t xml:space="preserve">Ống HOA SEN 168 x 7.3 mm PN9 </t>
  </si>
  <si>
    <t>Mét</t>
  </si>
  <si>
    <t>Ống HOA SEN 114x3.5 mm PN6</t>
  </si>
  <si>
    <t xml:space="preserve">Ống HOA SEN 90 x 3.8 mm PN9 </t>
  </si>
  <si>
    <t xml:space="preserve">Ống HOA SEN 60x2.0 mm PN6 </t>
  </si>
  <si>
    <t xml:space="preserve">Ống HOA SEN 49 x 2.4 mm PN10 </t>
  </si>
  <si>
    <t xml:space="preserve">Ống HOA SEN 42x2.1 mm PN10 </t>
  </si>
  <si>
    <t xml:space="preserve">Ống HOA SEN 34x2.0 mm PN12 </t>
  </si>
  <si>
    <t xml:space="preserve">Ống HOA SEN 27 x 1.8 mm PN14 </t>
  </si>
  <si>
    <t>Ống HOA SEN 21x1.6 mm PN15</t>
  </si>
  <si>
    <t xml:space="preserve">HOA SEN Co 168 mỏng </t>
  </si>
  <si>
    <t>HOA SEN Co 114 mỏng</t>
  </si>
  <si>
    <t>HOA SEN Co 60 mỏng</t>
  </si>
  <si>
    <t>HOA SEN Co 42 dày</t>
  </si>
  <si>
    <t>HOA SEN Co 34 dày</t>
  </si>
  <si>
    <t>HOA SEN Co 21 dày</t>
  </si>
  <si>
    <t xml:space="preserve">HOA SEN Lơi 168 mỏng </t>
  </si>
  <si>
    <t>HOA SEN Lơi 114 mỏng</t>
  </si>
  <si>
    <t>HOA SEN Lơi 90 mỏng</t>
  </si>
  <si>
    <t>HOA SEN Lơi 42 dày</t>
  </si>
  <si>
    <t>HOA SEN Lơi 34 dày</t>
  </si>
  <si>
    <t>HOA SEN Lơi 27 dày</t>
  </si>
  <si>
    <t>HOA SEN Y 114 mỏng</t>
  </si>
  <si>
    <t>HOA SEN Y 34 dày</t>
  </si>
  <si>
    <t>HOA SEN Y 27 dày</t>
  </si>
  <si>
    <t>HOA SEN Y 168/114 mỏng</t>
  </si>
  <si>
    <t>HOA SEN Tê 114  mỏng</t>
  </si>
  <si>
    <t>HOA SEN Tê 90 mỏng</t>
  </si>
  <si>
    <t>HOA SEN Tê 60 mỏng</t>
  </si>
  <si>
    <t>HOA SEN Tê 42 dày</t>
  </si>
  <si>
    <t>HOA SEN Tê 34 dày</t>
  </si>
  <si>
    <t>HOA SEN Tê 21 dày</t>
  </si>
  <si>
    <t>HOA SEN Lơi 60 Mỏng</t>
  </si>
  <si>
    <t>HOA SEN Lơi 42 mỏng</t>
  </si>
  <si>
    <t>HOA SEN Y 60 mỏng</t>
  </si>
  <si>
    <t xml:space="preserve">HOA SEN Nắp bít 34 mỏng </t>
  </si>
  <si>
    <t xml:space="preserve">HOA SEN Nắp bít 42 mỏng </t>
  </si>
  <si>
    <t xml:space="preserve">HOA SEN Nắp bít 90 mỏng </t>
  </si>
  <si>
    <t>HOA SEN Nối 34 Dày</t>
  </si>
  <si>
    <t>HOA SEN Nối 90 mỏng</t>
  </si>
  <si>
    <t>HOA SEN Nối 114 Mỏng</t>
  </si>
  <si>
    <t xml:space="preserve">HOA SEN Tê giảm 168/114 mỏng </t>
  </si>
  <si>
    <t>HOA SEN Tê 114/60 mỏng</t>
  </si>
  <si>
    <t>HOA SEN Tê 90/60 mỏng</t>
  </si>
  <si>
    <t>HOA SEN Tê 60/34 dày</t>
  </si>
  <si>
    <t>HOA SEN Tê 49/34 dày</t>
  </si>
  <si>
    <t>HOA SEN Giảm 168/114 dày</t>
  </si>
  <si>
    <t>HOA SEN Giảm 90/60 mỏng</t>
  </si>
  <si>
    <t>HOA SEN Giảm 60/42 dày</t>
  </si>
  <si>
    <t>HOA SEN Giảm 60/34 dày</t>
  </si>
  <si>
    <t>HOA SEN Giảm 42/34 dày</t>
  </si>
  <si>
    <t>HOA SEN Giảm 42/27 dày</t>
  </si>
  <si>
    <t>HOA SEN Keo dán PVC 1000g</t>
  </si>
  <si>
    <t>Lon</t>
  </si>
  <si>
    <t>Móc sắt treo 34</t>
  </si>
  <si>
    <t>Móc sắt treo 60</t>
  </si>
  <si>
    <t>Móc sắt treo 90</t>
  </si>
  <si>
    <t>Móc sắt treo 114</t>
  </si>
  <si>
    <t>Móc sắt treo 168</t>
  </si>
  <si>
    <t>Cùm U 8ly-60</t>
  </si>
  <si>
    <t>Cùm U 8ly-114</t>
  </si>
  <si>
    <t>Ty răng 8ly - 3M</t>
  </si>
  <si>
    <t>Cây</t>
  </si>
  <si>
    <t>Con tán 8ly</t>
  </si>
  <si>
    <t>Con</t>
  </si>
  <si>
    <t>Tắc kê đạn 8ly</t>
  </si>
  <si>
    <t>Ống HOA SEN 114x5.0 mm PN9</t>
  </si>
  <si>
    <t>HOA SEN Tê 34/27 dày</t>
  </si>
  <si>
    <t>HOA SEN Tê 27 dày</t>
  </si>
  <si>
    <t>HOA SEN Tê 27/21 dày</t>
  </si>
  <si>
    <t>HOA SEN Co 27 dày</t>
  </si>
  <si>
    <t>HOA SEN Tê RT 21 nhựa</t>
  </si>
  <si>
    <t>HOA SEN Co RT 21 nhựa</t>
  </si>
  <si>
    <t>HOA SEN Giảm 49/34 dày</t>
  </si>
  <si>
    <t>HOA SEN Giảm 34/27 dày</t>
  </si>
  <si>
    <t>HOA SEN Giảm 27/21 dày</t>
  </si>
  <si>
    <t>HOA SEN Van 34</t>
  </si>
  <si>
    <t>HOA SEN Van 27</t>
  </si>
  <si>
    <t>HOA SEN Co RT 27 nhựa</t>
  </si>
  <si>
    <t>Nối 2 đầu RN 21. thau hmq</t>
  </si>
  <si>
    <t>Phao cơ 34 banh nhựa đài loan HMQ</t>
  </si>
  <si>
    <t>Minh hòa van cửa đồng 27 MBV DN20</t>
  </si>
  <si>
    <t>Móc sắt treo 21</t>
  </si>
  <si>
    <t>Móc sắt treo 27</t>
  </si>
  <si>
    <t>Ty răng 8ly - 1M</t>
  </si>
  <si>
    <t>Đinh thép trắng 2P TYC</t>
  </si>
  <si>
    <t>Kg</t>
  </si>
  <si>
    <t>Cáp điện thoại Sino - (0.5 x 2P)</t>
  </si>
  <si>
    <t>SINO</t>
  </si>
  <si>
    <t>Việt Nam</t>
  </si>
  <si>
    <t>Cáp mạng Cat6E FTP 4P</t>
  </si>
  <si>
    <t>1 cuộn = 305 mét, CĐT cấp</t>
  </si>
  <si>
    <t>Cáp Alantek 1P 20 AWG</t>
  </si>
  <si>
    <t>Alantek</t>
  </si>
  <si>
    <t>1 cuộn = 500 mét</t>
  </si>
  <si>
    <t>Cáp quang SingleMode 12FO</t>
  </si>
  <si>
    <t>Cáp quang SingleMode 8FO</t>
  </si>
  <si>
    <t>Cáp quang SingleMode 4FO</t>
  </si>
  <si>
    <t>Cáp điện thoại 50 đôi</t>
  </si>
  <si>
    <t>Cáp điện thoại 20 đôi</t>
  </si>
  <si>
    <t>Bộ chia ga dàn nóng CZ-P1350PJ2</t>
  </si>
  <si>
    <t>CZ-P1350PJ2</t>
  </si>
  <si>
    <t xml:space="preserve"> Japan</t>
  </si>
  <si>
    <t xml:space="preserve"> CZ-P1350BK2</t>
  </si>
  <si>
    <t xml:space="preserve"> Malaysia</t>
  </si>
  <si>
    <t xml:space="preserve"> CZ-P680BK2</t>
  </si>
  <si>
    <t>CZ-P160BK2</t>
  </si>
  <si>
    <t>Cáp điện Cu/Xlpe/Pvc màu đen 240 mm2</t>
  </si>
  <si>
    <t>Cáp điện Cu/Xlpe/Pvc màu đen 70 mm2</t>
  </si>
  <si>
    <t>Cáp điện Cu/Xlpe/Pvc màu đen 25 mm2</t>
  </si>
  <si>
    <t>Cáp điện Cu/Xlpe/Pvc màu đen 16 mm2</t>
  </si>
  <si>
    <t>Cáp điện Cu/Xlpe/Pvc màu đen 10mm2</t>
  </si>
  <si>
    <t>Cáp điện Cu/Xlpe/Pvc 4 mm2</t>
  </si>
  <si>
    <t>Cáp điện Cu/Pvc màu đen 120 mm2</t>
  </si>
  <si>
    <t>Cáp điện Cu/Pvc màu te 35 mm2</t>
  </si>
  <si>
    <t>Cáp điện Cu/Pvc màu đỏ 4 mm2</t>
  </si>
  <si>
    <t>Cáp điện Cu/Pvc màu vàng 4 mm2</t>
  </si>
  <si>
    <t>Cáp điện Cu/Pvc màu te 4 mm2</t>
  </si>
  <si>
    <t xml:space="preserve">Cáp điện Cu/Pvc màu đỏ 2.5 mm2 </t>
  </si>
  <si>
    <t xml:space="preserve">Cáp điện Cu/Pvc màu vàng 2.5 mm2 </t>
  </si>
  <si>
    <t>Cáp điện Cu/Pvc màu te 2.5 mm2</t>
  </si>
  <si>
    <t xml:space="preserve">Cáp điện Cu/Pvc màu đỏ 1.5 mm2 </t>
  </si>
  <si>
    <t xml:space="preserve">Cáp điện Cu/Pvc màu vàng 1.5 mm2 </t>
  </si>
  <si>
    <t>Cáp điện Cu/Pvc màu te 1.5 mm2</t>
  </si>
  <si>
    <t>Van khóa A-703-7</t>
  </si>
  <si>
    <t>A-703-7</t>
  </si>
  <si>
    <t>Lavabo âm bàn L-2298V trắng</t>
  </si>
  <si>
    <t>L-2298V</t>
  </si>
  <si>
    <t>Gương tráng bạc KF-4560VA</t>
  </si>
  <si>
    <t>Tiểu nam U431VR trắng</t>
  </si>
  <si>
    <t>U431VR</t>
  </si>
  <si>
    <t>Xả nhấn tiểu nam UF-3VS</t>
  </si>
  <si>
    <t>UF-3VS</t>
  </si>
  <si>
    <t>Phễu thoát sàn ST1212 CAE</t>
  </si>
  <si>
    <t>CAESAR</t>
  </si>
  <si>
    <t>ST1212</t>
  </si>
  <si>
    <t>Vòi xịt vệ sinh CFV-102A IN</t>
  </si>
  <si>
    <t>CFV-102A</t>
  </si>
  <si>
    <t>Ống thải chữ P A-325PL</t>
  </si>
  <si>
    <t>A-325PL</t>
  </si>
  <si>
    <t>Nút nhấn xả + Ống thải chữ P A-325PS</t>
  </si>
  <si>
    <t>A-325PS</t>
  </si>
  <si>
    <t>Bồn cầu một khối AC-902VN/BW1 IN</t>
  </si>
  <si>
    <t>AC-902VN/BW1</t>
  </si>
  <si>
    <t>Giá đỡ A-L2298V-1</t>
  </si>
  <si>
    <t>A-L2298V-1</t>
  </si>
  <si>
    <t>Đồng hồ nước Ksun DN25</t>
  </si>
  <si>
    <t>Ksun</t>
  </si>
  <si>
    <t xml:space="preserve">Máy bơm nước </t>
  </si>
  <si>
    <t>GP-10HCN1 1HP</t>
  </si>
  <si>
    <t>Ống đồng DN 41.28mm dày 1.4mm</t>
  </si>
  <si>
    <t>Hailiang</t>
  </si>
  <si>
    <t>1 cây = 2.9m</t>
  </si>
  <si>
    <t>Ống đồng DN 38.1mm dày 1.2mm</t>
  </si>
  <si>
    <t>Ống đồng DN 34.93mm dày 1.0mm</t>
  </si>
  <si>
    <t>Ống đồng DN 28.58mm dày 1.0mm</t>
  </si>
  <si>
    <t>Ống đồng DN 25.4mm dày 1.0mm</t>
  </si>
  <si>
    <t>Ống đồng DN 22.22mm dày 1.0mm</t>
  </si>
  <si>
    <t>Ống đồng DN 19.05mm dày 1.0mm + cách nhiệt dày 19mm</t>
  </si>
  <si>
    <t>cuộn</t>
  </si>
  <si>
    <t>1 cuộn =15m</t>
  </si>
  <si>
    <t>Ống đồng DN 15.88mm dày 1.0mm + cách nhiệt dày 19mm</t>
  </si>
  <si>
    <t>Ống đồng DN 12.7mm dày 0.81mm</t>
  </si>
  <si>
    <t>Ống đồng DN 9.52mm dày 0.81mm</t>
  </si>
  <si>
    <t>Ống đồng DN 6.35mm dày 0.81mm</t>
  </si>
  <si>
    <t>Cách nhiệt 6 dày 19mm</t>
  </si>
  <si>
    <t>Superlon</t>
  </si>
  <si>
    <t>1 cây = 1.83m</t>
  </si>
  <si>
    <t>Cách nhiệt 10 dày 19mm</t>
  </si>
  <si>
    <t>Cách nhiệt 13 dày 19mm</t>
  </si>
  <si>
    <t>Cách nhiệt 16 dày 19mm</t>
  </si>
  <si>
    <t>Cách nhiệt 19 dày 19mm</t>
  </si>
  <si>
    <t>Cách nhiệt 22 dày 19mm</t>
  </si>
  <si>
    <t>Cách nhiệt 25 dày 19mm</t>
  </si>
  <si>
    <t>Cách nhiệt 28 dày 25mm</t>
  </si>
  <si>
    <t>Cách nhiệt 35 dày 25mm</t>
  </si>
  <si>
    <t>Cách nhiệt 38 dày 25mm</t>
  </si>
  <si>
    <t>Cách nhiệt 42 dày 25mm</t>
  </si>
  <si>
    <t>Cách nhiệt 28 dày 13mm</t>
  </si>
  <si>
    <t>Cách nhiệt 34 dày 13mm</t>
  </si>
  <si>
    <t>2 cây = 1.83m</t>
  </si>
  <si>
    <t>Cách nhiệt 49 dày 13mm</t>
  </si>
  <si>
    <t>Phụ kiện, vật tư phụ cho toàn bộ hệ thống điều hòa không khí</t>
  </si>
  <si>
    <t>Ống luồn điện gân xoắn HDPE 130/100</t>
  </si>
  <si>
    <t>OPSEN</t>
  </si>
  <si>
    <t>Ống luồn điện gân xoắn HDPE 30/40</t>
  </si>
  <si>
    <t>Ống luồn điện gân xoắn HDPE 50/65</t>
  </si>
  <si>
    <t>Hộp đấu nối cáp (4Fo, 8Fo, 12Fo, 24Fo, 50Fo, 20P, 100P)</t>
  </si>
  <si>
    <t>Phụ kiện thi công</t>
  </si>
  <si>
    <t xml:space="preserve">Đèn Led Panel P06 600x600/40W 6500k </t>
  </si>
  <si>
    <t>Rạng Đông</t>
  </si>
  <si>
    <t>P06 600x600/40W</t>
  </si>
  <si>
    <t>Đèn Led Downlight AT04 110/12W 3000K</t>
  </si>
  <si>
    <t>AT04 110/12W</t>
  </si>
  <si>
    <t>Đèn Led dây RD-L001.9W 3000K</t>
  </si>
  <si>
    <t>mét</t>
  </si>
  <si>
    <t>RD-L001.9W</t>
  </si>
  <si>
    <t>Bộ Driver Led dây LD01.9W</t>
  </si>
  <si>
    <t>LD01.9W</t>
  </si>
  <si>
    <t>Bóng đèn led tube, 18W, 6500K</t>
  </si>
  <si>
    <t>AC</t>
  </si>
  <si>
    <t>AT02C0186</t>
  </si>
  <si>
    <t>Máng đèn baten, 1 bóng 1.2m</t>
  </si>
  <si>
    <t>BFS136N-C</t>
  </si>
  <si>
    <t>Máng đèn baten, 2 bóng 1.2m</t>
  </si>
  <si>
    <t>BFS236N-C</t>
  </si>
  <si>
    <t>Bộ máng đèn nhôm profile U9032A, 1 thanh dài 1,2m</t>
  </si>
  <si>
    <t>Kim Phát</t>
  </si>
  <si>
    <t>U9032A</t>
  </si>
  <si>
    <t>Bộ máng đèn nhôm profile U9032A, 1 thanh dài 2.4m</t>
  </si>
  <si>
    <t>U12032A</t>
  </si>
  <si>
    <t>Đèn led dây 2835-120L-4000 18W</t>
  </si>
  <si>
    <t>2835-120L-4000</t>
  </si>
  <si>
    <t>Nguồn cho đèn Profile 1.2m 12V-200W-BZX</t>
  </si>
  <si>
    <t>12V-200W-BZX</t>
  </si>
  <si>
    <t>Nguồn cho đèn Profile 2.4m 12V-300W-BZX</t>
  </si>
  <si>
    <t>12V-300W-BZX</t>
  </si>
  <si>
    <t>Đèn Led vuông 150x150/12W, ánh sáng trắng</t>
  </si>
  <si>
    <t>SPL-12T</t>
  </si>
  <si>
    <t>Đèn downlight điều chỉnh góc chiếu mặt vuông MPE 7W</t>
  </si>
  <si>
    <t>DLA2S-7T</t>
  </si>
  <si>
    <t>Đèn Led panel tròn nổi 300/24W, ánh sáng trắng</t>
  </si>
  <si>
    <t>SRPL-24T</t>
  </si>
  <si>
    <t>Đèn Led panel tròn 150/12W, ánh sáng trắng</t>
  </si>
  <si>
    <t>RPL-12T</t>
  </si>
  <si>
    <t>Đèn led bán nguyệt KB batten Panasonic 1.2m 36W, ánh sáng trắng</t>
  </si>
  <si>
    <t>NNFC5009688</t>
  </si>
  <si>
    <t>Máng cáp 200x100x0.75mm + nắp</t>
  </si>
  <si>
    <t>Máng cáp 90x40x1mm + nắp (cây 1.1m)</t>
  </si>
  <si>
    <t>Máng cáp 90x40x1mm + nắp (cây 1.4m)</t>
  </si>
  <si>
    <t>Thang cáp 400x100x0.75mm + nắp</t>
  </si>
  <si>
    <t>Tê ngang 200x100x0.75mm + nắp</t>
  </si>
  <si>
    <t>Tê đứng thang 400x100x0.75mm + nắp</t>
  </si>
  <si>
    <t>Tê đứng máng 200x100x0.75mm</t>
  </si>
  <si>
    <t>Nối máng 100x0.75mm</t>
  </si>
  <si>
    <t>Nối máng 40x1mm</t>
  </si>
  <si>
    <t>Nối thang 100x0.75mm</t>
  </si>
  <si>
    <t>Sắt tráng kẽm V30mmx30mmx1mm</t>
  </si>
  <si>
    <t>Dây nối máng dài 140mm dây 2.5mm2 đầu cos lỗ 8</t>
  </si>
  <si>
    <t>sợi</t>
  </si>
  <si>
    <t>Ty ren M8x3000</t>
  </si>
  <si>
    <t>Bulong M8x12</t>
  </si>
  <si>
    <t>Tán M8</t>
  </si>
  <si>
    <t>Long đền M8</t>
  </si>
  <si>
    <t>Tắc kê đạn M8</t>
  </si>
  <si>
    <t>Tắc kê nở M8x80</t>
  </si>
  <si>
    <t>Dàn lạnh máy ĐH Panasonic CS-QU24WKH-8</t>
  </si>
  <si>
    <t>Bộ</t>
  </si>
  <si>
    <t>CS-QU24WKH-8</t>
  </si>
  <si>
    <t>Malaysia</t>
  </si>
  <si>
    <t>Dàn nóng máy ĐH Panasonic CU-QU24WKH-8</t>
  </si>
  <si>
    <t>CU-QU24WKH-8</t>
  </si>
  <si>
    <t>Dàn nóng máy ĐH Panasonic U-20ME2H7</t>
  </si>
  <si>
    <t>U-20ME2H7</t>
  </si>
  <si>
    <t>Dàn lạnh máy ĐH Panasonic S-73MU2E5B</t>
  </si>
  <si>
    <t>S-73MU2E5B</t>
  </si>
  <si>
    <t>Dàn lạnh máy ĐH Panasonic S-106MU2E5B</t>
  </si>
  <si>
    <t>S-106MU2E5B</t>
  </si>
  <si>
    <t>Dàn lạnh máy ĐH Panasonic S-36MK2E5A</t>
  </si>
  <si>
    <t>S-36MK2E5A</t>
  </si>
  <si>
    <t>Điều khiển có dây CZ-RTC4</t>
  </si>
  <si>
    <t>CZ-RTC4</t>
  </si>
  <si>
    <t>Mặt nạ dàn lạnh Cassette CZ-KPU3H</t>
  </si>
  <si>
    <t>CZ-KPU3H</t>
  </si>
  <si>
    <t>Bộ điều khiển trung tâm CZ-64ESMC3</t>
  </si>
  <si>
    <t>CZ-64ESMC3</t>
  </si>
  <si>
    <t>Thép tráng kẽm V63mm x63mm x6mm</t>
  </si>
  <si>
    <t>1 cây=6m</t>
  </si>
  <si>
    <t>Tủ điện DB-T1</t>
  </si>
  <si>
    <t>Tủ</t>
  </si>
  <si>
    <t>Tủ điện DB-T2</t>
  </si>
  <si>
    <t>Tủ điện DB-T3</t>
  </si>
  <si>
    <t>Tủ điện DB-T4</t>
  </si>
  <si>
    <t>Tủ điện DB-IT</t>
  </si>
  <si>
    <t>DB-IT</t>
  </si>
  <si>
    <t>Tủ điện DB-AC</t>
  </si>
  <si>
    <t>DB-AC</t>
  </si>
  <si>
    <t>Tủ điện MCC-FP</t>
  </si>
  <si>
    <t>DB-BP</t>
  </si>
  <si>
    <t>Công tắc 1 chiều 16AX size S AvatarOn A SE</t>
  </si>
  <si>
    <t>M3T31_1F_WE</t>
  </si>
  <si>
    <t>Công tắc 2 chiều 16AX size S AvatarOn A SE</t>
  </si>
  <si>
    <t>M3T31_2F_WE</t>
  </si>
  <si>
    <t>Mặt cho 1 thiết bị size S AvatarOn A SE</t>
  </si>
  <si>
    <t>M3T01_WE</t>
  </si>
  <si>
    <t>Mặt cho 2 thiết bị size S AvatarOn A SE</t>
  </si>
  <si>
    <t>M3T02_WE</t>
  </si>
  <si>
    <t>Mặt cho 3 thiết bị size S AvatarOn A SE</t>
  </si>
  <si>
    <t>M3T03_WE</t>
  </si>
  <si>
    <t xml:space="preserve">Ổ cắm đôi 3 chấu 16A size L Zencelo A </t>
  </si>
  <si>
    <t>M3T426UST2_WE</t>
  </si>
  <si>
    <t>Ổ cắm mạng cat5e, size S AvatarOn A SE</t>
  </si>
  <si>
    <t>M3T1RJ5M_WE</t>
  </si>
  <si>
    <t>Ổ cắm âm sàn đôi nắp trượt sinoamigo SHP-M2S</t>
  </si>
  <si>
    <t xml:space="preserve"> Sinoamigo</t>
  </si>
  <si>
    <t>Ổ cắm âm sàn kiểu vuông màu vàng</t>
  </si>
  <si>
    <t>FY-60</t>
  </si>
  <si>
    <t>Ổ cắm HDMI PN Wide</t>
  </si>
  <si>
    <t>Ổ cắm mạng cat5 PN Wide</t>
  </si>
  <si>
    <t>WEV2488SW</t>
  </si>
  <si>
    <t>Mặt 2 thiết bị PN Wide</t>
  </si>
  <si>
    <t>WEV68020SW</t>
  </si>
  <si>
    <t>Mặt 3 thiết bị PN Wide</t>
  </si>
  <si>
    <t>WEV68030SW</t>
  </si>
  <si>
    <t xml:space="preserve">Quạt hút âm trần </t>
  </si>
  <si>
    <t>Cáp HDMI 10M- Y-C137U</t>
  </si>
  <si>
    <t>Cáp HDMI 1,5M</t>
  </si>
  <si>
    <t>cai</t>
  </si>
  <si>
    <t>Thiết bị thu phát sóng- NWA210AX-EU0102F</t>
  </si>
  <si>
    <t>Zyxel</t>
  </si>
  <si>
    <t>Aruba</t>
  </si>
  <si>
    <t>Chứng từ xuất xưởng hoặc CO</t>
  </si>
  <si>
    <t>CQ</t>
  </si>
  <si>
    <t>Bảng khối lượng nhập về công trình</t>
  </si>
  <si>
    <t>Phiếu giao hàng</t>
  </si>
  <si>
    <t>Kết quả thí nghiệm đối chứng</t>
  </si>
  <si>
    <t>Hình ảnh tập kết</t>
  </si>
  <si>
    <t>Gốc, sao y - công chứng</t>
  </si>
  <si>
    <t>Photo giáp lai công ty</t>
  </si>
  <si>
    <t>Mã VT</t>
  </si>
  <si>
    <t>Bê tông M250</t>
  </si>
  <si>
    <t>Gạch 800x800 màu nâu</t>
  </si>
  <si>
    <t>Gạch 800x800 màu vàng kem</t>
  </si>
  <si>
    <t>Sika Grout</t>
  </si>
  <si>
    <t>Alu Alcolrest EV 2031</t>
  </si>
  <si>
    <t>Ống uPvc D60</t>
  </si>
  <si>
    <t>Ống uPvc D49</t>
  </si>
  <si>
    <t>Ống uPvc D42</t>
  </si>
  <si>
    <t>Ống uPvc D34</t>
  </si>
  <si>
    <t>Ống uPvc D27</t>
  </si>
  <si>
    <t>Ống uPVC D21</t>
  </si>
  <si>
    <t>Cu/XLPE/PVC 4mm2</t>
  </si>
  <si>
    <t xml:space="preserve">Gương soi </t>
  </si>
  <si>
    <t>Máy bơm nước</t>
  </si>
  <si>
    <t>Ống đồng DN 19.05mm dày 1.0mm</t>
  </si>
  <si>
    <t>Ống đồng DN 15.88mm dày 1.0mm</t>
  </si>
  <si>
    <t>Hộp Đấu nối cáp</t>
  </si>
  <si>
    <t>thùng 18l</t>
  </si>
  <si>
    <t>Bu lông khoan cấy D16 (8.8)</t>
  </si>
  <si>
    <t>Bu lông liên kết M16, L=80, G8.8</t>
  </si>
  <si>
    <t>Thanh trương nở</t>
  </si>
  <si>
    <t>Bê tông M300</t>
  </si>
  <si>
    <t>bao 50kg</t>
  </si>
  <si>
    <t>thùng 18L</t>
  </si>
  <si>
    <t>bao 40kg</t>
  </si>
  <si>
    <t>bộ 25kg</t>
  </si>
  <si>
    <t>thùng 15L</t>
  </si>
  <si>
    <t>Lưới mắt cáo</t>
  </si>
  <si>
    <t>03/NTCV/XD</t>
  </si>
  <si>
    <t>KT-01;02;03;04</t>
  </si>
  <si>
    <t>KT-01;02;03;04;14;15;18;19</t>
  </si>
  <si>
    <t>15/NTCV/XD</t>
  </si>
  <si>
    <t>21/NTCV/XD
22/NTCV/XD
31/NTCV/XD</t>
  </si>
  <si>
    <t>65/NTCV/XD</t>
  </si>
  <si>
    <t>KT-09;10;11;12;13</t>
  </si>
  <si>
    <t>44/NTCV/XD
47/NTCV/XD
59/NTCV/XD
64/NTCV/XD
68/NTCV/XD</t>
  </si>
  <si>
    <t>KT-01;02;03;04;14;15;18;19;21</t>
  </si>
  <si>
    <t>23/NTCV/XD
24/NTCV/XD
55/NTCV/XD
67/NTCV/XD</t>
  </si>
  <si>
    <t>KT-01
HT-04;05;06;07</t>
  </si>
  <si>
    <t>68/NTCV/XD</t>
  </si>
  <si>
    <t>KT-09;10;11;12</t>
  </si>
  <si>
    <t>33/NTCV/XD
35/NTCV/XD
57/NTCV/XD</t>
  </si>
  <si>
    <t>36/NTCV/XD</t>
  </si>
  <si>
    <t>43/NTCV/XD
56/NTCV/XD
63/NTCV/XD</t>
  </si>
  <si>
    <t>MEP-TB-01;02;03</t>
  </si>
  <si>
    <t>MEP-NL-01;02;03;04
MEP-RE-01;02;03
MEP-KH-01;02;03;04;05</t>
  </si>
  <si>
    <t>Đồng Nai</t>
  </si>
  <si>
    <t>Đá xanh</t>
  </si>
  <si>
    <t>Đinh chống cắt D16</t>
  </si>
  <si>
    <t>M16x80</t>
  </si>
  <si>
    <t>D16</t>
  </si>
  <si>
    <t>Sikaflex PRO-3</t>
  </si>
  <si>
    <t>sika</t>
  </si>
  <si>
    <t>1.35kh/bộ</t>
  </si>
  <si>
    <t>Vệ sinh, sơn PU, thay thế bản lề, ổ khóa cửa gỗ 1 cánh.</t>
  </si>
  <si>
    <t>Tấm Polycarbonate đặc dày 5mm</t>
  </si>
  <si>
    <t>Vách kính cường lực 10mm, khung nhôm xingfa dày 1.4mm hệ 55, phụ kiện đồng bộ</t>
  </si>
  <si>
    <t>Cửa đi, kính cường lực dày 10mm, bản lề sàn, tay đẩy inox 304, phụ kiện đồng bộ</t>
  </si>
  <si>
    <t>Kính cường lực Bình Dương</t>
  </si>
  <si>
    <t>Kính cường lực dày 10mm</t>
  </si>
  <si>
    <t>Bình Dương</t>
  </si>
  <si>
    <t>Bản lề sàn VVP cửa kính</t>
  </si>
  <si>
    <t>VVP</t>
  </si>
  <si>
    <t>Thái Lan</t>
  </si>
  <si>
    <t>Cửa đi nhôm xingfa dày 2mm hệ 55, sơn tĩnh điện màu đen sần, mặt kính cường lực dày 10 mm</t>
  </si>
  <si>
    <t>Cửa đi 2 cánh trượt tự động cảm biến, kính cường lực dày 12mm, ray 131, phụ kiện đồng bộ (Tương đương Zamilldoor)</t>
  </si>
  <si>
    <t>Kính cường lực bình dương</t>
  </si>
  <si>
    <t>Kính cường lực 12mm</t>
  </si>
  <si>
    <t>Lan can thép hộp sơn tĩnh điện màu trắng</t>
  </si>
  <si>
    <t>Nắp thăm trần</t>
  </si>
  <si>
    <t>Nẹp viền nhôm bậc cấp</t>
  </si>
  <si>
    <t>Nẹp nhôm bán nguyệt luồn dây điện</t>
  </si>
  <si>
    <t>Kích thước 600x600</t>
  </si>
  <si>
    <t>Kích thước 87x26mm</t>
  </si>
  <si>
    <t>x</t>
  </si>
  <si>
    <t>Hóa đơn VAT</t>
  </si>
  <si>
    <t>03/NTVL</t>
  </si>
  <si>
    <t>17/NTVL</t>
  </si>
  <si>
    <t>02/NTVL</t>
  </si>
  <si>
    <t>14/NTVL</t>
  </si>
  <si>
    <t>09/NTVL</t>
  </si>
  <si>
    <t>12/NTVL</t>
  </si>
  <si>
    <t>05/NTVL</t>
  </si>
  <si>
    <t>Ni lông lót sàn</t>
  </si>
  <si>
    <t>KCC (Hoa Sen)</t>
  </si>
  <si>
    <t>Dulux (Hoa Sen)</t>
  </si>
  <si>
    <t>Kova</t>
  </si>
  <si>
    <t>SikaTop Seal107</t>
  </si>
  <si>
    <t>HĐ:00001727
HĐ:00003109</t>
  </si>
  <si>
    <t>HĐ:00001727
HĐ:00003109
HĐ:00012690
HĐ:00014569</t>
  </si>
  <si>
    <t>HĐ:00001072</t>
  </si>
  <si>
    <t>HĐ:00001072
HĐ:00003092</t>
  </si>
  <si>
    <t>HĐ:00007832</t>
  </si>
  <si>
    <t>HĐ:00008756
HĐ:00008756
HĐ:00015566</t>
  </si>
  <si>
    <t>HĐ:0002169
HĐ:00000223
HĐ:00000439
HĐ:00010569</t>
  </si>
  <si>
    <t>BBNT ngày 28/05/2022</t>
  </si>
  <si>
    <t>180859.CN.PRO.CN22</t>
  </si>
  <si>
    <t>16/05-55/KQTN</t>
  </si>
  <si>
    <t>BBNT ngày 16/08/2022</t>
  </si>
  <si>
    <t>12021L36010B</t>
  </si>
  <si>
    <t>HĐ:00004137</t>
  </si>
  <si>
    <t>HĐ:00012485</t>
  </si>
  <si>
    <t>BBNT ngày 29/09/2022</t>
  </si>
  <si>
    <t>Hồ sơ Co,Cq, Chứng chỉ bảo hành đính kèm của NCC Long Phú</t>
  </si>
  <si>
    <t>HĐ:0000573</t>
  </si>
  <si>
    <t>06/NTCV/MEP
07/NTCV/MEP
11/NTCV/MEP</t>
  </si>
  <si>
    <t>10/NTCV/MEP</t>
  </si>
  <si>
    <t>04/NTCV/MEP</t>
  </si>
  <si>
    <t>Ni lông</t>
  </si>
  <si>
    <t>Lan can</t>
  </si>
  <si>
    <t>inox 304</t>
  </si>
  <si>
    <t>Tấm Compact khổ 1.53x1.83m, phủ bì chân (1.53x1.98m)</t>
  </si>
  <si>
    <t>Tấm Compact khổ 1.22x1.83m, phủ bì chân (1.22x1.98m)</t>
  </si>
  <si>
    <t>Quầy lễ tân dài 3.8m</t>
  </si>
  <si>
    <t xml:space="preserve">BBNT ngày 10/9/2022 </t>
  </si>
  <si>
    <t>Cửa gỗ</t>
  </si>
  <si>
    <t>HT-02;03</t>
  </si>
  <si>
    <t xml:space="preserve">Máng cáp 200x100x0.75mm </t>
  </si>
  <si>
    <t>Máng cáp 90x40x1mm</t>
  </si>
  <si>
    <t>PHẦN XÂY DỰNG</t>
  </si>
  <si>
    <t>BẢNG TỔNG HỢP KHỐI LƯỢNG VẬT TƯ NGHIỆM THU</t>
  </si>
  <si>
    <t>PHẦN MEP</t>
  </si>
  <si>
    <t>Đinh chống cắt</t>
  </si>
  <si>
    <t>KIỂM SOÁT</t>
  </si>
  <si>
    <t>CHÊNH LỆCH</t>
  </si>
  <si>
    <t>KIỂM SOÁT - HỢP ĐỒNG</t>
  </si>
  <si>
    <t>KIỂM SOÁT - THỰC HIỆN</t>
  </si>
  <si>
    <t>Trừ mặt đứng trực 5-4</t>
  </si>
  <si>
    <t>Trừ cột A4, A5</t>
  </si>
  <si>
    <t>Trừ luôn 16.2m,
tầng trệt</t>
  </si>
  <si>
    <t>số lượng 1</t>
  </si>
  <si>
    <t xml:space="preserve">PHỤ LỤC SOÁT XÉT </t>
  </si>
  <si>
    <t>CÔNG TRÌNH : THI CÔNG ………………</t>
  </si>
  <si>
    <t>ĐỊA ĐIỂM: ………………</t>
  </si>
  <si>
    <t>NHÀ THẦU : ………………..</t>
  </si>
  <si>
    <t>CHỦ ĐẦU TƯ : ………………</t>
  </si>
  <si>
    <t>SỐ HỢP ĐỒNG: …………………</t>
  </si>
  <si>
    <t>Khối lượng tổng</t>
  </si>
  <si>
    <t>TỔNG CỘNG (Bao gồm VAT 8%)</t>
  </si>
  <si>
    <t>THUẾ VAT 8%</t>
  </si>
  <si>
    <t>TỔNG CỘNG (Chưa bao gồm VAT)</t>
  </si>
  <si>
    <t>ĐẠI DIỆN NHÀ THẦU THI CÔNG</t>
  </si>
  <si>
    <t>THANH/QUYẾT TOÁN</t>
  </si>
  <si>
    <t xml:space="preserve"> Tháng …..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</si>
</sst>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4">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quot;$&quot;#,##0;[Red]\-&quot;$&quot;#,##0"/>
    <numFmt numFmtId="166" formatCode="&quot;$&quot;#,##0.00;[Red]\-&quot;$&quot;#,##0.00"/>
    <numFmt numFmtId="167" formatCode="_-&quot;$&quot;* #,##0_-;\-&quot;$&quot;* #,##0_-;_-&quot;$&quot;* &quot;-&quot;_-;_-@_-"/>
    <numFmt numFmtId="168" formatCode="_-* #,##0_-;\-* #,##0_-;_-* &quot;-&quot;_-;_-@_-"/>
    <numFmt numFmtId="169" formatCode="_-&quot;$&quot;* #,##0.00_-;\-&quot;$&quot;* #,##0.00_-;_-&quot;$&quot;* &quot;-&quot;??_-;_-@_-"/>
    <numFmt numFmtId="170" formatCode="_-* #,##0.00_-;\-* #,##0.00_-;_-* &quot;-&quot;??_-;_-@_-"/>
    <numFmt numFmtId="171" formatCode="_-* #,##0\ &quot;₫&quot;_-;\-* #,##0\ &quot;₫&quot;_-;_-* &quot;-&quot;\ &quot;₫&quot;_-;_-@_-"/>
    <numFmt numFmtId="172" formatCode="_-* #,##0\ _₫_-;\-* #,##0\ _₫_-;_-* &quot;-&quot;\ _₫_-;_-@_-"/>
    <numFmt numFmtId="173" formatCode="_-* #,##0.00\ &quot;₫&quot;_-;\-* #,##0.00\ &quot;₫&quot;_-;_-* &quot;-&quot;??\ &quot;₫&quot;_-;_-@_-"/>
    <numFmt numFmtId="174" formatCode="_-* #,##0.00\ _₫_-;\-* #,##0.00\ _₫_-;_-* &quot;-&quot;??\ _₫_-;_-@_-"/>
    <numFmt numFmtId="175" formatCode="_(* #,##0_);_(* \(#,##0\);_(* &quot;-&quot;??_);_(@_)"/>
    <numFmt numFmtId="176" formatCode="#,##0.0000"/>
    <numFmt numFmtId="177" formatCode="_-[$€]* #,##0.00_-;\-[$€]* #,##0.00_-;_-[$€]* &quot;-&quot;??_-;_-@_-"/>
    <numFmt numFmtId="178" formatCode="_(* #,##0.000_);_(* \(#,##0.000\);_(* &quot;-&quot;??_);_(@_)"/>
    <numFmt numFmtId="179" formatCode="0.000"/>
    <numFmt numFmtId="180" formatCode="0.0%"/>
    <numFmt numFmtId="181" formatCode="_(* #,##0_);_(* &quot;\&quot;&quot;\&quot;\(#,##0&quot;\&quot;&quot;\&quot;\);_(* &quot;-&quot;_);_(@_)"/>
    <numFmt numFmtId="182" formatCode="_(* #,##0.000_);_(* \(#,##0.000\);_(* &quot;-&quot;_);_(@_)"/>
    <numFmt numFmtId="183" formatCode="#,##0;[Red]#,##0"/>
    <numFmt numFmtId="184" formatCode="#,##0.000"/>
    <numFmt numFmtId="185" formatCode="_-&quot;₫&quot;* #,##0_-;\-&quot;₫&quot;* #,##0_-;_-&quot;₫&quot;* &quot;-&quot;_-;_-@_-"/>
    <numFmt numFmtId="186" formatCode="_-* #,##0\ &quot;F&quot;_-;\-* #,##0\ &quot;F&quot;_-;_-* &quot;-&quot;\ &quot;F&quot;_-;_-@_-"/>
    <numFmt numFmtId="187" formatCode="_-* #,##0\ _F_-;\-* #,##0\ _F_-;_-* &quot;-&quot;\ _F_-;_-@_-"/>
    <numFmt numFmtId="188" formatCode="_-* #,##0.0_-;\-* #,##0.0_-;_-* &quot;-&quot;??_-;_-@_-"/>
    <numFmt numFmtId="189" formatCode="_ * #,##0.00_ ;_ * \-#,##0.00_ ;_ * &quot;-&quot;??_ ;_ @_ "/>
    <numFmt numFmtId="190" formatCode="_ * #,##0_ ;_ * \-#,##0_ ;_ * &quot;-&quot;_ ;_ @_ "/>
    <numFmt numFmtId="191" formatCode="m\-d\-yy"/>
    <numFmt numFmtId="192" formatCode="&quot;£&quot;#,##0;[Red]\-&quot;£&quot;#,##0"/>
    <numFmt numFmtId="193" formatCode="_-* #,##0&quot;$&quot;_-;\-* #,##0&quot;$&quot;_-;_-* &quot;-&quot;&quot;$&quot;_-;_-@_-"/>
    <numFmt numFmtId="194" formatCode="#,##0\ &quot;FB&quot;;\-#,##0\ &quot;FB&quot;"/>
    <numFmt numFmtId="195" formatCode="_-* #,##0\ &quot;$&quot;_-;\-* #,##0\ &quot;$&quot;_-;_-* &quot;-&quot;\ &quot;$&quot;_-;_-@_-"/>
    <numFmt numFmtId="196" formatCode="_-* #,##0&quot;$&quot;_-;_-* #,##0&quot;$&quot;\-;_-* &quot;-&quot;&quot;$&quot;_-;_-@_-"/>
    <numFmt numFmtId="197" formatCode="_-&quot;$&quot;\ * #,##0_-;\-&quot;$&quot;\ * #,##0_-;_-&quot;$&quot;\ * &quot;-&quot;_-;_-@_-"/>
    <numFmt numFmtId="198" formatCode="_-&quot;ñ&quot;* #,##0_-;\-&quot;ñ&quot;* #,##0_-;_-&quot;ñ&quot;* &quot;-&quot;_-;_-@_-"/>
    <numFmt numFmtId="199" formatCode="_-* #,##0.00\ _V_N_D_-;\-* #,##0.00\ _V_N_D_-;_-* &quot;-&quot;??\ _V_N_D_-;_-@_-"/>
    <numFmt numFmtId="200" formatCode="_-* #,##0.00\ _F_-;\-* #,##0.00\ _F_-;_-* &quot;-&quot;??\ _F_-;_-@_-"/>
    <numFmt numFmtId="201" formatCode="_-* #,##0.00\ _V_N_Ñ_-;_-* #,##0.00\ _V_N_Ñ\-;_-* &quot;-&quot;??\ _V_N_Ñ_-;_-@_-"/>
    <numFmt numFmtId="202" formatCode="_-* #,##0.00_$_-;\-* #,##0.00_$_-;_-* &quot;-&quot;??_$_-;_-@_-"/>
    <numFmt numFmtId="203" formatCode="#,##0.00\ &quot;FB&quot;;\-#,##0.00\ &quot;FB&quot;"/>
    <numFmt numFmtId="204" formatCode="_-* #,##0.00_$_-;_-* #,##0.00_$\-;_-* &quot;-&quot;??_$_-;_-@_-"/>
    <numFmt numFmtId="205" formatCode="_-* #,##0.00\ _€_-;\-* #,##0.00\ _€_-;_-* &quot;-&quot;??\ _€_-;_-@_-"/>
    <numFmt numFmtId="206" formatCode="_-* #,##0.00_ñ_-;\-* #,##0.00_ñ_-;_-* &quot;-&quot;??_ñ_-;_-@_-"/>
    <numFmt numFmtId="207" formatCode="_-* #,##0.00\ _ñ_-;\-* #,##0.00\ _ñ_-;_-* &quot;-&quot;??\ _ñ_-;_-@_-"/>
    <numFmt numFmtId="208" formatCode="_(&quot;$&quot;\ * #,##0_);_(&quot;$&quot;\ * \(#,##0\);_(&quot;$&quot;\ * &quot;-&quot;_);_(@_)"/>
    <numFmt numFmtId="209" formatCode="_-* #,##0\ &quot;ñ&quot;_-;\-* #,##0\ &quot;ñ&quot;_-;_-* &quot;-&quot;\ &quot;ñ&quot;_-;_-@_-"/>
    <numFmt numFmtId="210" formatCode="_-* #,##0\ _V_N_D_-;\-* #,##0\ _V_N_D_-;_-* &quot;-&quot;\ _V_N_D_-;_-@_-"/>
    <numFmt numFmtId="211" formatCode="_-* #,##0\ _V_N_Ñ_-;_-* #,##0\ _V_N_Ñ\-;_-* &quot;-&quot;\ _V_N_Ñ_-;_-@_-"/>
    <numFmt numFmtId="212" formatCode="_-* #,##0_$_-;\-* #,##0_$_-;_-* &quot;-&quot;_$_-;_-@_-"/>
    <numFmt numFmtId="213" formatCode="_-* #,##0\ _$_-;\-* #,##0\ _$_-;_-* &quot;-&quot;\ _$_-;_-@_-"/>
    <numFmt numFmtId="214" formatCode="#,##0\ &quot;FB&quot;;[Red]\-#,##0\ &quot;FB&quot;"/>
    <numFmt numFmtId="215" formatCode="_-* #,##0_$_-;_-* #,##0_$\-;_-* &quot;-&quot;_$_-;_-@_-"/>
    <numFmt numFmtId="216" formatCode="_-* #,##0\ _€_-;\-* #,##0\ _€_-;_-* &quot;-&quot;\ _€_-;_-@_-"/>
    <numFmt numFmtId="217" formatCode="_-* #,##0_ñ_-;\-* #,##0_ñ_-;_-* &quot;-&quot;_ñ_-;_-@_-"/>
    <numFmt numFmtId="218" formatCode="_-* #,##0\ _ñ_-;\-* #,##0\ _ñ_-;_-* &quot;-&quot;\ _ñ_-;_-@_-"/>
    <numFmt numFmtId="219" formatCode="&quot;\&quot;#,##0.00;[Red]&quot;\&quot;\-#,##0.00"/>
    <numFmt numFmtId="220" formatCode="&quot;\&quot;#,##0;[Red]&quot;\&quot;\-#,##0"/>
    <numFmt numFmtId="221" formatCode="#,##0.00_);\(#,##0.00\);&quot;- &quot;"/>
    <numFmt numFmtId="222" formatCode="&quot;£&quot;#,##0.00;\-&quot;£&quot;#,##0.00"/>
    <numFmt numFmtId="223" formatCode="#,##0&quot;VND&quot;_);\(#,##0&quot;VND&quot;\)"/>
    <numFmt numFmtId="224" formatCode="_ &quot;\&quot;* #\!\,##0_ ;_ &quot;\&quot;* &quot;\&quot;\!\-#\!\,##0_ ;_ &quot;\&quot;* &quot;-&quot;_ ;_ @_ "/>
    <numFmt numFmtId="225" formatCode="_(* #,##0.0000000_);_(* \(#,##0.0000000\);_(* &quot;-&quot;??_);_(@_)"/>
    <numFmt numFmtId="226" formatCode="_ &quot;SFr.&quot;\ * #,##0_ ;_ &quot;SFr.&quot;\ * \-#,##0_ ;_ &quot;SFr.&quot;\ * &quot;-&quot;_ ;_ @_ "/>
    <numFmt numFmtId="227" formatCode="_ &quot;\&quot;* #\!\,##0\!.00_ ;_ &quot;\&quot;* &quot;\&quot;\!\-#\!\,##0\!.00_ ;_ &quot;\&quot;* &quot;-&quot;??_ ;_ @_ "/>
    <numFmt numFmtId="228" formatCode="_(* #,##0.00000000_);_(* \(#,##0.00000000\);_(* &quot;-&quot;??_);_(@_)"/>
    <numFmt numFmtId="229" formatCode="_ * #\!\,##0\!.00_ ;_ * &quot;\&quot;\!\-#\!\,##0\!.00_ ;_ * &quot;-&quot;??_ ;_ @_ "/>
    <numFmt numFmtId="230" formatCode="_-* #,##0.00\ &quot;F&quot;_-;\-* #,##0.00\ &quot;F&quot;_-;_-* &quot;-&quot;??\ &quot;F&quot;_-;_-@_-"/>
    <numFmt numFmtId="231" formatCode="&quot;$&quot;\ \ \ \ \ #,##0_);\(&quot;$&quot;\ \ \ \ #,##0\)"/>
    <numFmt numFmtId="232" formatCode="0.00000"/>
    <numFmt numFmtId="233" formatCode="_(* #,##0.00_);_(* \(#,##0.00\);_(* \-??_);_(@_)"/>
    <numFmt numFmtId="234" formatCode="_(&quot;$&quot;* #,##0.00_);_(&quot;$&quot;* \(#,##0.00\);_(&quot;$&quot;* &quot;-&quot;_);_(@_)"/>
    <numFmt numFmtId="235" formatCode="#,##0.00;[Red]#,##0.00"/>
    <numFmt numFmtId="236" formatCode="_-* #,##0_-;\-* #,##0_-;_-* &quot;-&quot;??_-;_-@_-"/>
    <numFmt numFmtId="237" formatCode="\$#,##0\ ;\(\$#,##0\)"/>
    <numFmt numFmtId="238" formatCode="_(* #,##0.0000_);_(* \(#,##0.0000\);_(* &quot;-&quot;??_);_(@_)"/>
    <numFmt numFmtId="239" formatCode="&quot;\&quot;#,##0;[Red]&quot;\&quot;&quot;\&quot;\-#,##0"/>
    <numFmt numFmtId="240" formatCode="#,##0_);\-#,##0_)"/>
    <numFmt numFmtId="241" formatCode="_(* #,##0.000000_);_(* \(#,##0.000000\);_(* &quot;-&quot;??_);_(@_)"/>
    <numFmt numFmtId="242" formatCode="&quot;\&quot;#,##0;[Red]\-&quot;\&quot;#,##0"/>
    <numFmt numFmtId="243" formatCode="&quot;\&quot;#,##0.00;\-&quot;\&quot;#,##0.00"/>
    <numFmt numFmtId="244" formatCode="\ \ \ &quot;$&quot;\ \ \ \ \ \ \ #,##0_);\(&quot;$&quot;#,##0\)"/>
    <numFmt numFmtId="245" formatCode="[$-409]General"/>
    <numFmt numFmtId="246" formatCode="#,##0.00_);\-#,##0.00_)"/>
    <numFmt numFmtId="247" formatCode="_-* #,##0\ _F_-;\-* #,##0\ _F_-;_-* &quot;-&quot;\ _F_-;[Red]_-@_-"/>
    <numFmt numFmtId="248" formatCode="#,##0.00\ &quot;F&quot;;[Red]\-#,##0.00\ &quot;F&quot;"/>
    <numFmt numFmtId="249" formatCode="#,##0.00\ \ "/>
    <numFmt numFmtId="250" formatCode="#,##0.00\ &quot;FB&quot;;[Red]\-#,##0.00\ &quot;FB&quot;"/>
    <numFmt numFmtId="251" formatCode="_ * #,##0_ ;_ * \-#,##0_ ;_ * &quot;-&quot;??_ ;_ @_ "/>
    <numFmt numFmtId="252" formatCode="&quot;S/&quot;#,##0.00;&quot;S/&quot;\-#,##0.00"/>
    <numFmt numFmtId="253" formatCode="#,##0.0"/>
    <numFmt numFmtId="254" formatCode="###,0&quot;.&quot;00\ &quot;F&quot;;[Red]\-###,0&quot;.&quot;00\ &quot;F&quot;"/>
    <numFmt numFmtId="255" formatCode="&quot;S/&quot;#,##0.00;[Red]&quot;S/&quot;\-#,##0.00"/>
    <numFmt numFmtId="256" formatCode="\ \ \-\ @"/>
    <numFmt numFmtId="257" formatCode="0\ \ \ \ "/>
    <numFmt numFmtId="258" formatCode="#,##0.00\ &quot;F&quot;;\-#,##0.00\ &quot;F&quot;"/>
    <numFmt numFmtId="259" formatCode="0.0000"/>
    <numFmt numFmtId="260" formatCode="#,##0.0;[Red]#,##0.0"/>
    <numFmt numFmtId="261" formatCode="ddd\ mmm\ d"/>
    <numFmt numFmtId="262" formatCode="&quot;$&quot;#,##0.00"/>
    <numFmt numFmtId="263" formatCode="_ * #,##0.00_)_$_ ;_ * \(#,##0.00\)_$_ ;_ * &quot;-&quot;??_)_$_ ;_ @_ "/>
    <numFmt numFmtId="264" formatCode="_([$€]* #,##0.00_);_([$€]* \(#,##0.00\);_([$€]* &quot;-&quot;??_);_(@_)"/>
    <numFmt numFmtId="265" formatCode="d"/>
    <numFmt numFmtId="266" formatCode="&quot;$&quot;#,##0_-;&quot;$&quot;#,##0\-"/>
    <numFmt numFmtId="267" formatCode="_-* #,##0.00_-;_-* #,##0.00\-;_-* &quot;-&quot;??_-;_-@_-"/>
    <numFmt numFmtId="268" formatCode="#,##0\ &quot;DM&quot;;\-#,##0\ &quot;DM&quot;"/>
    <numFmt numFmtId="269" formatCode="0.000%"/>
    <numFmt numFmtId="270" formatCode="_-* #,##0.000000000000000_-;\-* #,##0.000000000000000_-;_-* &quot;-&quot;??_-;_-@_-"/>
    <numFmt numFmtId="271" formatCode="#\ ###\ ##0.0"/>
    <numFmt numFmtId="272" formatCode="#\ ###\ ###\ .00"/>
    <numFmt numFmtId="273" formatCode="#\ ###\ ###"/>
    <numFmt numFmtId="274" formatCode="#,###"/>
    <numFmt numFmtId="275" formatCode="_-[$€]* #,##0.00_-;\-[$€]* #,##0.00_-;_-[$€]* &quot;-&quot;&quot;?&quot;&quot;?&quot;_-;_-@_-"/>
    <numFmt numFmtId="276" formatCode="#,##0.000_ ;\-#,##0.000\ "/>
    <numFmt numFmtId="277" formatCode="\\#,##0.00;[Red]&quot;\\\\\\-&quot;#,##0.00"/>
    <numFmt numFmtId="278" formatCode="&quot;Æ&quot;0"/>
    <numFmt numFmtId="279" formatCode="_-* #,##0.00\ _?_-;\-* #,##0.00\ _?_-;_-* &quot;-&quot;&quot;?&quot;&quot;?&quot;\ _?_-;_-@_-"/>
    <numFmt numFmtId="280" formatCode="&quot;f&quot;0"/>
    <numFmt numFmtId="282" formatCode="&quot;\&quot;#,##0.00;[Red]&quot;\&quot;&quot;\&quot;&quot;\&quot;&quot;\&quot;&quot;\&quot;&quot;\&quot;\-#,##0.00"/>
    <numFmt numFmtId="283" formatCode="#,"/>
    <numFmt numFmtId="284" formatCode="_-&quot;$&quot;* #,##0_-;_-&quot;$&quot;* #,##0\-;_-&quot;$&quot;* &quot;-&quot;_-;_-@_-"/>
    <numFmt numFmtId="285" formatCode="_-* #,##0_-;_-* #,##0\-;_-* &quot;-&quot;_-;_-@_-"/>
    <numFmt numFmtId="286" formatCode="#,##0\ &quot;F&quot;;[Red]\-#,##0\ &quot;F&quot;"/>
    <numFmt numFmtId="287" formatCode="_-* #,##0\ _$_-;_-* #,##0\ _$\-;_-* &quot;-&quot;\ _$_-;_-@_-"/>
    <numFmt numFmtId="288" formatCode="_-* #,##0\ &quot;$&quot;_-;_-* #,##0\ &quot;$&quot;\-;_-* &quot;-&quot;\ &quot;$&quot;_-;_-@_-"/>
    <numFmt numFmtId="289" formatCode="_-* #,##0.00\ _$_-;_-* #,##0.00\ _$\-;_-* &quot;-&quot;??\ _$_-;_-@_-"/>
    <numFmt numFmtId="290" formatCode="_(* #,##0.00_);_(* \(#,##0.00\);_(* &quot;-&quot;_);_(@_)"/>
    <numFmt numFmtId="291" formatCode="#,##0.00;\(#,##0.00\);"/>
    <numFmt numFmtId="292" formatCode="#,##0;\(#,##0\);"/>
    <numFmt numFmtId="293" formatCode="0.0"/>
  </numFmts>
  <fonts count="251">
    <font>
      <sz val="10"/>
      <name val="VNI-Aptim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3"/>
      <scheme val="minor"/>
    </font>
    <font>
      <sz val="11"/>
      <color theme="1"/>
      <name val="Calibri"/>
      <family val="2"/>
      <charset val="163"/>
      <scheme val="minor"/>
    </font>
    <font>
      <sz val="10"/>
      <name val="VNI-Aptima"/>
    </font>
    <font>
      <b/>
      <sz val="16"/>
      <name val="Times New Roman"/>
      <family val="1"/>
    </font>
    <font>
      <sz val="11"/>
      <name val="Times New Roman"/>
      <family val="1"/>
    </font>
    <font>
      <b/>
      <sz val="12"/>
      <name val="Times New Roman"/>
      <family val="1"/>
    </font>
    <font>
      <b/>
      <sz val="10"/>
      <name val="Times New Roman"/>
      <family val="1"/>
    </font>
    <font>
      <sz val="10"/>
      <name val="Times New Roman"/>
      <family val="1"/>
    </font>
    <font>
      <sz val="10"/>
      <name val="Arial"/>
      <family val="2"/>
    </font>
    <font>
      <sz val="12"/>
      <name val="VNI-Times"/>
    </font>
    <font>
      <sz val="11"/>
      <name val="VNI-Times"/>
    </font>
    <font>
      <sz val="11"/>
      <name val="VNI-Helve-Condense"/>
    </font>
    <font>
      <sz val="10"/>
      <color rgb="FFFF0000"/>
      <name val="Times New Roman"/>
      <family val="1"/>
    </font>
    <font>
      <sz val="11"/>
      <color theme="1"/>
      <name val="Calibri"/>
      <family val="2"/>
      <scheme val="minor"/>
    </font>
    <font>
      <b/>
      <sz val="10"/>
      <color rgb="FFFF0000"/>
      <name val="Times New Roman"/>
      <family val="1"/>
    </font>
    <font>
      <b/>
      <sz val="14"/>
      <name val="Times New Roman"/>
      <family val="1"/>
    </font>
    <font>
      <sz val="10"/>
      <color theme="1"/>
      <name val="Times New Roman"/>
      <family val="1"/>
    </font>
    <font>
      <sz val="9"/>
      <color indexed="81"/>
      <name val="Tahoma"/>
      <family val="2"/>
    </font>
    <font>
      <b/>
      <sz val="9"/>
      <color indexed="81"/>
      <name val="Tahoma"/>
      <family val="2"/>
    </font>
    <font>
      <sz val="8.25"/>
      <name val="Microsoft Sans Serif"/>
      <family val="2"/>
    </font>
    <font>
      <b/>
      <sz val="10"/>
      <color theme="1"/>
      <name val="Times New Roman"/>
      <family val="1"/>
    </font>
    <font>
      <sz val="11"/>
      <color indexed="8"/>
      <name val="Arial"/>
      <family val="2"/>
    </font>
    <font>
      <b/>
      <i/>
      <u/>
      <sz val="10"/>
      <color theme="1"/>
      <name val="Times New Roman"/>
      <family val="1"/>
    </font>
    <font>
      <sz val="10"/>
      <color rgb="FF0070C0"/>
      <name val="Times New Roman"/>
      <family val="1"/>
    </font>
    <font>
      <sz val="10"/>
      <name val="MS Sans Serif"/>
      <family val="2"/>
    </font>
    <font>
      <i/>
      <sz val="10"/>
      <color theme="1"/>
      <name val="Times New Roman"/>
      <family val="1"/>
    </font>
    <font>
      <sz val="12"/>
      <color theme="1"/>
      <name val="Calibri"/>
      <family val="2"/>
      <scheme val="minor"/>
    </font>
    <font>
      <i/>
      <sz val="8"/>
      <color theme="1"/>
      <name val="Times New Roman"/>
      <family val="1"/>
    </font>
    <font>
      <sz val="8"/>
      <name val="VNI-Aptima"/>
    </font>
    <font>
      <sz val="12"/>
      <name val="Times New Roman"/>
      <family val="1"/>
    </font>
    <font>
      <sz val="11"/>
      <color theme="1"/>
      <name val="Times New Roman"/>
      <family val="1"/>
    </font>
    <font>
      <b/>
      <i/>
      <sz val="10"/>
      <color theme="1"/>
      <name val="Times New Roman"/>
      <family val="1"/>
    </font>
    <font>
      <i/>
      <sz val="12"/>
      <name val="Times New Roman"/>
      <family val="1"/>
    </font>
    <font>
      <b/>
      <sz val="11"/>
      <color theme="1"/>
      <name val="Times New Roman"/>
      <family val="1"/>
    </font>
    <font>
      <b/>
      <sz val="11"/>
      <name val="Times New Roman"/>
      <family val="1"/>
    </font>
    <font>
      <sz val="11"/>
      <color theme="1"/>
      <name val="Calibri"/>
      <family val="2"/>
    </font>
    <font>
      <b/>
      <sz val="18"/>
      <name val="Times New Roman"/>
      <family val="1"/>
    </font>
    <font>
      <sz val="11"/>
      <color rgb="FF000000"/>
      <name val="Calibri"/>
      <family val="2"/>
    </font>
    <font>
      <b/>
      <sz val="14"/>
      <color theme="1"/>
      <name val="Times New Roman"/>
      <family val="1"/>
    </font>
    <font>
      <i/>
      <sz val="10"/>
      <name val="Times New Roman"/>
      <family val="1"/>
    </font>
    <font>
      <sz val="10"/>
      <color theme="1"/>
      <name val="Calibri"/>
      <family val="2"/>
      <scheme val="minor"/>
    </font>
    <font>
      <sz val="14"/>
      <color theme="1"/>
      <name val="Times New Roman"/>
      <family val="1"/>
    </font>
    <font>
      <b/>
      <sz val="13"/>
      <name val="Times New Roman"/>
      <family val="1"/>
    </font>
    <font>
      <b/>
      <i/>
      <sz val="12"/>
      <name val="Times New Roman"/>
      <family val="1"/>
    </font>
    <font>
      <i/>
      <sz val="11"/>
      <name val="Times New Roman"/>
      <family val="1"/>
    </font>
    <font>
      <b/>
      <i/>
      <sz val="11"/>
      <name val="VNI-Times"/>
    </font>
    <font>
      <sz val="13"/>
      <color theme="1"/>
      <name val="Times New Roman"/>
      <family val="1"/>
    </font>
    <font>
      <i/>
      <sz val="13"/>
      <color theme="1"/>
      <name val="Times New Roman"/>
      <family val="1"/>
    </font>
    <font>
      <sz val="13"/>
      <color indexed="8"/>
      <name val="Wingdings"/>
      <charset val="2"/>
    </font>
    <font>
      <sz val="13"/>
      <color indexed="8"/>
      <name val="Times New Roman"/>
      <family val="1"/>
    </font>
    <font>
      <b/>
      <sz val="14"/>
      <name val="VNI-Times"/>
    </font>
    <font>
      <b/>
      <sz val="12"/>
      <name val="VNI-Times"/>
    </font>
    <font>
      <sz val="18"/>
      <color rgb="FFFF0000"/>
      <name val="Times New Roman"/>
      <family val="1"/>
    </font>
    <font>
      <b/>
      <sz val="24"/>
      <name val="Times New Roman"/>
      <family val="1"/>
    </font>
    <font>
      <sz val="13"/>
      <name val="VNI-Times"/>
    </font>
    <font>
      <b/>
      <sz val="12"/>
      <color theme="1"/>
      <name val="Times New Roman"/>
      <family val="1"/>
    </font>
    <font>
      <sz val="12"/>
      <color theme="1"/>
      <name val="Times New Roman"/>
      <family val="1"/>
    </font>
    <font>
      <i/>
      <sz val="12"/>
      <color theme="1"/>
      <name val="Times New Roman"/>
      <family val="1"/>
    </font>
    <font>
      <sz val="14"/>
      <name val="Times New Roman"/>
      <family val="1"/>
    </font>
    <font>
      <sz val="9"/>
      <color rgb="FF000000"/>
      <name val="TimesNewRomanPSMT"/>
    </font>
    <font>
      <u/>
      <sz val="10"/>
      <color theme="10"/>
      <name val="VNI-Aptima"/>
    </font>
    <font>
      <u/>
      <sz val="10"/>
      <color theme="10"/>
      <name val="Times New Roman"/>
      <family val="1"/>
    </font>
    <font>
      <sz val="9"/>
      <name val="TimesNewRomanPSMT"/>
    </font>
    <font>
      <b/>
      <sz val="9"/>
      <color rgb="FF000000"/>
      <name val="TimesNewRomanPSMT"/>
    </font>
    <font>
      <b/>
      <u/>
      <sz val="10"/>
      <color theme="10"/>
      <name val="Times New Roman"/>
      <family val="1"/>
    </font>
    <font>
      <b/>
      <sz val="10"/>
      <name val="VNI-Aptima"/>
    </font>
    <font>
      <b/>
      <sz val="11"/>
      <color rgb="FFFA7D00"/>
      <name val="Calibri"/>
      <family val="2"/>
      <scheme val="minor"/>
    </font>
    <font>
      <sz val="11"/>
      <color theme="1"/>
      <name val="Arial"/>
      <family val="2"/>
    </font>
    <font>
      <sz val="10"/>
      <color theme="1"/>
      <name val="Arial"/>
      <family val="2"/>
    </font>
    <font>
      <sz val="10"/>
      <name val="VNI-Times"/>
    </font>
    <font>
      <sz val="10"/>
      <name val=".VnArial"/>
      <family val="2"/>
    </font>
    <font>
      <sz val="16"/>
      <name val="AngsanaUPC"/>
      <family val="3"/>
    </font>
    <font>
      <sz val="10"/>
      <name val="Helv"/>
      <family val="2"/>
    </font>
    <font>
      <sz val="10"/>
      <name val=".VnTime"/>
      <family val="2"/>
    </font>
    <font>
      <sz val="10"/>
      <name val="Helv"/>
      <charset val="204"/>
    </font>
    <font>
      <sz val="12"/>
      <color indexed="8"/>
      <name val="VNI-Times"/>
    </font>
    <font>
      <sz val="10"/>
      <color indexed="8"/>
      <name val="Times New Roman"/>
      <family val="1"/>
    </font>
    <font>
      <sz val="12"/>
      <color indexed="9"/>
      <name val="VNI-Times"/>
    </font>
    <font>
      <sz val="12"/>
      <color indexed="8"/>
      <name val="¹ÙÅÁÃ¼"/>
      <family val="1"/>
      <charset val="129"/>
    </font>
    <font>
      <sz val="12"/>
      <name val="¹ÙÅÁÃ¼"/>
      <charset val="129"/>
    </font>
    <font>
      <sz val="11"/>
      <name val="µ¸¿ò"/>
      <charset val="129"/>
    </font>
    <font>
      <b/>
      <sz val="10"/>
      <name val="Helv"/>
    </font>
    <font>
      <sz val="9"/>
      <name val="Arial"/>
      <family val="2"/>
    </font>
    <font>
      <sz val="11"/>
      <color indexed="8"/>
      <name val="맑은 고딕"/>
      <family val="3"/>
      <charset val="129"/>
    </font>
    <font>
      <sz val="11"/>
      <name val="Arial"/>
      <family val="2"/>
    </font>
    <font>
      <sz val="11"/>
      <color theme="1"/>
      <name val="Times New Roman"/>
      <family val="2"/>
    </font>
    <font>
      <sz val="11"/>
      <color indexed="8"/>
      <name val="Calibri"/>
      <family val="2"/>
    </font>
    <font>
      <sz val="10"/>
      <name val="Arial"/>
      <family val="2"/>
      <charset val="163"/>
    </font>
    <font>
      <sz val="11"/>
      <color indexed="8"/>
      <name val="Calibri"/>
      <family val="2"/>
      <charset val="163"/>
    </font>
    <font>
      <sz val="11"/>
      <name val="돋움"/>
      <family val="3"/>
      <charset val="129"/>
    </font>
    <font>
      <sz val="12"/>
      <color indexed="8"/>
      <name val="Times New Roman"/>
      <family val="2"/>
      <charset val="1"/>
    </font>
    <font>
      <sz val="10"/>
      <name val="VNI-Helve"/>
    </font>
    <font>
      <sz val="11"/>
      <name val="ＭＳ Ｐゴシック"/>
      <family val="3"/>
      <charset val="128"/>
    </font>
    <font>
      <sz val="8"/>
      <name val="Arial"/>
      <family val="2"/>
    </font>
    <font>
      <b/>
      <sz val="12"/>
      <name val="Helv"/>
    </font>
    <font>
      <b/>
      <sz val="12"/>
      <name val="Arial"/>
      <family val="2"/>
    </font>
    <font>
      <b/>
      <sz val="18"/>
      <name val="Arial"/>
      <family val="2"/>
    </font>
    <font>
      <u/>
      <sz val="10"/>
      <color indexed="12"/>
      <name val="Arial"/>
      <family val="2"/>
    </font>
    <font>
      <u/>
      <sz val="12"/>
      <color indexed="12"/>
      <name val="VNI-Times"/>
    </font>
    <font>
      <u/>
      <sz val="10"/>
      <color theme="10"/>
      <name val="Arial"/>
      <family val="2"/>
    </font>
    <font>
      <b/>
      <sz val="11"/>
      <name val="Helv"/>
    </font>
    <font>
      <sz val="12"/>
      <name val="Arial"/>
      <family val="2"/>
    </font>
    <font>
      <sz val="7"/>
      <name val="Small Fonts"/>
      <family val="2"/>
    </font>
    <font>
      <sz val="12"/>
      <name val=".VnTime"/>
      <family val="2"/>
    </font>
    <font>
      <sz val="8.5"/>
      <name val="Dutoan TCVN1993"/>
      <family val="2"/>
    </font>
    <font>
      <sz val="11"/>
      <color theme="1"/>
      <name val="Times New Roman"/>
      <family val="2"/>
      <charset val="163"/>
    </font>
    <font>
      <sz val="11"/>
      <name val="Calibri"/>
      <family val="2"/>
      <scheme val="minor"/>
    </font>
    <font>
      <sz val="10"/>
      <name val="Times New Roman"/>
      <family val="1"/>
      <charset val="204"/>
    </font>
    <font>
      <sz val="10"/>
      <name val="Trebuchet MS"/>
      <family val="2"/>
    </font>
    <font>
      <sz val="8.25"/>
      <name val="CD Tahoma"/>
      <family val="2"/>
    </font>
    <font>
      <sz val="10"/>
      <name val="Times New Roman"/>
      <family val="1"/>
      <charset val="163"/>
    </font>
    <font>
      <sz val="11"/>
      <name val="Arial Narrow"/>
      <family val="2"/>
    </font>
    <font>
      <sz val="11"/>
      <name val="Arial"/>
      <family val="2"/>
      <charset val="163"/>
    </font>
    <font>
      <sz val="11"/>
      <name val="VNI-Aptima"/>
    </font>
    <font>
      <b/>
      <sz val="11"/>
      <color indexed="63"/>
      <name val="Calibri"/>
      <family val="2"/>
    </font>
    <font>
      <sz val="10"/>
      <name val="Symbol"/>
      <family val="1"/>
      <charset val="2"/>
    </font>
    <font>
      <sz val="13"/>
      <name val=".VnTime"/>
      <family val="2"/>
    </font>
    <font>
      <sz val="10"/>
      <name val="VNI-Helve-Condense"/>
    </font>
    <font>
      <sz val="10"/>
      <name val="VNtimes new roman"/>
      <family val="1"/>
    </font>
    <font>
      <b/>
      <sz val="12"/>
      <name val=".VnTime"/>
      <family val="2"/>
    </font>
    <font>
      <b/>
      <sz val="18"/>
      <color indexed="56"/>
      <name val="Cambria"/>
      <family val="1"/>
    </font>
    <font>
      <b/>
      <sz val="12"/>
      <color indexed="9"/>
      <name val="VNI-Times"/>
    </font>
    <font>
      <sz val="12"/>
      <color indexed="60"/>
      <name val="VNI-Times"/>
    </font>
    <font>
      <sz val="12"/>
      <color indexed="52"/>
      <name val="VNI-Times"/>
    </font>
    <font>
      <sz val="10"/>
      <name val=" "/>
      <family val="1"/>
      <charset val="136"/>
    </font>
    <font>
      <sz val="14"/>
      <name val="뼻뮝"/>
      <family val="3"/>
      <charset val="129"/>
    </font>
    <font>
      <sz val="12"/>
      <name val="뼻뮝"/>
      <family val="1"/>
      <charset val="129"/>
    </font>
    <font>
      <sz val="12"/>
      <name val="바탕체"/>
      <family val="1"/>
      <charset val="129"/>
    </font>
    <font>
      <sz val="11"/>
      <color indexed="8"/>
      <name val="Calibri"/>
      <family val="3"/>
      <charset val="129"/>
    </font>
    <font>
      <sz val="10"/>
      <name val="굴림체"/>
      <family val="3"/>
      <charset val="129"/>
    </font>
    <font>
      <sz val="12"/>
      <color indexed="62"/>
      <name val="VNI-Times"/>
    </font>
    <font>
      <b/>
      <sz val="12"/>
      <color indexed="63"/>
      <name val="VNI-Times"/>
    </font>
    <font>
      <sz val="12"/>
      <name val="新細明體"/>
      <charset val="136"/>
    </font>
    <font>
      <sz val="12"/>
      <name val="Courier"/>
      <family val="3"/>
    </font>
    <font>
      <sz val="12"/>
      <color indexed="20"/>
      <name val="VNI-Times"/>
    </font>
    <font>
      <sz val="12"/>
      <color indexed="17"/>
      <name val="VNI-Times"/>
    </font>
    <font>
      <b/>
      <sz val="15"/>
      <color indexed="56"/>
      <name val="VNI-Times"/>
    </font>
    <font>
      <b/>
      <sz val="13"/>
      <color indexed="56"/>
      <name val="VNI-Times"/>
    </font>
    <font>
      <b/>
      <sz val="11"/>
      <color indexed="56"/>
      <name val="VNI-Times"/>
    </font>
    <font>
      <b/>
      <sz val="12"/>
      <color indexed="52"/>
      <name val="VNI-Times"/>
    </font>
    <font>
      <i/>
      <sz val="12"/>
      <color indexed="23"/>
      <name val="VNI-Times"/>
    </font>
    <font>
      <sz val="12"/>
      <color indexed="10"/>
      <name val="VNI-Times"/>
    </font>
    <font>
      <b/>
      <sz val="12"/>
      <color indexed="8"/>
      <name val="VNI-Times"/>
    </font>
    <font>
      <sz val="12"/>
      <name val="????"/>
      <family val="1"/>
      <charset val="136"/>
    </font>
    <font>
      <b/>
      <u/>
      <sz val="14"/>
      <color indexed="8"/>
      <name val=".VnBook-AntiquaH"/>
      <family val="2"/>
    </font>
    <font>
      <i/>
      <sz val="12"/>
      <color indexed="8"/>
      <name val=".VnBook-AntiquaH"/>
      <family val="2"/>
    </font>
    <font>
      <sz val="11"/>
      <color indexed="8"/>
      <name val="Tahoma"/>
      <family val="2"/>
      <charset val="163"/>
    </font>
    <font>
      <b/>
      <sz val="10"/>
      <name val="VNI-Centur"/>
    </font>
    <font>
      <b/>
      <sz val="12"/>
      <color indexed="8"/>
      <name val=".VnBook-Antiqua"/>
      <family val="2"/>
    </font>
    <font>
      <i/>
      <sz val="12"/>
      <color indexed="8"/>
      <name val=".VnBook-Antiqua"/>
      <family val="2"/>
    </font>
    <font>
      <sz val="11"/>
      <color indexed="9"/>
      <name val="Tahoma"/>
      <family val="2"/>
      <charset val="163"/>
    </font>
    <font>
      <sz val="8"/>
      <name val="Times New Roman"/>
      <family val="1"/>
    </font>
    <font>
      <sz val="11"/>
      <color indexed="8"/>
      <name val=".VnArial"/>
      <family val="2"/>
    </font>
    <font>
      <sz val="10"/>
      <name val="MS Serif"/>
      <family val="1"/>
    </font>
    <font>
      <sz val="10"/>
      <name val="Courier"/>
      <family val="3"/>
    </font>
    <font>
      <b/>
      <sz val="11"/>
      <color indexed="63"/>
      <name val="Tahoma"/>
      <family val="2"/>
      <charset val="163"/>
    </font>
    <font>
      <sz val="11"/>
      <color indexed="62"/>
      <name val="Tahoma"/>
      <family val="2"/>
      <charset val="163"/>
    </font>
    <font>
      <b/>
      <sz val="15"/>
      <color indexed="56"/>
      <name val="Tahoma"/>
      <family val="2"/>
      <charset val="163"/>
    </font>
    <font>
      <b/>
      <sz val="13"/>
      <color indexed="56"/>
      <name val="Tahoma"/>
      <family val="2"/>
      <charset val="163"/>
    </font>
    <font>
      <b/>
      <sz val="11"/>
      <color indexed="56"/>
      <name val="Tahoma"/>
      <family val="2"/>
      <charset val="163"/>
    </font>
    <font>
      <sz val="10"/>
      <color indexed="16"/>
      <name val="MS Serif"/>
      <family val="1"/>
    </font>
    <font>
      <b/>
      <sz val="11"/>
      <color indexed="9"/>
      <name val="Tahoma"/>
      <family val="2"/>
      <charset val="163"/>
    </font>
    <font>
      <b/>
      <sz val="12"/>
      <name val="VN-NTime"/>
    </font>
    <font>
      <sz val="11"/>
      <color indexed="52"/>
      <name val="Tahoma"/>
      <family val="2"/>
      <charset val="163"/>
    </font>
    <font>
      <sz val="10"/>
      <name val="VNvogue"/>
      <family val="2"/>
    </font>
    <font>
      <sz val="10"/>
      <name val="Tms Rmn"/>
      <family val="1"/>
    </font>
    <font>
      <b/>
      <sz val="8"/>
      <color indexed="8"/>
      <name val="Helv"/>
      <family val="2"/>
    </font>
    <font>
      <sz val="10"/>
      <name val="VNI-Centur"/>
    </font>
    <font>
      <sz val="10"/>
      <color indexed="8"/>
      <name val="Arial"/>
      <family val="2"/>
    </font>
    <font>
      <b/>
      <sz val="18"/>
      <color indexed="56"/>
      <name val="Tahoma"/>
      <family val="2"/>
      <charset val="163"/>
    </font>
    <font>
      <b/>
      <sz val="11"/>
      <color indexed="52"/>
      <name val="Tahoma"/>
      <family val="2"/>
      <charset val="163"/>
    </font>
    <font>
      <b/>
      <sz val="11"/>
      <color indexed="8"/>
      <name val="Tahoma"/>
      <family val="2"/>
      <charset val="163"/>
    </font>
    <font>
      <sz val="11"/>
      <color indexed="17"/>
      <name val="Tahoma"/>
      <family val="2"/>
      <charset val="163"/>
    </font>
    <font>
      <sz val="11"/>
      <color indexed="60"/>
      <name val="Tahoma"/>
      <family val="2"/>
      <charset val="163"/>
    </font>
    <font>
      <sz val="11"/>
      <color indexed="10"/>
      <name val="Tahoma"/>
      <family val="2"/>
      <charset val="163"/>
    </font>
    <font>
      <i/>
      <sz val="11"/>
      <color indexed="23"/>
      <name val="Tahoma"/>
      <family val="2"/>
      <charset val="163"/>
    </font>
    <font>
      <b/>
      <sz val="10"/>
      <name val=".VnTime"/>
      <family val="2"/>
    </font>
    <font>
      <sz val="9"/>
      <name val=".VnTime"/>
      <family val="2"/>
    </font>
    <font>
      <sz val="11"/>
      <color indexed="20"/>
      <name val="Tahoma"/>
      <family val="2"/>
      <charset val="163"/>
    </font>
    <font>
      <sz val="14"/>
      <name val="VNI-Times"/>
    </font>
    <font>
      <sz val="11"/>
      <name val="??"/>
      <family val="3"/>
    </font>
    <font>
      <sz val="10"/>
      <name val="?? ??"/>
      <family val="1"/>
      <charset val="136"/>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VNI-Aptima"/>
    </font>
    <font>
      <i/>
      <sz val="11"/>
      <color indexed="23"/>
      <name val="Calibri"/>
      <family val="2"/>
    </font>
    <font>
      <sz val="11"/>
      <color indexed="17"/>
      <name val="Calibri"/>
      <family val="2"/>
    </font>
    <font>
      <b/>
      <sz val="12"/>
      <name val=".VnBook-AntiquaH"/>
      <family val="2"/>
    </font>
    <font>
      <b/>
      <sz val="11"/>
      <color indexed="56"/>
      <name val="Calibri"/>
      <family val="2"/>
    </font>
    <font>
      <sz val="8"/>
      <color indexed="12"/>
      <name val="Helv"/>
    </font>
    <font>
      <sz val="11"/>
      <color indexed="52"/>
      <name val="Calibri"/>
      <family val="2"/>
    </font>
    <font>
      <sz val="11"/>
      <color indexed="60"/>
      <name val="Calibri"/>
      <family val="2"/>
    </font>
    <font>
      <sz val="12"/>
      <name val="???"/>
      <family val="1"/>
    </font>
    <font>
      <b/>
      <sz val="18"/>
      <color indexed="56"/>
      <name val="Cambria"/>
      <family val="2"/>
    </font>
    <font>
      <sz val="11"/>
      <color indexed="10"/>
      <name val="Calibri"/>
      <family val="2"/>
    </font>
    <font>
      <u/>
      <sz val="11"/>
      <color theme="10"/>
      <name val="Calibri"/>
      <family val="2"/>
      <scheme val="minor"/>
    </font>
    <font>
      <sz val="12"/>
      <name val="細明體"/>
      <family val="3"/>
      <charset val="136"/>
    </font>
    <font>
      <sz val="14"/>
      <name val=".VnTime"/>
      <family val="2"/>
    </font>
    <font>
      <sz val="11"/>
      <name val=".VnTime"/>
      <family val="2"/>
    </font>
    <font>
      <sz val="12"/>
      <color theme="1"/>
      <name val="Times New Roman"/>
      <family val="2"/>
    </font>
    <font>
      <sz val="13"/>
      <color theme="1"/>
      <name val="Times New Roman"/>
      <family val="2"/>
    </font>
    <font>
      <b/>
      <sz val="10"/>
      <name val="Arial"/>
      <family val="2"/>
    </font>
    <font>
      <u/>
      <sz val="10"/>
      <color theme="10"/>
      <name val="Arial"/>
      <family val="2"/>
      <charset val="163"/>
    </font>
    <font>
      <sz val="11"/>
      <color rgb="FFFF0000"/>
      <name val="Times New Roman"/>
      <family val="1"/>
    </font>
    <font>
      <sz val="11"/>
      <color theme="5" tint="-0.249977111117893"/>
      <name val="Times New Roman"/>
      <family val="1"/>
    </font>
    <font>
      <sz val="11"/>
      <color theme="1" tint="0.249977111117893"/>
      <name val="Times New Roman"/>
      <family val="1"/>
    </font>
    <font>
      <sz val="12"/>
      <name val="Calibri Light"/>
      <family val="1"/>
      <scheme val="major"/>
    </font>
    <font>
      <b/>
      <sz val="11.5"/>
      <name val="Symbol"/>
      <family val="1"/>
      <charset val="2"/>
    </font>
    <font>
      <b/>
      <sz val="11.5"/>
      <name val="Times New Roman"/>
      <family val="1"/>
    </font>
    <font>
      <sz val="11.5"/>
      <name val="Times New Roman"/>
      <family val="1"/>
    </font>
    <font>
      <b/>
      <sz val="12"/>
      <color theme="1"/>
      <name val="Calibri"/>
      <family val="2"/>
      <scheme val="minor"/>
    </font>
    <font>
      <sz val="11"/>
      <color rgb="FF00B050"/>
      <name val="Times New Roman"/>
      <family val="1"/>
    </font>
    <font>
      <sz val="11"/>
      <color theme="8"/>
      <name val="Times New Roman"/>
      <family val="1"/>
    </font>
    <font>
      <sz val="9"/>
      <color rgb="FFFF0000"/>
      <name val="TimesNewRomanPSMT"/>
    </font>
    <font>
      <sz val="10"/>
      <color rgb="FFFF0000"/>
      <name val="VNI-Aptima"/>
    </font>
    <font>
      <u/>
      <sz val="10"/>
      <color rgb="FFFF0000"/>
      <name val="Times New Roman"/>
      <family val="1"/>
    </font>
    <font>
      <b/>
      <sz val="10"/>
      <name val="Helv"/>
      <family val="2"/>
    </font>
    <font>
      <sz val="11"/>
      <color indexed="8"/>
      <name val="Arial"/>
      <family val="2"/>
      <charset val="163"/>
    </font>
    <font>
      <b/>
      <sz val="12"/>
      <name val="Helv"/>
      <family val="2"/>
    </font>
    <font>
      <b/>
      <sz val="1"/>
      <color indexed="8"/>
      <name val="Courier"/>
      <family val="3"/>
    </font>
    <font>
      <b/>
      <sz val="11"/>
      <name val="Helv"/>
      <family val="2"/>
    </font>
    <font>
      <sz val="9"/>
      <name val="VNI-Helve-Condense"/>
    </font>
    <font>
      <sz val="12"/>
      <name val="¹ÙÅÁÃ¼"/>
      <family val="1"/>
      <charset val="129"/>
    </font>
    <font>
      <sz val="10"/>
      <name val="VNbook-Antiqua"/>
      <family val="2"/>
    </font>
    <font>
      <sz val="10"/>
      <color indexed="8"/>
      <name val="MS Sans Serif"/>
      <family val="2"/>
    </font>
    <font>
      <sz val="9"/>
      <color theme="1"/>
      <name val="Tahoma"/>
      <family val="2"/>
    </font>
    <font>
      <sz val="11"/>
      <name val="Calibri"/>
      <family val="2"/>
    </font>
    <font>
      <u/>
      <sz val="10"/>
      <name val="VNI-Aptima"/>
    </font>
    <font>
      <b/>
      <sz val="9"/>
      <color rgb="FFFF0000"/>
      <name val="TimesNewRomanPSMT"/>
    </font>
    <font>
      <sz val="10"/>
      <color rgb="FF000000"/>
      <name val="Times New Roman"/>
      <family val="1"/>
    </font>
    <font>
      <u/>
      <sz val="10"/>
      <name val="Times New Roman"/>
      <family val="1"/>
    </font>
    <font>
      <i/>
      <sz val="10"/>
      <color rgb="FFFF0000"/>
      <name val="Times New Roman"/>
      <family val="1"/>
    </font>
    <font>
      <b/>
      <i/>
      <sz val="10"/>
      <color indexed="8"/>
      <name val="Times New Roman"/>
      <family val="1"/>
    </font>
    <font>
      <sz val="9"/>
      <color indexed="81"/>
      <name val="Tahoma"/>
    </font>
    <font>
      <b/>
      <sz val="9"/>
      <color indexed="81"/>
      <name val="Tahoma"/>
    </font>
  </fonts>
  <fills count="4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2F2F2"/>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9"/>
        <bgColor indexed="26"/>
      </patternFill>
    </fill>
    <fill>
      <patternFill patternType="gray125">
        <fgColor indexed="3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15"/>
      </patternFill>
    </fill>
    <fill>
      <patternFill patternType="solid">
        <fgColor indexed="12"/>
      </patternFill>
    </fill>
    <fill>
      <patternFill patternType="solid">
        <fgColor indexed="55"/>
        <bgColor indexed="64"/>
      </patternFill>
    </fill>
    <fill>
      <patternFill patternType="solid">
        <fgColor theme="6" tint="0.59999389629810485"/>
        <bgColor indexed="65"/>
      </patternFill>
    </fill>
    <fill>
      <patternFill patternType="solid">
        <fgColor indexed="26"/>
        <bgColor indexed="64"/>
      </patternFill>
    </fill>
    <fill>
      <patternFill patternType="solid">
        <fgColor theme="8" tint="0.39997558519241921"/>
        <bgColor indexed="64"/>
      </patternFill>
    </fill>
    <fill>
      <patternFill patternType="solid">
        <fgColor theme="7" tint="0.79998168889431442"/>
        <bgColor indexed="55"/>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s>
  <borders count="10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hair">
        <color indexed="64"/>
      </top>
      <bottom style="hair">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indexed="64"/>
      </left>
      <right style="thin">
        <color indexed="64"/>
      </right>
      <top/>
      <bottom/>
      <diagonal/>
    </border>
    <border>
      <left/>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bottom style="hair">
        <color indexed="64"/>
      </bottom>
      <diagonal/>
    </border>
    <border>
      <left style="thin">
        <color rgb="FF7F7F7F"/>
      </left>
      <right style="thin">
        <color rgb="FF7F7F7F"/>
      </right>
      <top style="thin">
        <color rgb="FF7F7F7F"/>
      </top>
      <bottom style="thin">
        <color rgb="FF7F7F7F"/>
      </bottom>
      <diagonal/>
    </border>
    <border>
      <left/>
      <right/>
      <top style="double">
        <color indexed="64"/>
      </top>
      <bottom/>
      <diagonal/>
    </border>
    <border>
      <left/>
      <right/>
      <top/>
      <bottom style="double">
        <color indexed="8"/>
      </bottom>
      <diagonal/>
    </border>
    <border>
      <left/>
      <right/>
      <top style="medium">
        <color indexed="64"/>
      </top>
      <bottom style="medium">
        <color indexed="64"/>
      </bottom>
      <diagonal/>
    </border>
    <border>
      <left/>
      <right/>
      <top/>
      <bottom style="medium">
        <color indexed="64"/>
      </bottom>
      <diagonal/>
    </border>
    <border>
      <left style="thin">
        <color indexed="63"/>
      </left>
      <right style="thin">
        <color indexed="63"/>
      </right>
      <top style="thin">
        <color indexed="63"/>
      </top>
      <bottom style="thin">
        <color indexed="63"/>
      </bottom>
      <diagonal/>
    </border>
    <border>
      <left style="thin">
        <color indexed="64"/>
      </left>
      <right style="medium">
        <color indexed="64"/>
      </right>
      <top style="medium">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dashed">
        <color indexed="64"/>
      </top>
      <bottom style="dashed">
        <color indexed="64"/>
      </bottom>
      <diagonal/>
    </border>
    <border>
      <left/>
      <right/>
      <top style="medium">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indexed="64"/>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style="thin">
        <color auto="1"/>
      </right>
      <top style="hair">
        <color auto="1"/>
      </top>
      <bottom style="thin">
        <color indexed="64"/>
      </bottom>
      <diagonal/>
    </border>
    <border>
      <left style="thin">
        <color auto="1"/>
      </left>
      <right/>
      <top style="thin">
        <color indexed="64"/>
      </top>
      <bottom style="hair">
        <color auto="1"/>
      </bottom>
      <diagonal/>
    </border>
    <border>
      <left style="thin">
        <color auto="1"/>
      </left>
      <right/>
      <top style="hair">
        <color auto="1"/>
      </top>
      <bottom style="thin">
        <color indexed="64"/>
      </bottom>
      <diagonal/>
    </border>
    <border>
      <left/>
      <right style="thin">
        <color indexed="64"/>
      </right>
      <top style="thin">
        <color indexed="64"/>
      </top>
      <bottom style="thin">
        <color indexed="64"/>
      </bottom>
      <diagonal/>
    </border>
  </borders>
  <cellStyleXfs count="6298">
    <xf numFmtId="0" fontId="0" fillId="0" borderId="0"/>
    <xf numFmtId="174" fontId="16" fillId="0" borderId="0" applyFont="0" applyFill="0" applyBorder="0" applyAlignment="0" applyProtection="0"/>
    <xf numFmtId="0" fontId="22" fillId="0" borderId="0"/>
    <xf numFmtId="0" fontId="22" fillId="0" borderId="0"/>
    <xf numFmtId="0" fontId="23" fillId="0" borderId="0"/>
    <xf numFmtId="0" fontId="24" fillId="0" borderId="0"/>
    <xf numFmtId="0" fontId="25" fillId="0" borderId="0"/>
    <xf numFmtId="174" fontId="15" fillId="0" borderId="0" applyFont="0" applyFill="0" applyBorder="0" applyAlignment="0" applyProtection="0"/>
    <xf numFmtId="0" fontId="23" fillId="0" borderId="0"/>
    <xf numFmtId="174" fontId="15" fillId="0" borderId="0" applyFont="0" applyFill="0" applyBorder="0" applyAlignment="0" applyProtection="0"/>
    <xf numFmtId="0" fontId="27" fillId="0" borderId="0"/>
    <xf numFmtId="0" fontId="16" fillId="0" borderId="0"/>
    <xf numFmtId="0" fontId="33" fillId="0" borderId="0"/>
    <xf numFmtId="174" fontId="14" fillId="0" borderId="0" applyFont="0" applyFill="0" applyBorder="0" applyAlignment="0" applyProtection="0"/>
    <xf numFmtId="174" fontId="14" fillId="0" borderId="0" applyFont="0" applyFill="0" applyBorder="0" applyAlignment="0" applyProtection="0"/>
    <xf numFmtId="0" fontId="23" fillId="0" borderId="0"/>
    <xf numFmtId="43" fontId="16" fillId="0" borderId="0" applyFont="0" applyFill="0" applyBorder="0" applyAlignment="0" applyProtection="0"/>
    <xf numFmtId="43" fontId="16" fillId="0" borderId="0" applyFont="0" applyFill="0" applyBorder="0" applyAlignment="0" applyProtection="0"/>
    <xf numFmtId="0" fontId="22" fillId="0" borderId="0"/>
    <xf numFmtId="43" fontId="16" fillId="0" borderId="0" applyFont="0" applyFill="0" applyBorder="0" applyAlignment="0" applyProtection="0"/>
    <xf numFmtId="0" fontId="13" fillId="0" borderId="0"/>
    <xf numFmtId="0" fontId="35" fillId="0" borderId="0"/>
    <xf numFmtId="0" fontId="35" fillId="0" borderId="0"/>
    <xf numFmtId="0" fontId="38" fillId="0" borderId="0"/>
    <xf numFmtId="43" fontId="40" fillId="0" borderId="0" applyFont="0" applyFill="0" applyBorder="0" applyAlignment="0" applyProtection="0"/>
    <xf numFmtId="177" fontId="22" fillId="0" borderId="0"/>
    <xf numFmtId="174" fontId="22" fillId="0" borderId="0" applyFont="0" applyFill="0" applyBorder="0" applyAlignment="0" applyProtection="0"/>
    <xf numFmtId="0" fontId="22" fillId="0" borderId="0"/>
    <xf numFmtId="43" fontId="22" fillId="0" borderId="0" applyFont="0" applyFill="0" applyBorder="0" applyAlignment="0" applyProtection="0"/>
    <xf numFmtId="9" fontId="16" fillId="0" borderId="0" applyFont="0" applyFill="0" applyBorder="0" applyAlignment="0" applyProtection="0"/>
    <xf numFmtId="0" fontId="49" fillId="0" borderId="0"/>
    <xf numFmtId="0" fontId="51" fillId="0" borderId="0"/>
    <xf numFmtId="0" fontId="12" fillId="0" borderId="0"/>
    <xf numFmtId="43" fontId="49" fillId="0" borderId="0" applyFont="0" applyFill="0" applyBorder="0" applyAlignment="0" applyProtection="0"/>
    <xf numFmtId="0" fontId="12" fillId="0" borderId="0"/>
    <xf numFmtId="0" fontId="12" fillId="0" borderId="0"/>
    <xf numFmtId="43" fontId="12" fillId="0" borderId="0" applyFont="0" applyFill="0" applyBorder="0" applyAlignment="0" applyProtection="0"/>
    <xf numFmtId="43" fontId="51" fillId="0" borderId="0" applyFont="0" applyFill="0" applyBorder="0" applyAlignment="0" applyProtection="0"/>
    <xf numFmtId="43" fontId="12" fillId="0" borderId="0" applyFont="0" applyFill="0" applyBorder="0" applyAlignment="0" applyProtection="0"/>
    <xf numFmtId="0" fontId="11" fillId="0" borderId="0"/>
    <xf numFmtId="0" fontId="10" fillId="0" borderId="0"/>
    <xf numFmtId="0" fontId="10" fillId="0" borderId="0"/>
    <xf numFmtId="0" fontId="9" fillId="0" borderId="0"/>
    <xf numFmtId="0" fontId="9" fillId="0" borderId="0"/>
    <xf numFmtId="0" fontId="9" fillId="0" borderId="0"/>
    <xf numFmtId="43" fontId="9" fillId="0" borderId="0" applyFont="0" applyFill="0" applyBorder="0" applyAlignment="0" applyProtection="0"/>
    <xf numFmtId="181" fontId="18" fillId="0" borderId="0"/>
    <xf numFmtId="0" fontId="24" fillId="0" borderId="0"/>
    <xf numFmtId="43" fontId="22" fillId="0" borderId="0" applyFont="0" applyFill="0" applyBorder="0" applyAlignment="0" applyProtection="0"/>
    <xf numFmtId="0" fontId="43" fillId="0" borderId="0"/>
    <xf numFmtId="0" fontId="74" fillId="0" borderId="0" applyNumberFormat="0" applyFill="0" applyBorder="0" applyAlignment="0" applyProtection="0"/>
    <xf numFmtId="43" fontId="22" fillId="0" borderId="0" applyFont="0" applyFill="0" applyBorder="0" applyAlignment="0" applyProtection="0"/>
    <xf numFmtId="0" fontId="8" fillId="0" borderId="0"/>
    <xf numFmtId="0" fontId="8" fillId="0" borderId="0"/>
    <xf numFmtId="0" fontId="81" fillId="0" borderId="0"/>
    <xf numFmtId="0" fontId="82" fillId="0" borderId="0"/>
    <xf numFmtId="177" fontId="22" fillId="0" borderId="0"/>
    <xf numFmtId="0" fontId="22" fillId="0" borderId="0"/>
    <xf numFmtId="185" fontId="23" fillId="0" borderId="0" applyFont="0" applyFill="0" applyBorder="0" applyAlignment="0" applyProtection="0"/>
    <xf numFmtId="0" fontId="22" fillId="0" borderId="0"/>
    <xf numFmtId="0" fontId="81" fillId="0" borderId="0" applyNumberFormat="0" applyFill="0" applyBorder="0" applyAlignment="0" applyProtection="0"/>
    <xf numFmtId="0" fontId="81" fillId="0" borderId="0" applyNumberFormat="0" applyFill="0" applyBorder="0" applyAlignment="0" applyProtection="0"/>
    <xf numFmtId="0" fontId="81" fillId="0" borderId="0" applyNumberFormat="0" applyFill="0" applyBorder="0" applyAlignment="0" applyProtection="0"/>
    <xf numFmtId="186" fontId="83" fillId="0" borderId="0" applyFont="0" applyFill="0" applyBorder="0" applyAlignment="0" applyProtection="0"/>
    <xf numFmtId="188" fontId="22" fillId="0" borderId="0" applyFont="0" applyFill="0" applyBorder="0" applyAlignment="0" applyProtection="0"/>
    <xf numFmtId="188" fontId="22" fillId="0" borderId="0" applyFont="0" applyFill="0" applyBorder="0" applyAlignment="0" applyProtection="0"/>
    <xf numFmtId="0" fontId="81" fillId="0" borderId="0" applyFont="0" applyFill="0" applyBorder="0" applyAlignment="0" applyProtection="0"/>
    <xf numFmtId="0" fontId="22" fillId="0" borderId="0" applyNumberFormat="0" applyFill="0" applyBorder="0" applyAlignment="0" applyProtection="0"/>
    <xf numFmtId="189" fontId="84" fillId="0" borderId="0" applyFont="0" applyFill="0" applyBorder="0" applyAlignment="0" applyProtection="0"/>
    <xf numFmtId="42" fontId="85" fillId="0" borderId="0" applyFont="0" applyFill="0" applyBorder="0" applyAlignment="0" applyProtection="0"/>
    <xf numFmtId="190" fontId="84" fillId="0" borderId="0" applyFont="0" applyFill="0" applyBorder="0" applyAlignment="0" applyProtection="0"/>
    <xf numFmtId="0" fontId="81" fillId="0" borderId="0" applyFont="0" applyFill="0" applyBorder="0" applyAlignment="0" applyProtection="0"/>
    <xf numFmtId="191" fontId="81" fillId="0" borderId="0" applyFont="0" applyFill="0" applyBorder="0" applyAlignment="0" applyProtection="0"/>
    <xf numFmtId="191" fontId="81" fillId="0" borderId="0" applyFont="0" applyFill="0" applyBorder="0" applyAlignment="0" applyProtection="0"/>
    <xf numFmtId="0" fontId="81" fillId="0" borderId="0"/>
    <xf numFmtId="191" fontId="81" fillId="0" borderId="0"/>
    <xf numFmtId="40" fontId="81" fillId="0" borderId="0" applyFont="0" applyFill="0" applyBorder="0" applyAlignment="0" applyProtection="0"/>
    <xf numFmtId="0" fontId="22" fillId="0" borderId="0" applyNumberFormat="0" applyFill="0" applyBorder="0" applyAlignment="0" applyProtection="0"/>
    <xf numFmtId="0" fontId="86" fillId="0" borderId="0"/>
    <xf numFmtId="0" fontId="86" fillId="0" borderId="0"/>
    <xf numFmtId="0" fontId="38" fillId="0" borderId="0"/>
    <xf numFmtId="0" fontId="38" fillId="0" borderId="0"/>
    <xf numFmtId="0" fontId="43" fillId="0" borderId="0"/>
    <xf numFmtId="0" fontId="43" fillId="0" borderId="0"/>
    <xf numFmtId="0" fontId="43" fillId="0" borderId="0"/>
    <xf numFmtId="0" fontId="43" fillId="0" borderId="0"/>
    <xf numFmtId="192" fontId="16"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191" fontId="81" fillId="0" borderId="0"/>
    <xf numFmtId="186" fontId="23" fillId="0" borderId="0" applyFont="0" applyFill="0" applyBorder="0" applyAlignment="0" applyProtection="0"/>
    <xf numFmtId="186" fontId="2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195" fontId="83" fillId="0" borderId="0" applyFont="0" applyFill="0" applyBorder="0" applyAlignment="0" applyProtection="0"/>
    <xf numFmtId="167" fontId="83" fillId="0" borderId="0" applyFont="0" applyFill="0" applyBorder="0" applyAlignment="0" applyProtection="0"/>
    <xf numFmtId="191" fontId="81" fillId="0" borderId="0"/>
    <xf numFmtId="193" fontId="83" fillId="0" borderId="0" applyFont="0" applyFill="0" applyBorder="0" applyAlignment="0" applyProtection="0"/>
    <xf numFmtId="0" fontId="87" fillId="0" borderId="0" applyNumberFormat="0" applyFill="0" applyBorder="0" applyAlignment="0" applyProtection="0"/>
    <xf numFmtId="196" fontId="83" fillId="0" borderId="0" applyFont="0" applyFill="0" applyBorder="0" applyAlignment="0" applyProtection="0"/>
    <xf numFmtId="196" fontId="83" fillId="0" borderId="0" applyFont="0" applyFill="0" applyBorder="0" applyAlignment="0" applyProtection="0"/>
    <xf numFmtId="42" fontId="83" fillId="0" borderId="0" applyFont="0" applyFill="0" applyBorder="0" applyAlignment="0" applyProtection="0"/>
    <xf numFmtId="0" fontId="86" fillId="0" borderId="0"/>
    <xf numFmtId="0" fontId="22" fillId="0" borderId="0"/>
    <xf numFmtId="0" fontId="22" fillId="0" borderId="0"/>
    <xf numFmtId="42" fontId="81" fillId="0" borderId="0" applyFont="0" applyFill="0" applyBorder="0" applyAlignment="0" applyProtection="0"/>
    <xf numFmtId="0" fontId="43" fillId="0" borderId="0"/>
    <xf numFmtId="0" fontId="38" fillId="0" borderId="0"/>
    <xf numFmtId="0" fontId="38" fillId="0" borderId="0"/>
    <xf numFmtId="0" fontId="38" fillId="0" borderId="0"/>
    <xf numFmtId="0" fontId="22" fillId="0" borderId="0"/>
    <xf numFmtId="0" fontId="22" fillId="0" borderId="0"/>
    <xf numFmtId="0" fontId="38" fillId="0" borderId="0"/>
    <xf numFmtId="0" fontId="22" fillId="0" borderId="0"/>
    <xf numFmtId="0" fontId="22" fillId="0" borderId="0"/>
    <xf numFmtId="0" fontId="88" fillId="0" borderId="0"/>
    <xf numFmtId="0" fontId="43" fillId="0" borderId="0"/>
    <xf numFmtId="19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0" fontId="38" fillId="0" borderId="0"/>
    <xf numFmtId="171" fontId="83" fillId="0" borderId="0" applyFont="0" applyFill="0" applyBorder="0" applyAlignment="0" applyProtection="0"/>
    <xf numFmtId="171" fontId="83" fillId="0" borderId="0" applyFont="0" applyFill="0" applyBorder="0" applyAlignment="0" applyProtection="0"/>
    <xf numFmtId="42" fontId="83" fillId="0" borderId="0" applyFont="0" applyFill="0" applyBorder="0" applyAlignment="0" applyProtection="0"/>
    <xf numFmtId="0" fontId="43" fillId="0" borderId="0"/>
    <xf numFmtId="0" fontId="22" fillId="0" borderId="0"/>
    <xf numFmtId="0" fontId="22" fillId="0" borderId="0"/>
    <xf numFmtId="0" fontId="38" fillId="0" borderId="0"/>
    <xf numFmtId="42" fontId="81"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7" fontId="23" fillId="0" borderId="0" applyFont="0" applyFill="0" applyBorder="0" applyAlignment="0" applyProtection="0"/>
    <xf numFmtId="198"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70" fontId="23" fillId="0" borderId="0" applyFont="0" applyFill="0" applyBorder="0" applyAlignment="0" applyProtection="0"/>
    <xf numFmtId="43" fontId="83" fillId="0" borderId="0" applyFont="0" applyFill="0" applyBorder="0" applyAlignment="0" applyProtection="0"/>
    <xf numFmtId="170"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0" fontId="81" fillId="0" borderId="0" applyFont="0" applyFill="0" applyBorder="0" applyAlignment="0" applyProtection="0"/>
    <xf numFmtId="174" fontId="83" fillId="0" borderId="0" applyFont="0" applyFill="0" applyBorder="0" applyAlignment="0" applyProtection="0"/>
    <xf numFmtId="201" fontId="83" fillId="0" borderId="0" applyFont="0" applyFill="0" applyBorder="0" applyAlignment="0" applyProtection="0"/>
    <xf numFmtId="201"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2" fontId="83" fillId="0" borderId="0" applyFont="0" applyFill="0" applyBorder="0" applyAlignment="0" applyProtection="0"/>
    <xf numFmtId="189"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03" fontId="22" fillId="0" borderId="0" applyFont="0" applyFill="0" applyBorder="0" applyAlignment="0" applyProtection="0"/>
    <xf numFmtId="203" fontId="22" fillId="0" borderId="0" applyFont="0" applyFill="0" applyBorder="0" applyAlignment="0" applyProtection="0"/>
    <xf numFmtId="170" fontId="83" fillId="0" borderId="0" applyFont="0" applyFill="0" applyBorder="0" applyAlignment="0" applyProtection="0"/>
    <xf numFmtId="200" fontId="83" fillId="0" borderId="0" applyFont="0" applyFill="0" applyBorder="0" applyAlignment="0" applyProtection="0"/>
    <xf numFmtId="200" fontId="81" fillId="0" borderId="0" applyFont="0" applyFill="0" applyBorder="0" applyAlignment="0" applyProtection="0"/>
    <xf numFmtId="200"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99" fontId="83" fillId="0" borderId="0" applyFont="0" applyFill="0" applyBorder="0" applyAlignment="0" applyProtection="0"/>
    <xf numFmtId="205" fontId="81"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6"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207"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68" fontId="23" fillId="0" borderId="0" applyFont="0" applyFill="0" applyBorder="0" applyAlignment="0" applyProtection="0"/>
    <xf numFmtId="42"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195"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6" fontId="83" fillId="0" borderId="0" applyFont="0" applyFill="0" applyBorder="0" applyAlignment="0" applyProtection="0"/>
    <xf numFmtId="196"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96" fontId="83" fillId="0" borderId="0" applyFont="0" applyFill="0" applyBorder="0" applyAlignment="0" applyProtection="0"/>
    <xf numFmtId="186" fontId="83" fillId="0" borderId="0" applyFont="0" applyFill="0" applyBorder="0" applyAlignment="0" applyProtection="0"/>
    <xf numFmtId="208" fontId="83" fillId="0" borderId="0" applyFont="0" applyFill="0" applyBorder="0" applyAlignment="0" applyProtection="0"/>
    <xf numFmtId="186" fontId="83" fillId="0" borderId="0" applyFont="0" applyFill="0" applyBorder="0" applyAlignment="0" applyProtection="0"/>
    <xf numFmtId="209"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97" fontId="83" fillId="0" borderId="0" applyFont="0" applyFill="0" applyBorder="0" applyAlignment="0" applyProtection="0"/>
    <xf numFmtId="171" fontId="83" fillId="0" borderId="0" applyFont="0" applyFill="0" applyBorder="0" applyAlignment="0" applyProtection="0"/>
    <xf numFmtId="196" fontId="83" fillId="0" borderId="0" applyFont="0" applyFill="0" applyBorder="0" applyAlignment="0" applyProtection="0"/>
    <xf numFmtId="196" fontId="83" fillId="0" borderId="0" applyFont="0" applyFill="0" applyBorder="0" applyAlignment="0" applyProtection="0"/>
    <xf numFmtId="43" fontId="83" fillId="0" borderId="0" applyFont="0" applyFill="0" applyBorder="0" applyAlignment="0" applyProtection="0"/>
    <xf numFmtId="170"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1" fontId="83" fillId="0" borderId="0" applyFont="0" applyFill="0" applyBorder="0" applyAlignment="0" applyProtection="0"/>
    <xf numFmtId="201"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2" fontId="83" fillId="0" borderId="0" applyFont="0" applyFill="0" applyBorder="0" applyAlignment="0" applyProtection="0"/>
    <xf numFmtId="189"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03" fontId="22" fillId="0" borderId="0" applyFont="0" applyFill="0" applyBorder="0" applyAlignment="0" applyProtection="0"/>
    <xf numFmtId="203" fontId="22" fillId="0" borderId="0" applyFont="0" applyFill="0" applyBorder="0" applyAlignment="0" applyProtection="0"/>
    <xf numFmtId="170" fontId="83" fillId="0" borderId="0" applyFont="0" applyFill="0" applyBorder="0" applyAlignment="0" applyProtection="0"/>
    <xf numFmtId="200" fontId="83" fillId="0" borderId="0" applyFont="0" applyFill="0" applyBorder="0" applyAlignment="0" applyProtection="0"/>
    <xf numFmtId="200"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99" fontId="83" fillId="0" borderId="0" applyFont="0" applyFill="0" applyBorder="0" applyAlignment="0" applyProtection="0"/>
    <xf numFmtId="205" fontId="81"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6"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207"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0" fontId="2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41" fontId="83" fillId="0" borderId="0" applyFont="0" applyFill="0" applyBorder="0" applyAlignment="0" applyProtection="0"/>
    <xf numFmtId="168"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1" fontId="83" fillId="0" borderId="0" applyFont="0" applyFill="0" applyBorder="0" applyAlignment="0" applyProtection="0"/>
    <xf numFmtId="211"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2" fontId="83" fillId="0" borderId="0" applyFont="0" applyFill="0" applyBorder="0" applyAlignment="0" applyProtection="0"/>
    <xf numFmtId="190"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213" fontId="83" fillId="0" borderId="0" applyFont="0" applyFill="0" applyBorder="0" applyAlignment="0" applyProtection="0"/>
    <xf numFmtId="214" fontId="22"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210" fontId="83" fillId="0" borderId="0" applyFont="0" applyFill="0" applyBorder="0" applyAlignment="0" applyProtection="0"/>
    <xf numFmtId="216" fontId="81" fillId="0" borderId="0" applyFont="0" applyFill="0" applyBorder="0" applyAlignment="0" applyProtection="0"/>
    <xf numFmtId="187"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8"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186" fontId="23" fillId="0" borderId="0" applyFont="0" applyFill="0" applyBorder="0" applyAlignment="0" applyProtection="0"/>
    <xf numFmtId="186" fontId="2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195"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6" fontId="83" fillId="0" borderId="0" applyFont="0" applyFill="0" applyBorder="0" applyAlignment="0" applyProtection="0"/>
    <xf numFmtId="196"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96" fontId="83" fillId="0" borderId="0" applyFont="0" applyFill="0" applyBorder="0" applyAlignment="0" applyProtection="0"/>
    <xf numFmtId="186" fontId="83" fillId="0" borderId="0" applyFont="0" applyFill="0" applyBorder="0" applyAlignment="0" applyProtection="0"/>
    <xf numFmtId="208" fontId="83" fillId="0" borderId="0" applyFont="0" applyFill="0" applyBorder="0" applyAlignment="0" applyProtection="0"/>
    <xf numFmtId="186" fontId="83" fillId="0" borderId="0" applyFont="0" applyFill="0" applyBorder="0" applyAlignment="0" applyProtection="0"/>
    <xf numFmtId="209"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8" fontId="23" fillId="0" borderId="0" applyFont="0" applyFill="0" applyBorder="0" applyAlignment="0" applyProtection="0"/>
    <xf numFmtId="197" fontId="83" fillId="0" borderId="0" applyFont="0" applyFill="0" applyBorder="0" applyAlignment="0" applyProtection="0"/>
    <xf numFmtId="171" fontId="83" fillId="0" borderId="0" applyFont="0" applyFill="0" applyBorder="0" applyAlignment="0" applyProtection="0"/>
    <xf numFmtId="196" fontId="83" fillId="0" borderId="0" applyFont="0" applyFill="0" applyBorder="0" applyAlignment="0" applyProtection="0"/>
    <xf numFmtId="196" fontId="83" fillId="0" borderId="0" applyFont="0" applyFill="0" applyBorder="0" applyAlignment="0" applyProtection="0"/>
    <xf numFmtId="170" fontId="23" fillId="0" borderId="0" applyFont="0" applyFill="0" applyBorder="0" applyAlignment="0" applyProtection="0"/>
    <xf numFmtId="41" fontId="83" fillId="0" borderId="0" applyFont="0" applyFill="0" applyBorder="0" applyAlignment="0" applyProtection="0"/>
    <xf numFmtId="168"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1" fontId="83" fillId="0" borderId="0" applyFont="0" applyFill="0" applyBorder="0" applyAlignment="0" applyProtection="0"/>
    <xf numFmtId="211"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2" fontId="83" fillId="0" borderId="0" applyFont="0" applyFill="0" applyBorder="0" applyAlignment="0" applyProtection="0"/>
    <xf numFmtId="190"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213" fontId="83" fillId="0" borderId="0" applyFont="0" applyFill="0" applyBorder="0" applyAlignment="0" applyProtection="0"/>
    <xf numFmtId="214" fontId="22"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210" fontId="83" fillId="0" borderId="0" applyFont="0" applyFill="0" applyBorder="0" applyAlignment="0" applyProtection="0"/>
    <xf numFmtId="216" fontId="81" fillId="0" borderId="0" applyFont="0" applyFill="0" applyBorder="0" applyAlignment="0" applyProtection="0"/>
    <xf numFmtId="187"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8"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43" fontId="83" fillId="0" borderId="0" applyFont="0" applyFill="0" applyBorder="0" applyAlignment="0" applyProtection="0"/>
    <xf numFmtId="170"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1" fontId="83" fillId="0" borderId="0" applyFont="0" applyFill="0" applyBorder="0" applyAlignment="0" applyProtection="0"/>
    <xf numFmtId="201"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2" fontId="83" fillId="0" borderId="0" applyFont="0" applyFill="0" applyBorder="0" applyAlignment="0" applyProtection="0"/>
    <xf numFmtId="189"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03" fontId="22" fillId="0" borderId="0" applyFont="0" applyFill="0" applyBorder="0" applyAlignment="0" applyProtection="0"/>
    <xf numFmtId="203" fontId="22" fillId="0" borderId="0" applyFont="0" applyFill="0" applyBorder="0" applyAlignment="0" applyProtection="0"/>
    <xf numFmtId="170" fontId="83" fillId="0" borderId="0" applyFont="0" applyFill="0" applyBorder="0" applyAlignment="0" applyProtection="0"/>
    <xf numFmtId="200" fontId="83" fillId="0" borderId="0" applyFont="0" applyFill="0" applyBorder="0" applyAlignment="0" applyProtection="0"/>
    <xf numFmtId="200"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99" fontId="83" fillId="0" borderId="0" applyFont="0" applyFill="0" applyBorder="0" applyAlignment="0" applyProtection="0"/>
    <xf numFmtId="205" fontId="81"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6"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207"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68"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7" fontId="23" fillId="0" borderId="0" applyFont="0" applyFill="0" applyBorder="0" applyAlignment="0" applyProtection="0"/>
    <xf numFmtId="198"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96" fontId="83" fillId="0" borderId="0" applyFont="0" applyFill="0" applyBorder="0" applyAlignment="0" applyProtection="0"/>
    <xf numFmtId="186" fontId="83" fillId="0" borderId="0" applyFont="0" applyFill="0" applyBorder="0" applyAlignment="0" applyProtection="0"/>
    <xf numFmtId="208" fontId="83" fillId="0" borderId="0" applyFont="0" applyFill="0" applyBorder="0" applyAlignment="0" applyProtection="0"/>
    <xf numFmtId="186" fontId="83"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3" fillId="0" borderId="0"/>
    <xf numFmtId="0" fontId="43" fillId="0" borderId="0"/>
    <xf numFmtId="0" fontId="38" fillId="0" borderId="0"/>
    <xf numFmtId="0" fontId="86" fillId="0" borderId="0"/>
    <xf numFmtId="0" fontId="38" fillId="0" borderId="0"/>
    <xf numFmtId="209" fontId="83" fillId="0" borderId="0" applyFont="0" applyFill="0" applyBorder="0" applyAlignment="0" applyProtection="0"/>
    <xf numFmtId="193" fontId="83" fillId="0" borderId="0" applyFont="0" applyFill="0" applyBorder="0" applyAlignment="0" applyProtection="0"/>
    <xf numFmtId="0" fontId="22" fillId="0" borderId="0"/>
    <xf numFmtId="0" fontId="22" fillId="0" borderId="0"/>
    <xf numFmtId="0" fontId="88" fillId="0" borderId="0"/>
    <xf numFmtId="0" fontId="86" fillId="0" borderId="0"/>
    <xf numFmtId="0" fontId="22" fillId="0" borderId="0"/>
    <xf numFmtId="0" fontId="22" fillId="0" borderId="0"/>
    <xf numFmtId="0" fontId="38" fillId="0" borderId="0"/>
    <xf numFmtId="0" fontId="88" fillId="0" borderId="0"/>
    <xf numFmtId="0" fontId="88" fillId="0" borderId="0"/>
    <xf numFmtId="42" fontId="83" fillId="0" borderId="0" applyFont="0" applyFill="0" applyBorder="0" applyAlignment="0" applyProtection="0"/>
    <xf numFmtId="193" fontId="83" fillId="0" borderId="0" applyFont="0" applyFill="0" applyBorder="0" applyAlignment="0" applyProtection="0"/>
    <xf numFmtId="0" fontId="38" fillId="0" borderId="0"/>
    <xf numFmtId="168" fontId="23" fillId="0" borderId="0" applyFont="0" applyFill="0" applyBorder="0" applyAlignment="0" applyProtection="0"/>
    <xf numFmtId="41" fontId="83" fillId="0" borderId="0" applyFont="0" applyFill="0" applyBorder="0" applyAlignment="0" applyProtection="0"/>
    <xf numFmtId="168"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1" fontId="83" fillId="0" borderId="0" applyFont="0" applyFill="0" applyBorder="0" applyAlignment="0" applyProtection="0"/>
    <xf numFmtId="211"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2" fontId="83" fillId="0" borderId="0" applyFont="0" applyFill="0" applyBorder="0" applyAlignment="0" applyProtection="0"/>
    <xf numFmtId="190"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213" fontId="83" fillId="0" borderId="0" applyFont="0" applyFill="0" applyBorder="0" applyAlignment="0" applyProtection="0"/>
    <xf numFmtId="214" fontId="22"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210" fontId="83" fillId="0" borderId="0" applyFont="0" applyFill="0" applyBorder="0" applyAlignment="0" applyProtection="0"/>
    <xf numFmtId="216" fontId="81" fillId="0" borderId="0" applyFont="0" applyFill="0" applyBorder="0" applyAlignment="0" applyProtection="0"/>
    <xf numFmtId="187"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8"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5" fontId="83" fillId="0" borderId="0" applyFont="0" applyFill="0" applyBorder="0" applyAlignment="0" applyProtection="0"/>
    <xf numFmtId="215" fontId="83" fillId="0" borderId="0" applyFont="0" applyFill="0" applyBorder="0" applyAlignment="0" applyProtection="0"/>
    <xf numFmtId="43" fontId="83" fillId="0" borderId="0" applyFont="0" applyFill="0" applyBorder="0" applyAlignment="0" applyProtection="0"/>
    <xf numFmtId="170"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1" fontId="83" fillId="0" borderId="0" applyFont="0" applyFill="0" applyBorder="0" applyAlignment="0" applyProtection="0"/>
    <xf numFmtId="201"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2" fontId="83" fillId="0" borderId="0" applyFont="0" applyFill="0" applyBorder="0" applyAlignment="0" applyProtection="0"/>
    <xf numFmtId="189"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03" fontId="22" fillId="0" borderId="0" applyFont="0" applyFill="0" applyBorder="0" applyAlignment="0" applyProtection="0"/>
    <xf numFmtId="203" fontId="22" fillId="0" borderId="0" applyFont="0" applyFill="0" applyBorder="0" applyAlignment="0" applyProtection="0"/>
    <xf numFmtId="170" fontId="83" fillId="0" borderId="0" applyFont="0" applyFill="0" applyBorder="0" applyAlignment="0" applyProtection="0"/>
    <xf numFmtId="200" fontId="83" fillId="0" borderId="0" applyFont="0" applyFill="0" applyBorder="0" applyAlignment="0" applyProtection="0"/>
    <xf numFmtId="200"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99" fontId="83" fillId="0" borderId="0" applyFont="0" applyFill="0" applyBorder="0" applyAlignment="0" applyProtection="0"/>
    <xf numFmtId="205" fontId="81"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6"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199" fontId="83" fillId="0" borderId="0" applyFont="0" applyFill="0" applyBorder="0" applyAlignment="0" applyProtection="0"/>
    <xf numFmtId="200" fontId="83" fillId="0" borderId="0" applyFont="0" applyFill="0" applyBorder="0" applyAlignment="0" applyProtection="0"/>
    <xf numFmtId="207" fontId="83" fillId="0" borderId="0" applyFont="0" applyFill="0" applyBorder="0" applyAlignment="0" applyProtection="0"/>
    <xf numFmtId="174" fontId="83" fillId="0" borderId="0" applyFont="0" applyFill="0" applyBorder="0" applyAlignment="0" applyProtection="0"/>
    <xf numFmtId="202" fontId="83" fillId="0" borderId="0" applyFont="0" applyFill="0" applyBorder="0" applyAlignment="0" applyProtection="0"/>
    <xf numFmtId="199"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174" fontId="83" fillId="0" borderId="0" applyFont="0" applyFill="0" applyBorder="0" applyAlignment="0" applyProtection="0"/>
    <xf numFmtId="204" fontId="83" fillId="0" borderId="0" applyFont="0" applyFill="0" applyBorder="0" applyAlignment="0" applyProtection="0"/>
    <xf numFmtId="204" fontId="8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67" fontId="23" fillId="0" borderId="0" applyFont="0" applyFill="0" applyBorder="0" applyAlignment="0" applyProtection="0"/>
    <xf numFmtId="198" fontId="23" fillId="0" borderId="0" applyFont="0" applyFill="0" applyBorder="0" applyAlignment="0" applyProtection="0"/>
    <xf numFmtId="167" fontId="23" fillId="0" borderId="0" applyFont="0" applyFill="0" applyBorder="0" applyAlignment="0" applyProtection="0"/>
    <xf numFmtId="185" fontId="23" fillId="0" borderId="0" applyFont="0" applyFill="0" applyBorder="0" applyAlignment="0" applyProtection="0"/>
    <xf numFmtId="170" fontId="23" fillId="0" borderId="0" applyFont="0" applyFill="0" applyBorder="0" applyAlignment="0" applyProtection="0"/>
    <xf numFmtId="197" fontId="83" fillId="0" borderId="0" applyFont="0" applyFill="0" applyBorder="0" applyAlignment="0" applyProtection="0"/>
    <xf numFmtId="171" fontId="83" fillId="0" borderId="0" applyFont="0" applyFill="0" applyBorder="0" applyAlignment="0" applyProtection="0"/>
    <xf numFmtId="198" fontId="23" fillId="0" borderId="0" applyFont="0" applyFill="0" applyBorder="0" applyAlignment="0" applyProtection="0"/>
    <xf numFmtId="198" fontId="23" fillId="0" borderId="0" applyFont="0" applyFill="0" applyBorder="0" applyAlignment="0" applyProtection="0"/>
    <xf numFmtId="0" fontId="88" fillId="0" borderId="0"/>
    <xf numFmtId="0" fontId="81" fillId="0" borderId="0"/>
    <xf numFmtId="167" fontId="81" fillId="0" borderId="0" applyFont="0" applyFill="0" applyBorder="0" applyAlignment="0" applyProtection="0"/>
    <xf numFmtId="167" fontId="81" fillId="0" borderId="0" applyFont="0" applyFill="0" applyBorder="0" applyAlignment="0" applyProtection="0"/>
    <xf numFmtId="219" fontId="81" fillId="0" borderId="0" applyFont="0" applyFill="0" applyBorder="0" applyAlignment="0" applyProtection="0"/>
    <xf numFmtId="220" fontId="81" fillId="0" borderId="0" applyFont="0" applyFill="0" applyBorder="0" applyAlignment="0" applyProtection="0"/>
    <xf numFmtId="0" fontId="81" fillId="0" borderId="0"/>
    <xf numFmtId="219" fontId="81" fillId="0" borderId="0" applyFont="0" applyFill="0" applyBorder="0" applyAlignment="0" applyProtection="0"/>
    <xf numFmtId="0" fontId="22" fillId="0" borderId="0"/>
    <xf numFmtId="0" fontId="22" fillId="0" borderId="0"/>
    <xf numFmtId="0" fontId="43" fillId="0" borderId="0"/>
    <xf numFmtId="0" fontId="22" fillId="0" borderId="0"/>
    <xf numFmtId="0" fontId="81" fillId="0" borderId="0"/>
    <xf numFmtId="9" fontId="81" fillId="0" borderId="0" applyBorder="0" applyAlignment="0" applyProtection="0"/>
    <xf numFmtId="0" fontId="81" fillId="0" borderId="0"/>
    <xf numFmtId="0" fontId="89" fillId="9" borderId="0" applyNumberFormat="0" applyBorder="0" applyAlignment="0" applyProtection="0"/>
    <xf numFmtId="0" fontId="89" fillId="10" borderId="0" applyNumberFormat="0" applyBorder="0" applyAlignment="0" applyProtection="0"/>
    <xf numFmtId="0" fontId="89" fillId="11" borderId="0" applyNumberFormat="0" applyBorder="0" applyAlignment="0" applyProtection="0"/>
    <xf numFmtId="0" fontId="89" fillId="12" borderId="0" applyNumberFormat="0" applyBorder="0" applyAlignment="0" applyProtection="0"/>
    <xf numFmtId="0" fontId="89" fillId="13" borderId="0" applyNumberFormat="0" applyBorder="0" applyAlignment="0" applyProtection="0"/>
    <xf numFmtId="0" fontId="89" fillId="14" borderId="0" applyNumberFormat="0" applyBorder="0" applyAlignment="0" applyProtection="0"/>
    <xf numFmtId="221" fontId="90" fillId="0" borderId="0" applyProtection="0">
      <protection locked="0"/>
    </xf>
    <xf numFmtId="0" fontId="81" fillId="0" borderId="0"/>
    <xf numFmtId="222" fontId="16" fillId="0" borderId="0" applyFont="0" applyFill="0" applyBorder="0" applyAlignment="0" applyProtection="0"/>
    <xf numFmtId="0" fontId="81" fillId="0" borderId="0">
      <alignment wrapText="1"/>
    </xf>
    <xf numFmtId="0" fontId="89" fillId="15" borderId="0" applyNumberFormat="0" applyBorder="0" applyAlignment="0" applyProtection="0"/>
    <xf numFmtId="0" fontId="89" fillId="16" borderId="0" applyNumberFormat="0" applyBorder="0" applyAlignment="0" applyProtection="0"/>
    <xf numFmtId="0" fontId="89" fillId="17" borderId="0" applyNumberFormat="0" applyBorder="0" applyAlignment="0" applyProtection="0"/>
    <xf numFmtId="0" fontId="89" fillId="12" borderId="0" applyNumberFormat="0" applyBorder="0" applyAlignment="0" applyProtection="0"/>
    <xf numFmtId="0" fontId="89" fillId="15" borderId="0" applyNumberFormat="0" applyBorder="0" applyAlignment="0" applyProtection="0"/>
    <xf numFmtId="0" fontId="89" fillId="18" borderId="0" applyNumberFormat="0" applyBorder="0" applyAlignment="0" applyProtection="0"/>
    <xf numFmtId="0" fontId="91" fillId="19" borderId="0" applyNumberFormat="0" applyBorder="0" applyAlignment="0" applyProtection="0"/>
    <xf numFmtId="0" fontId="91" fillId="16" borderId="0" applyNumberFormat="0" applyBorder="0" applyAlignment="0" applyProtection="0"/>
    <xf numFmtId="0" fontId="91" fillId="17" borderId="0" applyNumberFormat="0" applyBorder="0" applyAlignment="0" applyProtection="0"/>
    <xf numFmtId="0" fontId="91" fillId="20" borderId="0" applyNumberFormat="0" applyBorder="0" applyAlignment="0" applyProtection="0"/>
    <xf numFmtId="0" fontId="91" fillId="21" borderId="0" applyNumberFormat="0" applyBorder="0" applyAlignment="0" applyProtection="0"/>
    <xf numFmtId="0" fontId="91" fillId="22" borderId="0" applyNumberFormat="0" applyBorder="0" applyAlignment="0" applyProtection="0"/>
    <xf numFmtId="222" fontId="16" fillId="0" borderId="0" applyFont="0" applyFill="0" applyBorder="0" applyAlignment="0" applyProtection="0"/>
    <xf numFmtId="0" fontId="81" fillId="0" borderId="0" applyFont="0" applyFill="0" applyBorder="0" applyAlignment="0" applyProtection="0"/>
    <xf numFmtId="9" fontId="92" fillId="0" borderId="0" applyBorder="0" applyAlignment="0" applyProtection="0"/>
    <xf numFmtId="0" fontId="81" fillId="0" borderId="0">
      <protection locked="0"/>
    </xf>
    <xf numFmtId="223" fontId="83" fillId="0" borderId="0" applyFont="0" applyFill="0" applyBorder="0" applyAlignment="0" applyProtection="0"/>
    <xf numFmtId="224" fontId="81" fillId="0" borderId="0" applyFont="0" applyFill="0" applyBorder="0" applyAlignment="0" applyProtection="0"/>
    <xf numFmtId="225" fontId="23" fillId="0" borderId="0" applyFont="0" applyFill="0" applyBorder="0" applyAlignment="0" applyProtection="0"/>
    <xf numFmtId="226" fontId="81" fillId="0" borderId="0" applyFont="0" applyFill="0" applyBorder="0" applyAlignment="0" applyProtection="0"/>
    <xf numFmtId="227" fontId="81" fillId="0" borderId="0" applyFont="0" applyFill="0" applyBorder="0" applyAlignment="0" applyProtection="0"/>
    <xf numFmtId="228" fontId="23" fillId="0" borderId="0" applyFont="0" applyFill="0" applyBorder="0" applyAlignment="0" applyProtection="0"/>
    <xf numFmtId="190" fontId="93" fillId="0" borderId="0" applyFont="0" applyFill="0" applyBorder="0" applyAlignment="0" applyProtection="0"/>
    <xf numFmtId="227" fontId="81" fillId="0" borderId="0" applyFont="0" applyFill="0" applyBorder="0" applyAlignment="0" applyProtection="0"/>
    <xf numFmtId="190" fontId="93" fillId="0" borderId="0" applyFont="0" applyFill="0" applyBorder="0" applyAlignment="0" applyProtection="0"/>
    <xf numFmtId="189" fontId="81" fillId="0" borderId="0" applyFont="0" applyFill="0" applyBorder="0" applyAlignment="0" applyProtection="0"/>
    <xf numFmtId="229" fontId="81" fillId="0" borderId="0" applyFont="0" applyFill="0" applyBorder="0" applyAlignment="0" applyProtection="0"/>
    <xf numFmtId="189" fontId="93" fillId="0" borderId="0" applyFont="0" applyFill="0" applyBorder="0" applyAlignment="0" applyProtection="0"/>
    <xf numFmtId="167" fontId="23" fillId="0" borderId="0" applyFont="0" applyFill="0" applyBorder="0" applyAlignment="0" applyProtection="0"/>
    <xf numFmtId="222" fontId="16" fillId="0" borderId="0" applyFont="0" applyFill="0" applyBorder="0" applyAlignment="0" applyProtection="0"/>
    <xf numFmtId="0" fontId="81" fillId="0" borderId="0"/>
    <xf numFmtId="0" fontId="81" fillId="0" borderId="0"/>
    <xf numFmtId="0" fontId="81" fillId="0" borderId="0"/>
    <xf numFmtId="0" fontId="94" fillId="0" borderId="0"/>
    <xf numFmtId="0" fontId="80" fillId="7" borderId="26" applyNumberFormat="0" applyAlignment="0" applyProtection="0"/>
    <xf numFmtId="0" fontId="95" fillId="0" borderId="0"/>
    <xf numFmtId="230" fontId="83" fillId="0" borderId="0" applyFont="0" applyFill="0" applyBorder="0" applyAlignment="0" applyProtection="0"/>
    <xf numFmtId="231" fontId="96" fillId="0" borderId="0"/>
    <xf numFmtId="231" fontId="96" fillId="0" borderId="0"/>
    <xf numFmtId="231" fontId="96" fillId="0" borderId="0"/>
    <xf numFmtId="231" fontId="96" fillId="0" borderId="0"/>
    <xf numFmtId="231" fontId="96" fillId="0" borderId="0"/>
    <xf numFmtId="231" fontId="96" fillId="0" borderId="0"/>
    <xf numFmtId="231" fontId="96" fillId="0" borderId="0"/>
    <xf numFmtId="231" fontId="96" fillId="0" borderId="0"/>
    <xf numFmtId="220" fontId="97" fillId="0" borderId="0" applyFont="0" applyFill="0" applyBorder="0" applyAlignment="0" applyProtection="0">
      <alignment vertical="center"/>
    </xf>
    <xf numFmtId="41" fontId="22" fillId="0" borderId="0" applyFont="0" applyFill="0" applyBorder="0" applyAlignment="0" applyProtection="0"/>
    <xf numFmtId="41" fontId="22" fillId="0" borderId="0" applyFont="0" applyFill="0" applyBorder="0" applyAlignment="0" applyProtection="0"/>
    <xf numFmtId="41" fontId="81" fillId="0" borderId="0" applyFont="0" applyFill="0" applyBorder="0" applyAlignment="0" applyProtection="0"/>
    <xf numFmtId="41" fontId="8" fillId="0" borderId="0" applyFont="0" applyFill="0" applyBorder="0" applyAlignment="0" applyProtection="0"/>
    <xf numFmtId="43" fontId="22" fillId="0" borderId="0" applyFont="0" applyFill="0" applyBorder="0" applyAlignment="0" applyProtection="0"/>
    <xf numFmtId="0" fontId="98" fillId="0" borderId="0"/>
    <xf numFmtId="43" fontId="22" fillId="0" borderId="0" applyFont="0" applyFill="0" applyBorder="0" applyAlignment="0" applyProtection="0"/>
    <xf numFmtId="43" fontId="22" fillId="0" borderId="0" applyFont="0" applyFill="0" applyBorder="0" applyAlignment="0" applyProtection="0"/>
    <xf numFmtId="43" fontId="99"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99"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0" fontId="8" fillId="0" borderId="0" applyFont="0" applyFill="0" applyBorder="0" applyAlignment="0" applyProtection="0"/>
    <xf numFmtId="174" fontId="10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174" fontId="10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174" fontId="81" fillId="0" borderId="0" applyFont="0" applyFill="0" applyBorder="0" applyAlignment="0" applyProtection="0"/>
    <xf numFmtId="43" fontId="98" fillId="0" borderId="0" applyFont="0" applyFill="0" applyBorder="0" applyAlignment="0" applyProtection="0"/>
    <xf numFmtId="43" fontId="8"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232" fontId="103" fillId="0" borderId="0" applyFont="0" applyFill="0" applyBorder="0" applyAlignment="0" applyProtection="0"/>
    <xf numFmtId="170"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4" fontId="81" fillId="0" borderId="0" applyFont="0" applyFill="0" applyBorder="0" applyAlignment="0" applyProtection="0"/>
    <xf numFmtId="43" fontId="8" fillId="0" borderId="0" applyFont="0" applyFill="0" applyBorder="0" applyAlignment="0" applyProtection="0"/>
    <xf numFmtId="43" fontId="8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1"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43" fontId="100" fillId="0" borderId="0" applyFont="0" applyFill="0" applyBorder="0" applyAlignment="0" applyProtection="0"/>
    <xf numFmtId="43" fontId="8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3" fillId="0" borderId="0" applyFont="0" applyFill="0" applyBorder="0" applyAlignment="0" applyProtection="0"/>
    <xf numFmtId="43" fontId="22" fillId="0" borderId="0" applyFont="0" applyFill="0" applyBorder="0" applyAlignment="0" applyProtection="0"/>
    <xf numFmtId="43" fontId="81" fillId="0" borderId="0" applyFont="0" applyFill="0" applyBorder="0" applyAlignment="0" applyProtection="0"/>
    <xf numFmtId="43" fontId="8"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8" fillId="0" borderId="0" applyFont="0" applyFill="0" applyBorder="0" applyAlignment="0" applyProtection="0"/>
    <xf numFmtId="233" fontId="104" fillId="0" borderId="0"/>
    <xf numFmtId="43" fontId="22" fillId="0" borderId="0" applyFont="0" applyFill="0" applyBorder="0" applyAlignment="0" applyProtection="0"/>
    <xf numFmtId="234" fontId="105"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174"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 fontId="22" fillId="0" borderId="0" applyFont="0" applyFill="0" applyBorder="0" applyAlignment="0" applyProtection="0"/>
    <xf numFmtId="235" fontId="22" fillId="0" borderId="0" applyFont="0" applyFill="0" applyBorder="0" applyAlignment="0" applyProtection="0"/>
    <xf numFmtId="167" fontId="20" fillId="0" borderId="28" applyBorder="0"/>
    <xf numFmtId="184" fontId="22" fillId="0" borderId="0" applyFont="0" applyFill="0" applyBorder="0" applyAlignment="0" applyProtection="0"/>
    <xf numFmtId="219" fontId="106" fillId="0" borderId="0" applyFont="0" applyFill="0" applyBorder="0" applyAlignment="0" applyProtection="0"/>
    <xf numFmtId="44" fontId="24" fillId="0" borderId="0" applyFont="0" applyFill="0" applyBorder="0" applyAlignment="0" applyProtection="0"/>
    <xf numFmtId="236" fontId="22" fillId="0" borderId="0" applyFont="0" applyFill="0" applyBorder="0" applyAlignment="0" applyProtection="0"/>
    <xf numFmtId="234" fontId="90" fillId="0" borderId="0">
      <protection locked="0"/>
    </xf>
    <xf numFmtId="237" fontId="22" fillId="0" borderId="0" applyFont="0" applyFill="0" applyBorder="0" applyAlignment="0" applyProtection="0"/>
    <xf numFmtId="0" fontId="2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8" fontId="23" fillId="0" borderId="0" applyFont="0" applyFill="0" applyBorder="0" applyAlignment="0" applyProtection="0"/>
    <xf numFmtId="238" fontId="23" fillId="0" borderId="0" applyFont="0" applyFill="0" applyBorder="0" applyAlignment="0" applyProtection="0"/>
    <xf numFmtId="239" fontId="81" fillId="0" borderId="0" applyFont="0" applyFill="0" applyBorder="0" applyAlignment="0" applyProtection="0"/>
    <xf numFmtId="222" fontId="16" fillId="0" borderId="0" applyFont="0" applyFill="0" applyBorder="0" applyAlignment="0" applyProtection="0"/>
    <xf numFmtId="0" fontId="104" fillId="0" borderId="0"/>
    <xf numFmtId="2" fontId="22" fillId="0" borderId="0" applyFont="0" applyFill="0" applyBorder="0" applyAlignment="0" applyProtection="0"/>
    <xf numFmtId="38" fontId="107" fillId="8" borderId="0" applyNumberFormat="0" applyBorder="0" applyAlignment="0" applyProtection="0"/>
    <xf numFmtId="240" fontId="48" fillId="23" borderId="0" applyBorder="0" applyProtection="0"/>
    <xf numFmtId="0" fontId="108" fillId="0" borderId="0">
      <alignment horizontal="left"/>
    </xf>
    <xf numFmtId="0" fontId="109" fillId="0" borderId="29" applyNumberFormat="0" applyAlignment="0" applyProtection="0">
      <alignment horizontal="left" vertical="center"/>
    </xf>
    <xf numFmtId="0" fontId="109" fillId="0" borderId="7">
      <alignment horizontal="left" vertical="center"/>
    </xf>
    <xf numFmtId="0" fontId="110" fillId="0" borderId="0" applyNumberFormat="0" applyFill="0" applyBorder="0" applyAlignment="0" applyProtection="0"/>
    <xf numFmtId="0" fontId="110"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241" fontId="23" fillId="0" borderId="0">
      <protection locked="0"/>
    </xf>
    <xf numFmtId="241" fontId="23" fillId="0" borderId="0">
      <protection locked="0"/>
    </xf>
    <xf numFmtId="0" fontId="111"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13" fillId="0" borderId="0" applyNumberFormat="0" applyFill="0" applyBorder="0" applyAlignment="0" applyProtection="0">
      <alignment vertical="top"/>
      <protection locked="0"/>
    </xf>
    <xf numFmtId="172" fontId="83" fillId="0" borderId="0" applyFont="0" applyFill="0" applyBorder="0" applyAlignment="0" applyProtection="0"/>
    <xf numFmtId="0" fontId="81" fillId="0" borderId="0" applyFont="0" applyFill="0" applyBorder="0" applyAlignment="0" applyProtection="0"/>
    <xf numFmtId="10" fontId="107" fillId="8" borderId="1" applyNumberFormat="0" applyBorder="0" applyAlignment="0" applyProtection="0"/>
    <xf numFmtId="10" fontId="107" fillId="8" borderId="1" applyNumberFormat="0" applyBorder="0" applyAlignment="0" applyProtection="0"/>
    <xf numFmtId="38" fontId="38" fillId="0" borderId="0" applyFont="0" applyFill="0" applyBorder="0" applyAlignment="0" applyProtection="0"/>
    <xf numFmtId="40" fontId="38" fillId="0" borderId="0" applyFont="0" applyFill="0" applyBorder="0" applyAlignment="0" applyProtection="0"/>
    <xf numFmtId="168" fontId="81" fillId="0" borderId="0" applyFont="0" applyFill="0" applyBorder="0" applyAlignment="0" applyProtection="0"/>
    <xf numFmtId="170" fontId="81" fillId="0" borderId="0" applyFont="0" applyFill="0" applyBorder="0" applyAlignment="0" applyProtection="0"/>
    <xf numFmtId="0" fontId="114" fillId="0" borderId="30"/>
    <xf numFmtId="167" fontId="22" fillId="0" borderId="0" applyFont="0" applyFill="0" applyBorder="0" applyAlignment="0" applyProtection="0"/>
    <xf numFmtId="169" fontId="22" fillId="0" borderId="0" applyFont="0" applyFill="0" applyBorder="0" applyAlignment="0" applyProtection="0"/>
    <xf numFmtId="242" fontId="81" fillId="0" borderId="0" applyFont="0" applyFill="0" applyBorder="0" applyAlignment="0" applyProtection="0"/>
    <xf numFmtId="243" fontId="81" fillId="0" borderId="0" applyFont="0" applyFill="0" applyBorder="0" applyAlignment="0" applyProtection="0"/>
    <xf numFmtId="0" fontId="115" fillId="0" borderId="0" applyNumberFormat="0" applyFont="0" applyFill="0" applyAlignment="0"/>
    <xf numFmtId="37" fontId="116" fillId="0" borderId="0"/>
    <xf numFmtId="244" fontId="96" fillId="0" borderId="0"/>
    <xf numFmtId="0" fontId="22" fillId="0" borderId="0"/>
    <xf numFmtId="0" fontId="22" fillId="0" borderId="0"/>
    <xf numFmtId="0" fontId="22" fillId="0" borderId="0"/>
    <xf numFmtId="0" fontId="8" fillId="0" borderId="0"/>
    <xf numFmtId="0" fontId="8" fillId="0" borderId="0"/>
    <xf numFmtId="245" fontId="22" fillId="0" borderId="0"/>
    <xf numFmtId="0" fontId="117" fillId="0" borderId="0"/>
    <xf numFmtId="245" fontId="117" fillId="0" borderId="0"/>
    <xf numFmtId="0" fontId="8" fillId="0" borderId="0"/>
    <xf numFmtId="0" fontId="8" fillId="0" borderId="0"/>
    <xf numFmtId="0" fontId="99" fillId="0" borderId="0"/>
    <xf numFmtId="0" fontId="81" fillId="0" borderId="0"/>
    <xf numFmtId="177" fontId="22" fillId="0" borderId="0"/>
    <xf numFmtId="245" fontId="22" fillId="0" borderId="0"/>
    <xf numFmtId="0" fontId="22" fillId="0" borderId="0"/>
    <xf numFmtId="0" fontId="98" fillId="0" borderId="0"/>
    <xf numFmtId="0" fontId="22" fillId="0" borderId="0"/>
    <xf numFmtId="0" fontId="81" fillId="0" borderId="0"/>
    <xf numFmtId="0" fontId="14" fillId="0" borderId="0"/>
    <xf numFmtId="0" fontId="118" fillId="0" borderId="0"/>
    <xf numFmtId="0" fontId="119" fillId="0" borderId="0"/>
    <xf numFmtId="0" fontId="22" fillId="0" borderId="0"/>
    <xf numFmtId="0" fontId="22" fillId="0" borderId="0"/>
    <xf numFmtId="0" fontId="22" fillId="0" borderId="0"/>
    <xf numFmtId="177" fontId="22" fillId="0" borderId="0"/>
    <xf numFmtId="0" fontId="22" fillId="0" borderId="0"/>
    <xf numFmtId="0" fontId="22" fillId="0" borderId="0"/>
    <xf numFmtId="0" fontId="22" fillId="0" borderId="0"/>
    <xf numFmtId="0" fontId="14" fillId="0" borderId="0"/>
    <xf numFmtId="177" fontId="22" fillId="0" borderId="0"/>
    <xf numFmtId="0" fontId="22" fillId="0" borderId="0"/>
    <xf numFmtId="0" fontId="1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7" fontId="22" fillId="0" borderId="0"/>
    <xf numFmtId="245" fontId="8" fillId="0" borderId="0"/>
    <xf numFmtId="0" fontId="43" fillId="0" borderId="0"/>
    <xf numFmtId="0" fontId="22" fillId="0" borderId="0"/>
    <xf numFmtId="0" fontId="22" fillId="0" borderId="0"/>
    <xf numFmtId="0" fontId="24" fillId="0" borderId="0"/>
    <xf numFmtId="0" fontId="22" fillId="0" borderId="0"/>
    <xf numFmtId="0" fontId="81" fillId="0" borderId="0"/>
    <xf numFmtId="0" fontId="83" fillId="0" borderId="0"/>
    <xf numFmtId="0" fontId="87" fillId="0" borderId="0"/>
    <xf numFmtId="168" fontId="22" fillId="0" borderId="0"/>
    <xf numFmtId="0" fontId="81" fillId="0" borderId="0"/>
    <xf numFmtId="219" fontId="22" fillId="0" borderId="0"/>
    <xf numFmtId="177" fontId="22" fillId="0" borderId="0"/>
    <xf numFmtId="177" fontId="22" fillId="0" borderId="0"/>
    <xf numFmtId="177" fontId="22" fillId="0" borderId="0"/>
    <xf numFmtId="219" fontId="22" fillId="0" borderId="0"/>
    <xf numFmtId="174" fontId="22" fillId="0" borderId="0"/>
    <xf numFmtId="0" fontId="83" fillId="0" borderId="0"/>
    <xf numFmtId="245" fontId="101" fillId="0" borderId="0"/>
    <xf numFmtId="0" fontId="100" fillId="0" borderId="0"/>
    <xf numFmtId="0" fontId="22" fillId="0" borderId="0"/>
    <xf numFmtId="0" fontId="22" fillId="0" borderId="0"/>
    <xf numFmtId="0" fontId="121" fillId="0" borderId="0" applyNumberFormat="0" applyFill="0" applyBorder="0" applyProtection="0">
      <alignment vertical="top" wrapText="1"/>
    </xf>
    <xf numFmtId="0" fontId="14" fillId="0" borderId="0"/>
    <xf numFmtId="0" fontId="8" fillId="0" borderId="0"/>
    <xf numFmtId="0" fontId="81" fillId="0" borderId="0"/>
    <xf numFmtId="0" fontId="117" fillId="0" borderId="0"/>
    <xf numFmtId="0" fontId="8" fillId="0" borderId="0"/>
    <xf numFmtId="0" fontId="8" fillId="0" borderId="0"/>
    <xf numFmtId="0" fontId="8" fillId="0" borderId="0"/>
    <xf numFmtId="0" fontId="8" fillId="0" borderId="0"/>
    <xf numFmtId="0" fontId="8" fillId="0" borderId="0"/>
    <xf numFmtId="0" fontId="8" fillId="0" borderId="0"/>
    <xf numFmtId="0" fontId="122"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8" fillId="0" borderId="0"/>
    <xf numFmtId="0" fontId="123" fillId="0" borderId="0">
      <protection locked="0"/>
    </xf>
    <xf numFmtId="0" fontId="22" fillId="0" borderId="0"/>
    <xf numFmtId="0" fontId="8" fillId="0" borderId="0"/>
    <xf numFmtId="0" fontId="8" fillId="0" borderId="0"/>
    <xf numFmtId="0" fontId="43" fillId="0" borderId="0"/>
    <xf numFmtId="0" fontId="124" fillId="0" borderId="0"/>
    <xf numFmtId="0" fontId="125" fillId="0" borderId="0"/>
    <xf numFmtId="0" fontId="33" fillId="0" borderId="0">
      <protection locked="0"/>
    </xf>
    <xf numFmtId="0" fontId="8" fillId="0" borderId="0"/>
    <xf numFmtId="0" fontId="8" fillId="0" borderId="0"/>
    <xf numFmtId="0" fontId="126" fillId="0" borderId="0"/>
    <xf numFmtId="0" fontId="16" fillId="0" borderId="0"/>
    <xf numFmtId="0" fontId="35" fillId="0" borderId="0"/>
    <xf numFmtId="0" fontId="22" fillId="0" borderId="0" applyAlignment="0">
      <alignment vertical="top" wrapText="1"/>
      <protection locked="0"/>
    </xf>
    <xf numFmtId="0" fontId="8" fillId="0" borderId="0"/>
    <xf numFmtId="0" fontId="22" fillId="0" borderId="0"/>
    <xf numFmtId="0" fontId="81" fillId="0" borderId="0"/>
    <xf numFmtId="0" fontId="22" fillId="0" borderId="0"/>
    <xf numFmtId="177" fontId="22" fillId="0" borderId="0"/>
    <xf numFmtId="0" fontId="43" fillId="0" borderId="0"/>
    <xf numFmtId="0" fontId="8" fillId="0" borderId="0"/>
    <xf numFmtId="0" fontId="22" fillId="0" borderId="0"/>
    <xf numFmtId="0" fontId="43" fillId="0" borderId="0"/>
    <xf numFmtId="0" fontId="8" fillId="0" borderId="0"/>
    <xf numFmtId="0" fontId="99" fillId="0" borderId="0"/>
    <xf numFmtId="0" fontId="14" fillId="0" borderId="0"/>
    <xf numFmtId="0" fontId="119" fillId="0" borderId="0"/>
    <xf numFmtId="0" fontId="81" fillId="0" borderId="0"/>
    <xf numFmtId="0" fontId="99" fillId="0" borderId="0"/>
    <xf numFmtId="246" fontId="127" fillId="0" borderId="0" applyFont="0" applyFill="0" applyBorder="0" applyProtection="0">
      <alignment vertical="top" wrapText="1"/>
    </xf>
    <xf numFmtId="170" fontId="81" fillId="0" borderId="0" applyFont="0" applyFill="0" applyBorder="0" applyAlignment="0" applyProtection="0"/>
    <xf numFmtId="168" fontId="81" fillId="0" borderId="0" applyFont="0" applyFill="0" applyBorder="0" applyAlignment="0" applyProtection="0"/>
    <xf numFmtId="0" fontId="22" fillId="0" borderId="0" applyFont="0" applyFill="0" applyBorder="0" applyAlignment="0" applyProtection="0"/>
    <xf numFmtId="0" fontId="21" fillId="0" borderId="0"/>
    <xf numFmtId="0" fontId="128" fillId="24" borderId="31" applyNumberFormat="0" applyAlignment="0" applyProtection="0"/>
    <xf numFmtId="10" fontId="22" fillId="0" borderId="0" applyFont="0" applyFill="0" applyBorder="0" applyAlignment="0" applyProtection="0"/>
    <xf numFmtId="10" fontId="22" fillId="0" borderId="0" applyFont="0" applyFill="0" applyBorder="0" applyAlignment="0" applyProtection="0"/>
    <xf numFmtId="9" fontId="1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106" fillId="0" borderId="0" applyFont="0" applyFill="0" applyBorder="0" applyAlignment="0" applyProtection="0"/>
    <xf numFmtId="9" fontId="14"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247" fontId="24" fillId="0" borderId="0"/>
    <xf numFmtId="172" fontId="83" fillId="0" borderId="0" applyFont="0" applyFill="0" applyBorder="0" applyAlignment="0" applyProtection="0"/>
    <xf numFmtId="0" fontId="38" fillId="0" borderId="0"/>
    <xf numFmtId="0" fontId="38" fillId="0" borderId="0"/>
    <xf numFmtId="172" fontId="83" fillId="0" borderId="0" applyFont="0" applyFill="0" applyBorder="0" applyAlignment="0" applyProtection="0"/>
    <xf numFmtId="186"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71" fontId="83" fillId="0" borderId="0" applyFont="0" applyFill="0" applyBorder="0" applyAlignment="0" applyProtection="0"/>
    <xf numFmtId="197"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4" fontId="22"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21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68"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41" fontId="83" fillId="0" borderId="0" applyFont="0" applyFill="0" applyBorder="0" applyAlignment="0" applyProtection="0"/>
    <xf numFmtId="168"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4" fontId="22"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42"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167" fontId="83" fillId="0" borderId="0" applyFont="0" applyFill="0" applyBorder="0" applyAlignment="0" applyProtection="0"/>
    <xf numFmtId="172"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93" fontId="83" fillId="0" borderId="0" applyFont="0" applyFill="0" applyBorder="0" applyAlignment="0" applyProtection="0"/>
    <xf numFmtId="186" fontId="83" fillId="0" borderId="0" applyFont="0" applyFill="0" applyBorder="0" applyAlignment="0" applyProtection="0"/>
    <xf numFmtId="193" fontId="83" fillId="0" borderId="0" applyFont="0" applyFill="0" applyBorder="0" applyAlignment="0" applyProtection="0"/>
    <xf numFmtId="172"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71" fontId="83" fillId="0" borderId="0" applyFont="0" applyFill="0" applyBorder="0" applyAlignment="0" applyProtection="0"/>
    <xf numFmtId="197" fontId="83" fillId="0" borderId="0" applyFont="0" applyFill="0" applyBorder="0" applyAlignment="0" applyProtection="0"/>
    <xf numFmtId="42"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194" fontId="22"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212" fontId="83" fillId="0" borderId="0" applyFont="0" applyFill="0" applyBorder="0" applyAlignment="0" applyProtection="0"/>
    <xf numFmtId="167"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93" fontId="83" fillId="0" borderId="0" applyFont="0" applyFill="0" applyBorder="0" applyAlignment="0" applyProtection="0"/>
    <xf numFmtId="14" fontId="24" fillId="0" borderId="0"/>
    <xf numFmtId="0" fontId="114" fillId="0" borderId="0"/>
    <xf numFmtId="0" fontId="129" fillId="0" borderId="0"/>
    <xf numFmtId="248" fontId="130" fillId="0" borderId="5">
      <alignment horizontal="right" vertical="center"/>
    </xf>
    <xf numFmtId="249" fontId="83" fillId="0" borderId="5">
      <alignment horizontal="right" vertical="center"/>
    </xf>
    <xf numFmtId="250" fontId="22" fillId="0" borderId="5">
      <alignment horizontal="right" vertical="center"/>
    </xf>
    <xf numFmtId="250" fontId="22" fillId="0" borderId="5">
      <alignment horizontal="right" vertical="center"/>
    </xf>
    <xf numFmtId="251" fontId="22" fillId="0" borderId="5">
      <alignment horizontal="right" vertical="center"/>
    </xf>
    <xf numFmtId="251" fontId="22" fillId="0" borderId="5">
      <alignment horizontal="right" vertical="center"/>
    </xf>
    <xf numFmtId="250" fontId="22" fillId="0" borderId="5">
      <alignment horizontal="right" vertical="center"/>
    </xf>
    <xf numFmtId="250" fontId="22" fillId="0" borderId="5">
      <alignment horizontal="right" vertical="center"/>
    </xf>
    <xf numFmtId="252" fontId="22" fillId="0" borderId="5">
      <alignment horizontal="right" vertical="center"/>
    </xf>
    <xf numFmtId="252" fontId="22" fillId="0" borderId="5">
      <alignment horizontal="right" vertical="center"/>
    </xf>
    <xf numFmtId="249" fontId="83" fillId="0" borderId="5">
      <alignment horizontal="right" vertical="center"/>
    </xf>
    <xf numFmtId="253" fontId="24" fillId="0" borderId="5">
      <alignment horizontal="right" vertical="center"/>
    </xf>
    <xf numFmtId="251" fontId="22" fillId="0" borderId="5">
      <alignment horizontal="right" vertical="center"/>
    </xf>
    <xf numFmtId="251" fontId="22" fillId="0" borderId="5">
      <alignment horizontal="right" vertical="center"/>
    </xf>
    <xf numFmtId="248" fontId="81" fillId="0" borderId="0">
      <alignment horizontal="right" vertical="center"/>
    </xf>
    <xf numFmtId="248" fontId="81" fillId="0" borderId="0">
      <alignment horizontal="right" vertical="center"/>
    </xf>
    <xf numFmtId="254" fontId="81" fillId="0" borderId="0">
      <alignment horizontal="right" vertical="center"/>
    </xf>
    <xf numFmtId="254" fontId="81" fillId="0" borderId="0">
      <alignment horizontal="right" vertical="center"/>
    </xf>
    <xf numFmtId="254" fontId="81" fillId="0" borderId="0">
      <alignment horizontal="right" vertical="center"/>
    </xf>
    <xf numFmtId="254" fontId="81" fillId="0" borderId="0">
      <alignment horizontal="right" vertical="center"/>
    </xf>
    <xf numFmtId="251" fontId="81" fillId="0" borderId="0">
      <alignment horizontal="right" vertical="center"/>
    </xf>
    <xf numFmtId="251" fontId="81" fillId="0" borderId="0">
      <alignment horizontal="right" vertical="center"/>
    </xf>
    <xf numFmtId="254" fontId="81" fillId="0" borderId="0">
      <alignment horizontal="right" vertical="center"/>
    </xf>
    <xf numFmtId="254" fontId="81" fillId="0" borderId="0">
      <alignment horizontal="right" vertical="center"/>
    </xf>
    <xf numFmtId="248" fontId="81" fillId="0" borderId="0">
      <alignment horizontal="right" vertical="center"/>
    </xf>
    <xf numFmtId="248" fontId="81" fillId="0" borderId="0">
      <alignment horizontal="right" vertical="center"/>
    </xf>
    <xf numFmtId="248" fontId="81" fillId="0" borderId="0">
      <alignment horizontal="right" vertical="center"/>
    </xf>
    <xf numFmtId="248" fontId="81" fillId="0" borderId="0">
      <alignment horizontal="right" vertical="center"/>
    </xf>
    <xf numFmtId="248" fontId="130" fillId="0" borderId="5">
      <alignment horizontal="right" vertical="center"/>
    </xf>
    <xf numFmtId="255" fontId="22" fillId="23" borderId="32" applyFont="0" applyFill="0" applyBorder="0"/>
    <xf numFmtId="255" fontId="22" fillId="23" borderId="32" applyFont="0" applyFill="0" applyBorder="0"/>
    <xf numFmtId="184" fontId="24" fillId="23" borderId="32" applyFont="0" applyFill="0" applyBorder="0"/>
    <xf numFmtId="248" fontId="130" fillId="0" borderId="5">
      <alignment horizontal="right" vertical="center"/>
    </xf>
    <xf numFmtId="248" fontId="130" fillId="0" borderId="5">
      <alignment horizontal="right" vertical="center"/>
    </xf>
    <xf numFmtId="256" fontId="24" fillId="0" borderId="2"/>
    <xf numFmtId="0" fontId="22" fillId="0" borderId="27" applyNumberFormat="0" applyFont="0" applyFill="0" applyAlignment="0" applyProtection="0"/>
    <xf numFmtId="0" fontId="22" fillId="0" borderId="27" applyNumberFormat="0" applyFont="0" applyFill="0" applyAlignment="0" applyProtection="0"/>
    <xf numFmtId="186" fontId="130" fillId="0" borderId="5">
      <alignment horizontal="center"/>
    </xf>
    <xf numFmtId="257" fontId="131" fillId="0" borderId="0"/>
    <xf numFmtId="258" fontId="130" fillId="0" borderId="1"/>
    <xf numFmtId="258" fontId="130" fillId="0" borderId="1"/>
    <xf numFmtId="0" fontId="132" fillId="0" borderId="0"/>
    <xf numFmtId="0" fontId="132" fillId="0" borderId="0"/>
    <xf numFmtId="0" fontId="133" fillId="25" borderId="1">
      <alignment horizontal="left" vertical="center"/>
    </xf>
    <xf numFmtId="0" fontId="133" fillId="25" borderId="1">
      <alignment horizontal="left" vertical="center"/>
    </xf>
    <xf numFmtId="179" fontId="23" fillId="0" borderId="0" applyFont="0" applyFill="0" applyBorder="0" applyAlignment="0" applyProtection="0"/>
    <xf numFmtId="175" fontId="23" fillId="0" borderId="0" applyFont="0" applyFill="0" applyBorder="0" applyAlignment="0" applyProtection="0"/>
    <xf numFmtId="190" fontId="93" fillId="0" borderId="0" applyFont="0" applyFill="0" applyBorder="0" applyAlignment="0" applyProtection="0"/>
    <xf numFmtId="0" fontId="91" fillId="26" borderId="0" applyNumberFormat="0" applyBorder="0" applyAlignment="0" applyProtection="0"/>
    <xf numFmtId="0" fontId="91" fillId="27" borderId="0" applyNumberFormat="0" applyBorder="0" applyAlignment="0" applyProtection="0"/>
    <xf numFmtId="0" fontId="91" fillId="28" borderId="0" applyNumberFormat="0" applyBorder="0" applyAlignment="0" applyProtection="0"/>
    <xf numFmtId="0" fontId="91" fillId="20" borderId="0" applyNumberFormat="0" applyBorder="0" applyAlignment="0" applyProtection="0"/>
    <xf numFmtId="0" fontId="91" fillId="21" borderId="0" applyNumberFormat="0" applyBorder="0" applyAlignment="0" applyProtection="0"/>
    <xf numFmtId="0" fontId="91" fillId="29" borderId="0" applyNumberFormat="0" applyBorder="0" applyAlignment="0" applyProtection="0"/>
    <xf numFmtId="0" fontId="134" fillId="0" borderId="0" applyNumberFormat="0" applyFill="0" applyBorder="0" applyAlignment="0" applyProtection="0"/>
    <xf numFmtId="0" fontId="135" fillId="30" borderId="33" applyNumberFormat="0" applyAlignment="0" applyProtection="0"/>
    <xf numFmtId="0" fontId="136" fillId="31" borderId="0" applyNumberFormat="0" applyBorder="0" applyAlignment="0" applyProtection="0"/>
    <xf numFmtId="0" fontId="83" fillId="32" borderId="34" applyNumberFormat="0" applyFont="0" applyAlignment="0" applyProtection="0"/>
    <xf numFmtId="0" fontId="137" fillId="0" borderId="35" applyNumberFormat="0" applyFill="0" applyAlignment="0" applyProtection="0"/>
    <xf numFmtId="0" fontId="138" fillId="0" borderId="0" applyFont="0" applyFill="0" applyBorder="0" applyAlignment="0" applyProtection="0"/>
    <xf numFmtId="0" fontId="138" fillId="0" borderId="0" applyFont="0" applyFill="0" applyBorder="0" applyAlignment="0" applyProtection="0"/>
    <xf numFmtId="0" fontId="43" fillId="0" borderId="0">
      <alignment vertical="center"/>
    </xf>
    <xf numFmtId="40" fontId="139" fillId="0" borderId="0" applyFont="0" applyFill="0" applyBorder="0" applyAlignment="0" applyProtection="0"/>
    <xf numFmtId="38" fontId="139" fillId="0" borderId="0" applyFont="0" applyFill="0" applyBorder="0" applyAlignment="0" applyProtection="0"/>
    <xf numFmtId="0" fontId="139" fillId="0" borderId="0" applyFont="0" applyFill="0" applyBorder="0" applyAlignment="0" applyProtection="0"/>
    <xf numFmtId="0" fontId="139" fillId="0" borderId="0" applyFont="0" applyFill="0" applyBorder="0" applyAlignment="0" applyProtection="0"/>
    <xf numFmtId="9" fontId="81" fillId="0" borderId="0" applyBorder="0" applyAlignment="0" applyProtection="0"/>
    <xf numFmtId="0" fontId="140" fillId="0" borderId="0"/>
    <xf numFmtId="0" fontId="141" fillId="0" borderId="0" applyFont="0" applyFill="0" applyBorder="0" applyAlignment="0" applyProtection="0"/>
    <xf numFmtId="0" fontId="81" fillId="0" borderId="0" applyFont="0" applyFill="0" applyBorder="0" applyAlignment="0" applyProtection="0"/>
    <xf numFmtId="42" fontId="81" fillId="0" borderId="0" applyFont="0" applyFill="0" applyBorder="0" applyAlignment="0" applyProtection="0"/>
    <xf numFmtId="44" fontId="81" fillId="0" borderId="0" applyFont="0" applyFill="0" applyBorder="0" applyAlignment="0" applyProtection="0"/>
    <xf numFmtId="0" fontId="142" fillId="0" borderId="0">
      <alignment vertical="center"/>
    </xf>
    <xf numFmtId="0" fontId="22" fillId="0" borderId="0"/>
    <xf numFmtId="0" fontId="143" fillId="0" borderId="0"/>
    <xf numFmtId="0" fontId="144" fillId="14" borderId="36" applyNumberFormat="0" applyAlignment="0" applyProtection="0"/>
    <xf numFmtId="0" fontId="145" fillId="33" borderId="31" applyNumberFormat="0" applyAlignment="0" applyProtection="0"/>
    <xf numFmtId="0" fontId="146" fillId="0" borderId="0" applyNumberFormat="0" applyFill="0" applyBorder="0" applyAlignment="0" applyProtection="0"/>
    <xf numFmtId="0" fontId="148" fillId="10" borderId="0" applyNumberFormat="0" applyBorder="0" applyAlignment="0" applyProtection="0"/>
    <xf numFmtId="38" fontId="106" fillId="0" borderId="0" applyFont="0" applyFill="0" applyBorder="0" applyAlignment="0" applyProtection="0"/>
    <xf numFmtId="0" fontId="81" fillId="0" borderId="0"/>
    <xf numFmtId="0" fontId="149" fillId="11" borderId="0" applyNumberFormat="0" applyBorder="0" applyAlignment="0" applyProtection="0"/>
    <xf numFmtId="0" fontId="150" fillId="0" borderId="37" applyNumberFormat="0" applyFill="0" applyAlignment="0" applyProtection="0"/>
    <xf numFmtId="0" fontId="151" fillId="0" borderId="38" applyNumberFormat="0" applyFill="0" applyAlignment="0" applyProtection="0"/>
    <xf numFmtId="0" fontId="152" fillId="0" borderId="39" applyNumberFormat="0" applyFill="0" applyAlignment="0" applyProtection="0"/>
    <xf numFmtId="0" fontId="152" fillId="0" borderId="0" applyNumberFormat="0" applyFill="0" applyBorder="0" applyAlignment="0" applyProtection="0"/>
    <xf numFmtId="0" fontId="153" fillId="33" borderId="36" applyNumberFormat="0" applyAlignment="0" applyProtection="0"/>
    <xf numFmtId="0" fontId="154" fillId="0" borderId="0" applyNumberFormat="0" applyFill="0" applyBorder="0" applyAlignment="0" applyProtection="0"/>
    <xf numFmtId="0" fontId="155" fillId="0" borderId="0" applyNumberFormat="0" applyFill="0" applyBorder="0" applyAlignment="0" applyProtection="0"/>
    <xf numFmtId="6" fontId="147" fillId="0" borderId="0" applyFont="0" applyFill="0" applyBorder="0" applyAlignment="0" applyProtection="0"/>
    <xf numFmtId="0" fontId="156" fillId="0" borderId="40" applyNumberFormat="0" applyFill="0" applyAlignment="0" applyProtection="0"/>
    <xf numFmtId="0" fontId="8" fillId="0" borderId="0"/>
    <xf numFmtId="0" fontId="8" fillId="0" borderId="0"/>
    <xf numFmtId="0" fontId="8" fillId="0" borderId="0"/>
    <xf numFmtId="43" fontId="8" fillId="0" borderId="0" applyFont="0" applyFill="0" applyBorder="0" applyAlignment="0" applyProtection="0"/>
    <xf numFmtId="0" fontId="8" fillId="0" borderId="0"/>
    <xf numFmtId="0" fontId="43" fillId="0" borderId="0"/>
    <xf numFmtId="0" fontId="22" fillId="0" borderId="0" applyNumberFormat="0" applyFill="0" applyBorder="0" applyAlignment="0" applyProtection="0"/>
    <xf numFmtId="168" fontId="157" fillId="0" borderId="0" applyFont="0" applyFill="0" applyBorder="0" applyAlignment="0" applyProtection="0"/>
    <xf numFmtId="170" fontId="157" fillId="0" borderId="0" applyFont="0" applyFill="0" applyBorder="0" applyAlignment="0" applyProtection="0"/>
    <xf numFmtId="186" fontId="23" fillId="0" borderId="0" applyFont="0" applyFill="0" applyBorder="0" applyAlignment="0" applyProtection="0"/>
    <xf numFmtId="0" fontId="38" fillId="0" borderId="0"/>
    <xf numFmtId="169" fontId="105" fillId="0" borderId="0" applyFont="0" applyFill="0" applyBorder="0" applyAlignment="0" applyProtection="0"/>
    <xf numFmtId="198" fontId="23" fillId="0" borderId="0" applyFont="0" applyFill="0" applyBorder="0" applyAlignment="0" applyProtection="0"/>
    <xf numFmtId="259" fontId="105" fillId="0" borderId="0" applyFont="0" applyFill="0" applyBorder="0" applyAlignment="0" applyProtection="0"/>
    <xf numFmtId="198" fontId="23" fillId="0" borderId="0" applyFont="0" applyFill="0" applyBorder="0" applyAlignment="0" applyProtection="0"/>
    <xf numFmtId="198" fontId="23" fillId="0" borderId="0" applyFont="0" applyFill="0" applyBorder="0" applyAlignment="0" applyProtection="0"/>
    <xf numFmtId="43" fontId="83" fillId="0" borderId="0" applyFont="0" applyFill="0" applyBorder="0" applyAlignment="0" applyProtection="0"/>
    <xf numFmtId="0" fontId="83" fillId="0" borderId="0" applyFont="0" applyFill="0" applyBorder="0" applyAlignment="0" applyProtection="0"/>
    <xf numFmtId="43"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8" fontId="105" fillId="0" borderId="0" applyFont="0" applyFill="0" applyBorder="0" applyAlignment="0" applyProtection="0"/>
    <xf numFmtId="207" fontId="83" fillId="0" borderId="0" applyFont="0" applyFill="0" applyBorder="0" applyAlignment="0" applyProtection="0"/>
    <xf numFmtId="170" fontId="105" fillId="0" borderId="0" applyFont="0" applyFill="0" applyBorder="0" applyAlignment="0" applyProtection="0"/>
    <xf numFmtId="207" fontId="83" fillId="0" borderId="0" applyFont="0" applyFill="0" applyBorder="0" applyAlignment="0" applyProtection="0"/>
    <xf numFmtId="207" fontId="83" fillId="0" borderId="0" applyFont="0" applyFill="0" applyBorder="0" applyAlignment="0" applyProtection="0"/>
    <xf numFmtId="199"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42" fontId="83" fillId="0" borderId="0" applyFont="0" applyFill="0" applyBorder="0" applyAlignment="0" applyProtection="0"/>
    <xf numFmtId="186" fontId="23" fillId="0" borderId="0" applyFont="0" applyFill="0" applyBorder="0" applyAlignment="0" applyProtection="0"/>
    <xf numFmtId="186" fontId="83" fillId="0" borderId="0" applyFont="0" applyFill="0" applyBorder="0" applyAlignment="0" applyProtection="0"/>
    <xf numFmtId="165" fontId="105"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9" fontId="83" fillId="0" borderId="0" applyFont="0" applyFill="0" applyBorder="0" applyAlignment="0" applyProtection="0"/>
    <xf numFmtId="168" fontId="105" fillId="0" borderId="0" applyFont="0" applyFill="0" applyBorder="0" applyAlignment="0" applyProtection="0"/>
    <xf numFmtId="209" fontId="83" fillId="0" borderId="0" applyFont="0" applyFill="0" applyBorder="0" applyAlignment="0" applyProtection="0"/>
    <xf numFmtId="209" fontId="83" fillId="0" borderId="0" applyFont="0" applyFill="0" applyBorder="0" applyAlignment="0" applyProtection="0"/>
    <xf numFmtId="43" fontId="83" fillId="0" borderId="0" applyFont="0" applyFill="0" applyBorder="0" applyAlignment="0" applyProtection="0"/>
    <xf numFmtId="0" fontId="83" fillId="0" borderId="0" applyFont="0" applyFill="0" applyBorder="0" applyAlignment="0" applyProtection="0"/>
    <xf numFmtId="43"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8" fontId="105" fillId="0" borderId="0" applyFont="0" applyFill="0" applyBorder="0" applyAlignment="0" applyProtection="0"/>
    <xf numFmtId="207" fontId="83" fillId="0" borderId="0" applyFont="0" applyFill="0" applyBorder="0" applyAlignment="0" applyProtection="0"/>
    <xf numFmtId="170" fontId="105" fillId="0" borderId="0" applyFont="0" applyFill="0" applyBorder="0" applyAlignment="0" applyProtection="0"/>
    <xf numFmtId="207" fontId="83" fillId="0" borderId="0" applyFont="0" applyFill="0" applyBorder="0" applyAlignment="0" applyProtection="0"/>
    <xf numFmtId="207" fontId="83" fillId="0" borderId="0" applyFont="0" applyFill="0" applyBorder="0" applyAlignment="0" applyProtection="0"/>
    <xf numFmtId="199"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41" fontId="83" fillId="0" borderId="0" applyFont="0" applyFill="0" applyBorder="0" applyAlignment="0" applyProtection="0"/>
    <xf numFmtId="187" fontId="23" fillId="0" borderId="0" applyFont="0" applyFill="0" applyBorder="0" applyAlignment="0" applyProtection="0"/>
    <xf numFmtId="41"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67" fontId="105" fillId="0" borderId="0" applyFont="0" applyFill="0" applyBorder="0" applyAlignment="0" applyProtection="0"/>
    <xf numFmtId="218" fontId="83" fillId="0" borderId="0" applyFont="0" applyFill="0" applyBorder="0" applyAlignment="0" applyProtection="0"/>
    <xf numFmtId="169" fontId="105" fillId="0" borderId="0" applyFont="0" applyFill="0" applyBorder="0" applyAlignment="0" applyProtection="0"/>
    <xf numFmtId="218" fontId="83" fillId="0" borderId="0" applyFont="0" applyFill="0" applyBorder="0" applyAlignment="0" applyProtection="0"/>
    <xf numFmtId="218"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42" fontId="83" fillId="0" borderId="0" applyFont="0" applyFill="0" applyBorder="0" applyAlignment="0" applyProtection="0"/>
    <xf numFmtId="186" fontId="23" fillId="0" borderId="0" applyFont="0" applyFill="0" applyBorder="0" applyAlignment="0" applyProtection="0"/>
    <xf numFmtId="186" fontId="83" fillId="0" borderId="0" applyFont="0" applyFill="0" applyBorder="0" applyAlignment="0" applyProtection="0"/>
    <xf numFmtId="165" fontId="105"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9" fontId="83" fillId="0" borderId="0" applyFont="0" applyFill="0" applyBorder="0" applyAlignment="0" applyProtection="0"/>
    <xf numFmtId="168" fontId="105" fillId="0" borderId="0" applyFont="0" applyFill="0" applyBorder="0" applyAlignment="0" applyProtection="0"/>
    <xf numFmtId="209" fontId="83" fillId="0" borderId="0" applyFont="0" applyFill="0" applyBorder="0" applyAlignment="0" applyProtection="0"/>
    <xf numFmtId="209" fontId="83" fillId="0" borderId="0" applyFont="0" applyFill="0" applyBorder="0" applyAlignment="0" applyProtection="0"/>
    <xf numFmtId="41" fontId="83" fillId="0" borderId="0" applyFont="0" applyFill="0" applyBorder="0" applyAlignment="0" applyProtection="0"/>
    <xf numFmtId="187" fontId="23" fillId="0" borderId="0" applyFont="0" applyFill="0" applyBorder="0" applyAlignment="0" applyProtection="0"/>
    <xf numFmtId="41"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67" fontId="105" fillId="0" borderId="0" applyFont="0" applyFill="0" applyBorder="0" applyAlignment="0" applyProtection="0"/>
    <xf numFmtId="218" fontId="83" fillId="0" borderId="0" applyFont="0" applyFill="0" applyBorder="0" applyAlignment="0" applyProtection="0"/>
    <xf numFmtId="169" fontId="105" fillId="0" borderId="0" applyFont="0" applyFill="0" applyBorder="0" applyAlignment="0" applyProtection="0"/>
    <xf numFmtId="218" fontId="83" fillId="0" borderId="0" applyFont="0" applyFill="0" applyBorder="0" applyAlignment="0" applyProtection="0"/>
    <xf numFmtId="218"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43" fontId="83" fillId="0" borderId="0" applyFont="0" applyFill="0" applyBorder="0" applyAlignment="0" applyProtection="0"/>
    <xf numFmtId="0" fontId="83" fillId="0" borderId="0" applyFont="0" applyFill="0" applyBorder="0" applyAlignment="0" applyProtection="0"/>
    <xf numFmtId="43"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8" fontId="105" fillId="0" borderId="0" applyFont="0" applyFill="0" applyBorder="0" applyAlignment="0" applyProtection="0"/>
    <xf numFmtId="207" fontId="83" fillId="0" borderId="0" applyFont="0" applyFill="0" applyBorder="0" applyAlignment="0" applyProtection="0"/>
    <xf numFmtId="170" fontId="105" fillId="0" borderId="0" applyFont="0" applyFill="0" applyBorder="0" applyAlignment="0" applyProtection="0"/>
    <xf numFmtId="207" fontId="83" fillId="0" borderId="0" applyFont="0" applyFill="0" applyBorder="0" applyAlignment="0" applyProtection="0"/>
    <xf numFmtId="207" fontId="83" fillId="0" borderId="0" applyFont="0" applyFill="0" applyBorder="0" applyAlignment="0" applyProtection="0"/>
    <xf numFmtId="199"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9" fontId="105" fillId="0" borderId="0" applyFont="0" applyFill="0" applyBorder="0" applyAlignment="0" applyProtection="0"/>
    <xf numFmtId="198" fontId="23" fillId="0" borderId="0" applyFont="0" applyFill="0" applyBorder="0" applyAlignment="0" applyProtection="0"/>
    <xf numFmtId="259" fontId="105" fillId="0" borderId="0" applyFont="0" applyFill="0" applyBorder="0" applyAlignment="0" applyProtection="0"/>
    <xf numFmtId="198" fontId="23" fillId="0" borderId="0" applyFont="0" applyFill="0" applyBorder="0" applyAlignment="0" applyProtection="0"/>
    <xf numFmtId="198" fontId="23" fillId="0" borderId="0" applyFont="0" applyFill="0" applyBorder="0" applyAlignment="0" applyProtection="0"/>
    <xf numFmtId="186" fontId="23" fillId="0" borderId="0" applyFont="0" applyFill="0" applyBorder="0" applyAlignment="0" applyProtection="0"/>
    <xf numFmtId="186" fontId="83" fillId="0" borderId="0" applyFont="0" applyFill="0" applyBorder="0" applyAlignment="0" applyProtection="0"/>
    <xf numFmtId="165" fontId="105"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9" fontId="83" fillId="0" borderId="0" applyFont="0" applyFill="0" applyBorder="0" applyAlignment="0" applyProtection="0"/>
    <xf numFmtId="168" fontId="105" fillId="0" borderId="0" applyFont="0" applyFill="0" applyBorder="0" applyAlignment="0" applyProtection="0"/>
    <xf numFmtId="209" fontId="83" fillId="0" borderId="0" applyFont="0" applyFill="0" applyBorder="0" applyAlignment="0" applyProtection="0"/>
    <xf numFmtId="209" fontId="83" fillId="0" borderId="0" applyFont="0" applyFill="0" applyBorder="0" applyAlignment="0" applyProtection="0"/>
    <xf numFmtId="0" fontId="86" fillId="0" borderId="0"/>
    <xf numFmtId="41" fontId="83" fillId="0" borderId="0" applyFont="0" applyFill="0" applyBorder="0" applyAlignment="0" applyProtection="0"/>
    <xf numFmtId="187" fontId="23" fillId="0" borderId="0" applyFont="0" applyFill="0" applyBorder="0" applyAlignment="0" applyProtection="0"/>
    <xf numFmtId="41"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67" fontId="105" fillId="0" borderId="0" applyFont="0" applyFill="0" applyBorder="0" applyAlignment="0" applyProtection="0"/>
    <xf numFmtId="218" fontId="83" fillId="0" borderId="0" applyFont="0" applyFill="0" applyBorder="0" applyAlignment="0" applyProtection="0"/>
    <xf numFmtId="169" fontId="105" fillId="0" borderId="0" applyFont="0" applyFill="0" applyBorder="0" applyAlignment="0" applyProtection="0"/>
    <xf numFmtId="218" fontId="83" fillId="0" borderId="0" applyFont="0" applyFill="0" applyBorder="0" applyAlignment="0" applyProtection="0"/>
    <xf numFmtId="218"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43" fontId="83" fillId="0" borderId="0" applyFont="0" applyFill="0" applyBorder="0" applyAlignment="0" applyProtection="0"/>
    <xf numFmtId="0" fontId="83" fillId="0" borderId="0" applyFont="0" applyFill="0" applyBorder="0" applyAlignment="0" applyProtection="0"/>
    <xf numFmtId="43" fontId="83" fillId="0" borderId="0" applyFont="0" applyFill="0" applyBorder="0" applyAlignment="0" applyProtection="0"/>
    <xf numFmtId="18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8" fontId="105" fillId="0" borderId="0" applyFont="0" applyFill="0" applyBorder="0" applyAlignment="0" applyProtection="0"/>
    <xf numFmtId="207" fontId="83" fillId="0" borderId="0" applyFont="0" applyFill="0" applyBorder="0" applyAlignment="0" applyProtection="0"/>
    <xf numFmtId="170" fontId="105" fillId="0" borderId="0" applyFont="0" applyFill="0" applyBorder="0" applyAlignment="0" applyProtection="0"/>
    <xf numFmtId="207" fontId="83" fillId="0" borderId="0" applyFont="0" applyFill="0" applyBorder="0" applyAlignment="0" applyProtection="0"/>
    <xf numFmtId="207" fontId="83" fillId="0" borderId="0" applyFont="0" applyFill="0" applyBorder="0" applyAlignment="0" applyProtection="0"/>
    <xf numFmtId="199"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99" fontId="83" fillId="0" borderId="0" applyFont="0" applyFill="0" applyBorder="0" applyAlignment="0" applyProtection="0"/>
    <xf numFmtId="199" fontId="83" fillId="0" borderId="0" applyFont="0" applyFill="0" applyBorder="0" applyAlignment="0" applyProtection="0"/>
    <xf numFmtId="169" fontId="105" fillId="0" borderId="0" applyFont="0" applyFill="0" applyBorder="0" applyAlignment="0" applyProtection="0"/>
    <xf numFmtId="198" fontId="23" fillId="0" borderId="0" applyFont="0" applyFill="0" applyBorder="0" applyAlignment="0" applyProtection="0"/>
    <xf numFmtId="259" fontId="105" fillId="0" borderId="0" applyFont="0" applyFill="0" applyBorder="0" applyAlignment="0" applyProtection="0"/>
    <xf numFmtId="198" fontId="23" fillId="0" borderId="0" applyFont="0" applyFill="0" applyBorder="0" applyAlignment="0" applyProtection="0"/>
    <xf numFmtId="198" fontId="23" fillId="0" borderId="0" applyFont="0" applyFill="0" applyBorder="0" applyAlignment="0" applyProtection="0"/>
    <xf numFmtId="0" fontId="86" fillId="0" borderId="0"/>
    <xf numFmtId="0" fontId="24" fillId="0" borderId="0"/>
    <xf numFmtId="0" fontId="23" fillId="0" borderId="0" applyFont="0" applyFill="0" applyBorder="0" applyAlignment="0"/>
    <xf numFmtId="260" fontId="83" fillId="0" borderId="41" applyNumberFormat="0" applyFont="0" applyAlignment="0"/>
    <xf numFmtId="260" fontId="83" fillId="0" borderId="41" applyNumberFormat="0" applyFont="0" applyAlignment="0"/>
    <xf numFmtId="260" fontId="83" fillId="0" borderId="41" applyNumberFormat="0" applyFont="0" applyAlignment="0"/>
    <xf numFmtId="0" fontId="158" fillId="23" borderId="0"/>
    <xf numFmtId="0" fontId="159" fillId="23" borderId="0"/>
    <xf numFmtId="0" fontId="100" fillId="9" borderId="0" applyNumberFormat="0" applyBorder="0" applyAlignment="0" applyProtection="0"/>
    <xf numFmtId="0" fontId="100" fillId="10" borderId="0" applyNumberFormat="0" applyBorder="0" applyAlignment="0" applyProtection="0"/>
    <xf numFmtId="0" fontId="100" fillId="11" borderId="0" applyNumberFormat="0" applyBorder="0" applyAlignment="0" applyProtection="0"/>
    <xf numFmtId="0" fontId="100" fillId="12" borderId="0" applyNumberFormat="0" applyBorder="0" applyAlignment="0" applyProtection="0"/>
    <xf numFmtId="0" fontId="100" fillId="13" borderId="0" applyNumberFormat="0" applyBorder="0" applyAlignment="0" applyProtection="0"/>
    <xf numFmtId="0" fontId="100" fillId="14" borderId="0" applyNumberFormat="0" applyBorder="0" applyAlignment="0" applyProtection="0"/>
    <xf numFmtId="0" fontId="160" fillId="9" borderId="0" applyNumberFormat="0" applyBorder="0" applyAlignment="0" applyProtection="0"/>
    <xf numFmtId="0" fontId="160" fillId="10" borderId="0" applyNumberFormat="0" applyBorder="0" applyAlignment="0" applyProtection="0"/>
    <xf numFmtId="0" fontId="160" fillId="11" borderId="0" applyNumberFormat="0" applyBorder="0" applyAlignment="0" applyProtection="0"/>
    <xf numFmtId="0" fontId="160" fillId="12" borderId="0" applyNumberFormat="0" applyBorder="0" applyAlignment="0" applyProtection="0"/>
    <xf numFmtId="0" fontId="160" fillId="13" borderId="0" applyNumberFormat="0" applyBorder="0" applyAlignment="0" applyProtection="0"/>
    <xf numFmtId="0" fontId="160" fillId="14" borderId="0" applyNumberFormat="0" applyBorder="0" applyAlignment="0" applyProtection="0"/>
    <xf numFmtId="0" fontId="161" fillId="0" borderId="2"/>
    <xf numFmtId="0" fontId="162" fillId="23" borderId="0"/>
    <xf numFmtId="0" fontId="163" fillId="0" borderId="0">
      <alignment wrapText="1"/>
    </xf>
    <xf numFmtId="0" fontId="100" fillId="15" borderId="0" applyNumberFormat="0" applyBorder="0" applyAlignment="0" applyProtection="0"/>
    <xf numFmtId="0" fontId="100" fillId="16" borderId="0" applyNumberFormat="0" applyBorder="0" applyAlignment="0" applyProtection="0"/>
    <xf numFmtId="0" fontId="100" fillId="17" borderId="0" applyNumberFormat="0" applyBorder="0" applyAlignment="0" applyProtection="0"/>
    <xf numFmtId="0" fontId="100" fillId="12" borderId="0" applyNumberFormat="0" applyBorder="0" applyAlignment="0" applyProtection="0"/>
    <xf numFmtId="0" fontId="100" fillId="15" borderId="0" applyNumberFormat="0" applyBorder="0" applyAlignment="0" applyProtection="0"/>
    <xf numFmtId="0" fontId="100" fillId="18" borderId="0" applyNumberFormat="0" applyBorder="0" applyAlignment="0" applyProtection="0"/>
    <xf numFmtId="0" fontId="160" fillId="15" borderId="0" applyNumberFormat="0" applyBorder="0" applyAlignment="0" applyProtection="0"/>
    <xf numFmtId="0" fontId="160" fillId="16" borderId="0" applyNumberFormat="0" applyBorder="0" applyAlignment="0" applyProtection="0"/>
    <xf numFmtId="0" fontId="160" fillId="17" borderId="0" applyNumberFormat="0" applyBorder="0" applyAlignment="0" applyProtection="0"/>
    <xf numFmtId="0" fontId="160" fillId="12" borderId="0" applyNumberFormat="0" applyBorder="0" applyAlignment="0" applyProtection="0"/>
    <xf numFmtId="0" fontId="160" fillId="15" borderId="0" applyNumberFormat="0" applyBorder="0" applyAlignment="0" applyProtection="0"/>
    <xf numFmtId="0" fontId="160" fillId="18" borderId="0" applyNumberFormat="0" applyBorder="0" applyAlignment="0" applyProtection="0"/>
    <xf numFmtId="0" fontId="164" fillId="19" borderId="0" applyNumberFormat="0" applyBorder="0" applyAlignment="0" applyProtection="0"/>
    <xf numFmtId="0" fontId="164" fillId="16" borderId="0" applyNumberFormat="0" applyBorder="0" applyAlignment="0" applyProtection="0"/>
    <xf numFmtId="0" fontId="164" fillId="17" borderId="0" applyNumberFormat="0" applyBorder="0" applyAlignment="0" applyProtection="0"/>
    <xf numFmtId="0" fontId="164" fillId="20" borderId="0" applyNumberFormat="0" applyBorder="0" applyAlignment="0" applyProtection="0"/>
    <xf numFmtId="0" fontId="164" fillId="21" borderId="0" applyNumberFormat="0" applyBorder="0" applyAlignment="0" applyProtection="0"/>
    <xf numFmtId="0" fontId="164" fillId="22" borderId="0" applyNumberFormat="0" applyBorder="0" applyAlignment="0" applyProtection="0"/>
    <xf numFmtId="0" fontId="165" fillId="0" borderId="0">
      <alignment horizontal="center" wrapText="1"/>
      <protection locked="0"/>
    </xf>
    <xf numFmtId="0" fontId="8" fillId="0" borderId="0"/>
    <xf numFmtId="0" fontId="22" fillId="0" borderId="0" applyFill="0" applyBorder="0" applyAlignment="0"/>
    <xf numFmtId="261" fontId="22" fillId="0" borderId="0" applyFill="0" applyBorder="0" applyAlignment="0"/>
    <xf numFmtId="180" fontId="22" fillId="0" borderId="0" applyFill="0" applyBorder="0" applyAlignment="0"/>
    <xf numFmtId="262" fontId="22" fillId="0" borderId="0" applyFill="0" applyBorder="0" applyAlignment="0"/>
    <xf numFmtId="0" fontId="166" fillId="0" borderId="0" applyNumberFormat="0" applyBorder="0" applyProtection="0"/>
    <xf numFmtId="1" fontId="16" fillId="0" borderId="3" applyBorder="0"/>
    <xf numFmtId="43" fontId="8" fillId="0" borderId="0" applyFont="0" applyFill="0" applyBorder="0" applyAlignment="0" applyProtection="0"/>
    <xf numFmtId="174" fontId="14"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43" fontId="22"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43" fontId="16" fillId="0" borderId="0" applyFont="0" applyFill="0" applyBorder="0" applyAlignment="0" applyProtection="0"/>
    <xf numFmtId="174" fontId="22" fillId="0" borderId="0" applyFont="0" applyFill="0" applyBorder="0" applyAlignment="0" applyProtection="0"/>
    <xf numFmtId="0" fontId="167" fillId="0" borderId="0" applyNumberFormat="0" applyAlignment="0">
      <alignment horizontal="left"/>
    </xf>
    <xf numFmtId="0" fontId="168" fillId="0" borderId="0" applyNumberFormat="0" applyAlignment="0"/>
    <xf numFmtId="0" fontId="169" fillId="33" borderId="31" applyNumberFormat="0" applyAlignment="0" applyProtection="0"/>
    <xf numFmtId="0" fontId="170" fillId="14" borderId="36" applyNumberFormat="0" applyAlignment="0" applyProtection="0"/>
    <xf numFmtId="0" fontId="171" fillId="0" borderId="37" applyNumberFormat="0" applyFill="0" applyAlignment="0" applyProtection="0"/>
    <xf numFmtId="0" fontId="172" fillId="0" borderId="38" applyNumberFormat="0" applyFill="0" applyAlignment="0" applyProtection="0"/>
    <xf numFmtId="0" fontId="173" fillId="0" borderId="39" applyNumberFormat="0" applyFill="0" applyAlignment="0" applyProtection="0"/>
    <xf numFmtId="0" fontId="173" fillId="0" borderId="0" applyNumberFormat="0" applyFill="0" applyBorder="0" applyAlignment="0" applyProtection="0"/>
    <xf numFmtId="0" fontId="22" fillId="0" borderId="0" applyFill="0" applyBorder="0" applyAlignment="0"/>
    <xf numFmtId="0" fontId="174" fillId="0" borderId="0" applyNumberFormat="0" applyAlignment="0">
      <alignment horizontal="left"/>
    </xf>
    <xf numFmtId="0" fontId="83" fillId="32" borderId="34" applyNumberFormat="0" applyFont="0" applyAlignment="0" applyProtection="0"/>
    <xf numFmtId="38" fontId="107" fillId="8" borderId="0" applyNumberFormat="0" applyBorder="0" applyAlignment="0" applyProtection="0"/>
    <xf numFmtId="38" fontId="107" fillId="8" borderId="0" applyNumberFormat="0" applyBorder="0" applyAlignment="0" applyProtection="0"/>
    <xf numFmtId="241" fontId="23" fillId="0" borderId="0">
      <protection locked="0"/>
    </xf>
    <xf numFmtId="241" fontId="23" fillId="0" borderId="0">
      <protection locked="0"/>
    </xf>
    <xf numFmtId="241" fontId="23" fillId="0" borderId="0">
      <protection locked="0"/>
    </xf>
    <xf numFmtId="241" fontId="23" fillId="0" borderId="0">
      <protection locked="0"/>
    </xf>
    <xf numFmtId="0" fontId="21" fillId="0" borderId="0"/>
    <xf numFmtId="10" fontId="107" fillId="8" borderId="1" applyNumberFormat="0" applyBorder="0" applyAlignment="0" applyProtection="0"/>
    <xf numFmtId="261" fontId="22" fillId="34" borderId="0"/>
    <xf numFmtId="0" fontId="175" fillId="30" borderId="33" applyNumberFormat="0" applyAlignment="0" applyProtection="0"/>
    <xf numFmtId="0" fontId="38" fillId="0" borderId="0"/>
    <xf numFmtId="0" fontId="22" fillId="0" borderId="0" applyFill="0" applyBorder="0" applyAlignment="0"/>
    <xf numFmtId="261" fontId="22" fillId="35" borderId="0"/>
    <xf numFmtId="0" fontId="22" fillId="0" borderId="0" applyFont="0" applyFill="0" applyBorder="0" applyAlignment="0" applyProtection="0"/>
    <xf numFmtId="263" fontId="83" fillId="0" borderId="0" applyFont="0" applyFill="0" applyBorder="0" applyAlignment="0" applyProtection="0"/>
    <xf numFmtId="0" fontId="164" fillId="26" borderId="0" applyNumberFormat="0" applyBorder="0" applyAlignment="0" applyProtection="0"/>
    <xf numFmtId="0" fontId="164" fillId="27" borderId="0" applyNumberFormat="0" applyBorder="0" applyAlignment="0" applyProtection="0"/>
    <xf numFmtId="0" fontId="164" fillId="28" borderId="0" applyNumberFormat="0" applyBorder="0" applyAlignment="0" applyProtection="0"/>
    <xf numFmtId="0" fontId="164" fillId="20" borderId="0" applyNumberFormat="0" applyBorder="0" applyAlignment="0" applyProtection="0"/>
    <xf numFmtId="0" fontId="164" fillId="21" borderId="0" applyNumberFormat="0" applyBorder="0" applyAlignment="0" applyProtection="0"/>
    <xf numFmtId="0" fontId="164" fillId="29" borderId="0" applyNumberFormat="0" applyBorder="0" applyAlignment="0" applyProtection="0"/>
    <xf numFmtId="0" fontId="176" fillId="0" borderId="1" applyNumberFormat="0" applyFont="0" applyFill="0" applyBorder="0" applyAlignment="0">
      <alignment horizontal="center"/>
    </xf>
    <xf numFmtId="0" fontId="22" fillId="0" borderId="0"/>
    <xf numFmtId="264" fontId="22" fillId="0" borderId="0"/>
    <xf numFmtId="0" fontId="22" fillId="0" borderId="0"/>
    <xf numFmtId="0" fontId="22" fillId="0" borderId="0"/>
    <xf numFmtId="0" fontId="22" fillId="0" borderId="0"/>
    <xf numFmtId="0" fontId="22" fillId="0" borderId="0"/>
    <xf numFmtId="0" fontId="14" fillId="0" borderId="0"/>
    <xf numFmtId="0" fontId="14" fillId="0" borderId="0"/>
    <xf numFmtId="0" fontId="14" fillId="0" borderId="0"/>
    <xf numFmtId="0" fontId="22" fillId="0" borderId="0"/>
    <xf numFmtId="0" fontId="16" fillId="0" borderId="0"/>
    <xf numFmtId="0" fontId="177" fillId="0" borderId="35" applyNumberFormat="0" applyFill="0" applyAlignment="0" applyProtection="0"/>
    <xf numFmtId="14" fontId="165" fillId="0" borderId="0">
      <alignment horizontal="center" wrapText="1"/>
      <protection locked="0"/>
    </xf>
    <xf numFmtId="0" fontId="178" fillId="0" borderId="0"/>
    <xf numFmtId="9" fontId="38" fillId="0" borderId="42" applyNumberFormat="0" applyBorder="0"/>
    <xf numFmtId="0" fontId="22" fillId="0" borderId="0" applyFill="0" applyBorder="0" applyAlignment="0"/>
    <xf numFmtId="164" fontId="179" fillId="0" borderId="0"/>
    <xf numFmtId="0" fontId="38" fillId="0" borderId="0" applyNumberFormat="0" applyFont="0" applyFill="0" applyBorder="0" applyAlignment="0" applyProtection="0">
      <alignment horizontal="left"/>
    </xf>
    <xf numFmtId="265" fontId="22" fillId="0" borderId="0" applyNumberFormat="0" applyFill="0" applyBorder="0" applyAlignment="0" applyProtection="0">
      <alignment horizontal="left"/>
    </xf>
    <xf numFmtId="0" fontId="22" fillId="0" borderId="0"/>
    <xf numFmtId="0" fontId="86" fillId="0" borderId="0"/>
    <xf numFmtId="0" fontId="22" fillId="0" borderId="0"/>
    <xf numFmtId="40" fontId="180" fillId="0" borderId="0" applyBorder="0">
      <alignment horizontal="right"/>
    </xf>
    <xf numFmtId="248" fontId="130" fillId="0" borderId="5">
      <alignment horizontal="right" vertical="center"/>
    </xf>
    <xf numFmtId="248" fontId="130" fillId="0" borderId="5">
      <alignment horizontal="right" vertical="center"/>
    </xf>
    <xf numFmtId="248" fontId="130" fillId="0" borderId="5">
      <alignment horizontal="right" vertical="center"/>
    </xf>
    <xf numFmtId="3" fontId="181" fillId="36" borderId="1" applyFill="0" applyAlignment="0" applyProtection="0">
      <alignment horizontal="justify" vertical="center"/>
    </xf>
    <xf numFmtId="49" fontId="182" fillId="0" borderId="0" applyFill="0" applyBorder="0" applyAlignment="0"/>
    <xf numFmtId="0" fontId="22" fillId="0" borderId="0" applyFill="0" applyBorder="0" applyAlignment="0"/>
    <xf numFmtId="186" fontId="130" fillId="0" borderId="5">
      <alignment horizontal="center"/>
    </xf>
    <xf numFmtId="0" fontId="183" fillId="0" borderId="0" applyNumberFormat="0" applyFill="0" applyBorder="0" applyAlignment="0" applyProtection="0"/>
    <xf numFmtId="0" fontId="184" fillId="33" borderId="36" applyNumberFormat="0" applyAlignment="0" applyProtection="0"/>
    <xf numFmtId="0" fontId="185" fillId="0" borderId="40" applyNumberFormat="0" applyFill="0" applyAlignment="0" applyProtection="0"/>
    <xf numFmtId="0" fontId="186" fillId="11" borderId="0" applyNumberFormat="0" applyBorder="0" applyAlignment="0" applyProtection="0"/>
    <xf numFmtId="0" fontId="187" fillId="31" borderId="0" applyNumberFormat="0" applyBorder="0" applyAlignment="0" applyProtection="0"/>
    <xf numFmtId="0" fontId="188" fillId="0" borderId="0" applyNumberFormat="0" applyFill="0" applyBorder="0" applyAlignment="0" applyProtection="0"/>
    <xf numFmtId="0" fontId="189" fillId="0" borderId="0" applyNumberFormat="0" applyFill="0" applyBorder="0" applyAlignment="0" applyProtection="0"/>
    <xf numFmtId="266" fontId="190" fillId="0" borderId="4">
      <alignment horizontal="left" vertical="top"/>
    </xf>
    <xf numFmtId="266" fontId="190" fillId="0" borderId="4">
      <alignment horizontal="left" vertical="top"/>
    </xf>
    <xf numFmtId="266" fontId="87" fillId="0" borderId="21">
      <alignment horizontal="left" vertical="top"/>
    </xf>
    <xf numFmtId="0" fontId="191" fillId="0" borderId="21">
      <alignment horizontal="left" vertical="center"/>
    </xf>
    <xf numFmtId="0" fontId="192" fillId="10" borderId="0" applyNumberFormat="0" applyBorder="0" applyAlignment="0" applyProtection="0"/>
    <xf numFmtId="267" fontId="22" fillId="0" borderId="0" applyFont="0" applyFill="0" applyBorder="0" applyAlignment="0" applyProtection="0"/>
    <xf numFmtId="174" fontId="1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16" fillId="0" borderId="0"/>
    <xf numFmtId="0" fontId="7" fillId="0" borderId="0"/>
    <xf numFmtId="0" fontId="7" fillId="0" borderId="0"/>
    <xf numFmtId="41"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45"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233" fontId="104" fillId="0" borderId="0"/>
    <xf numFmtId="0" fontId="83" fillId="0" borderId="0"/>
    <xf numFmtId="0" fontId="6" fillId="0" borderId="0"/>
    <xf numFmtId="43" fontId="6" fillId="0" borderId="0" applyFont="0" applyFill="0" applyBorder="0" applyAlignment="0" applyProtection="0"/>
    <xf numFmtId="0" fontId="6" fillId="0" borderId="0"/>
    <xf numFmtId="0" fontId="43" fillId="0" borderId="0"/>
    <xf numFmtId="0" fontId="6" fillId="0" borderId="0"/>
    <xf numFmtId="43" fontId="6" fillId="0" borderId="0" applyFont="0" applyFill="0" applyBorder="0" applyAlignment="0" applyProtection="0"/>
    <xf numFmtId="0" fontId="104" fillId="0" borderId="0"/>
    <xf numFmtId="0" fontId="6" fillId="0" borderId="0"/>
    <xf numFmtId="43" fontId="83" fillId="0" borderId="0" applyFont="0" applyFill="0" applyBorder="0" applyAlignment="0" applyProtection="0"/>
    <xf numFmtId="0" fontId="104"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2" fontId="83" fillId="0" borderId="0" applyFont="0" applyFill="0" applyBorder="0" applyAlignment="0" applyProtection="0"/>
    <xf numFmtId="233" fontId="104"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42" fontId="83" fillId="0" borderId="0" applyFont="0" applyFill="0" applyBorder="0" applyAlignment="0" applyProtection="0"/>
    <xf numFmtId="43" fontId="6" fillId="0" borderId="0" applyFont="0" applyFill="0" applyBorder="0" applyAlignment="0" applyProtection="0"/>
    <xf numFmtId="0" fontId="6" fillId="0" borderId="0"/>
    <xf numFmtId="43" fontId="6" fillId="0" borderId="0" applyFont="0" applyFill="0" applyBorder="0" applyAlignment="0" applyProtection="0"/>
    <xf numFmtId="269" fontId="194" fillId="0" borderId="0" applyFont="0" applyFill="0" applyBorder="0" applyAlignment="0" applyProtection="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195" fillId="0" borderId="0" applyFont="0" applyFill="0" applyBorder="0" applyAlignment="0" applyProtection="0"/>
    <xf numFmtId="268" fontId="194" fillId="0" borderId="0" applyFont="0" applyFill="0" applyBorder="0" applyAlignment="0" applyProtection="0"/>
    <xf numFmtId="165" fontId="147" fillId="0" borderId="0" applyFont="0" applyFill="0" applyBorder="0" applyAlignment="0" applyProtection="0"/>
    <xf numFmtId="0" fontId="158" fillId="23" borderId="0"/>
    <xf numFmtId="0" fontId="100" fillId="9" borderId="0" applyNumberFormat="0" applyBorder="0" applyAlignment="0" applyProtection="0"/>
    <xf numFmtId="0" fontId="100" fillId="10" borderId="0" applyNumberFormat="0" applyBorder="0" applyAlignment="0" applyProtection="0"/>
    <xf numFmtId="0" fontId="100" fillId="11" borderId="0" applyNumberFormat="0" applyBorder="0" applyAlignment="0" applyProtection="0"/>
    <xf numFmtId="0" fontId="100" fillId="12" borderId="0" applyNumberFormat="0" applyBorder="0" applyAlignment="0" applyProtection="0"/>
    <xf numFmtId="0" fontId="100" fillId="13" borderId="0" applyNumberFormat="0" applyBorder="0" applyAlignment="0" applyProtection="0"/>
    <xf numFmtId="0" fontId="100" fillId="14" borderId="0" applyNumberFormat="0" applyBorder="0" applyAlignment="0" applyProtection="0"/>
    <xf numFmtId="0" fontId="100" fillId="15" borderId="0" applyNumberFormat="0" applyBorder="0" applyAlignment="0" applyProtection="0"/>
    <xf numFmtId="0" fontId="100" fillId="16" borderId="0" applyNumberFormat="0" applyBorder="0" applyAlignment="0" applyProtection="0"/>
    <xf numFmtId="0" fontId="100" fillId="17" borderId="0" applyNumberFormat="0" applyBorder="0" applyAlignment="0" applyProtection="0"/>
    <xf numFmtId="0" fontId="100" fillId="12" borderId="0" applyNumberFormat="0" applyBorder="0" applyAlignment="0" applyProtection="0"/>
    <xf numFmtId="0" fontId="100" fillId="15" borderId="0" applyNumberFormat="0" applyBorder="0" applyAlignment="0" applyProtection="0"/>
    <xf numFmtId="0" fontId="100" fillId="18" borderId="0" applyNumberFormat="0" applyBorder="0" applyAlignment="0" applyProtection="0"/>
    <xf numFmtId="0" fontId="196" fillId="19" borderId="0" applyNumberFormat="0" applyBorder="0" applyAlignment="0" applyProtection="0"/>
    <xf numFmtId="0" fontId="196" fillId="16" borderId="0" applyNumberFormat="0" applyBorder="0" applyAlignment="0" applyProtection="0"/>
    <xf numFmtId="0" fontId="196" fillId="17" borderId="0" applyNumberFormat="0" applyBorder="0" applyAlignment="0" applyProtection="0"/>
    <xf numFmtId="0" fontId="196" fillId="20" borderId="0" applyNumberFormat="0" applyBorder="0" applyAlignment="0" applyProtection="0"/>
    <xf numFmtId="0" fontId="196" fillId="21" borderId="0" applyNumberFormat="0" applyBorder="0" applyAlignment="0" applyProtection="0"/>
    <xf numFmtId="0" fontId="196" fillId="22" borderId="0" applyNumberFormat="0" applyBorder="0" applyAlignment="0" applyProtection="0"/>
    <xf numFmtId="0" fontId="196" fillId="26" borderId="0" applyNumberFormat="0" applyBorder="0" applyAlignment="0" applyProtection="0"/>
    <xf numFmtId="0" fontId="196" fillId="27" borderId="0" applyNumberFormat="0" applyBorder="0" applyAlignment="0" applyProtection="0"/>
    <xf numFmtId="0" fontId="196" fillId="28" borderId="0" applyNumberFormat="0" applyBorder="0" applyAlignment="0" applyProtection="0"/>
    <xf numFmtId="0" fontId="196" fillId="20" borderId="0" applyNumberFormat="0" applyBorder="0" applyAlignment="0" applyProtection="0"/>
    <xf numFmtId="0" fontId="196" fillId="21" borderId="0" applyNumberFormat="0" applyBorder="0" applyAlignment="0" applyProtection="0"/>
    <xf numFmtId="0" fontId="196" fillId="29" borderId="0" applyNumberFormat="0" applyBorder="0" applyAlignment="0" applyProtection="0"/>
    <xf numFmtId="0" fontId="197" fillId="10" borderId="0" applyNumberFormat="0" applyBorder="0" applyAlignment="0" applyProtection="0"/>
    <xf numFmtId="0" fontId="198" fillId="33" borderId="43" applyNumberFormat="0" applyAlignment="0" applyProtection="0"/>
    <xf numFmtId="0" fontId="199" fillId="30" borderId="33" applyNumberFormat="0" applyAlignment="0" applyProtection="0"/>
    <xf numFmtId="273" fontId="200" fillId="0" borderId="0"/>
    <xf numFmtId="271" fontId="200" fillId="0" borderId="0"/>
    <xf numFmtId="272" fontId="200" fillId="0" borderId="0"/>
    <xf numFmtId="0" fontId="201" fillId="0" borderId="0" applyNumberFormat="0" applyFill="0" applyBorder="0" applyAlignment="0" applyProtection="0"/>
    <xf numFmtId="0" fontId="202" fillId="11" borderId="0" applyNumberFormat="0" applyBorder="0" applyAlignment="0" applyProtection="0"/>
    <xf numFmtId="38" fontId="107" fillId="23" borderId="0" applyNumberFormat="0" applyBorder="0" applyAlignment="0" applyProtection="0"/>
    <xf numFmtId="38" fontId="107" fillId="23" borderId="0" applyNumberFormat="0" applyBorder="0" applyAlignment="0" applyProtection="0"/>
    <xf numFmtId="0" fontId="203" fillId="0" borderId="0" applyNumberFormat="0" applyFont="0" applyBorder="0" applyAlignment="0">
      <alignment horizontal="left" vertical="center"/>
    </xf>
    <xf numFmtId="0" fontId="204" fillId="0" borderId="39" applyNumberFormat="0" applyFill="0" applyAlignment="0" applyProtection="0"/>
    <xf numFmtId="0" fontId="204" fillId="0" borderId="0" applyNumberFormat="0" applyFill="0" applyBorder="0" applyAlignment="0" applyProtection="0"/>
    <xf numFmtId="0" fontId="110" fillId="0" borderId="0" applyProtection="0"/>
    <xf numFmtId="0" fontId="110" fillId="0" borderId="0" applyProtection="0"/>
    <xf numFmtId="0" fontId="109" fillId="0" borderId="0" applyProtection="0"/>
    <xf numFmtId="0" fontId="109" fillId="0" borderId="0" applyProtection="0"/>
    <xf numFmtId="0" fontId="205" fillId="0" borderId="0"/>
    <xf numFmtId="10" fontId="107" fillId="38" borderId="1" applyNumberFormat="0" applyBorder="0" applyAlignment="0" applyProtection="0"/>
    <xf numFmtId="10" fontId="107" fillId="38" borderId="1" applyNumberFormat="0" applyBorder="0" applyAlignment="0" applyProtection="0"/>
    <xf numFmtId="0" fontId="206" fillId="0" borderId="35" applyNumberFormat="0" applyFill="0" applyAlignment="0" applyProtection="0"/>
    <xf numFmtId="0" fontId="115" fillId="0" borderId="0" applyNumberFormat="0" applyFont="0" applyFill="0" applyAlignment="0"/>
    <xf numFmtId="0" fontId="207" fillId="31" borderId="0" applyNumberFormat="0" applyBorder="0" applyAlignment="0" applyProtection="0"/>
    <xf numFmtId="0" fontId="21" fillId="0" borderId="0"/>
    <xf numFmtId="0" fontId="21" fillId="0" borderId="0"/>
    <xf numFmtId="0" fontId="208" fillId="0" borderId="0"/>
    <xf numFmtId="270" fontId="193" fillId="0" borderId="0"/>
    <xf numFmtId="0" fontId="6" fillId="0" borderId="0"/>
    <xf numFmtId="0" fontId="22" fillId="0" borderId="0"/>
    <xf numFmtId="0" fontId="6" fillId="0" borderId="0"/>
    <xf numFmtId="0" fontId="141" fillId="0" borderId="0"/>
    <xf numFmtId="269" fontId="194" fillId="0" borderId="0" applyFont="0" applyFill="0" applyBorder="0" applyAlignment="0" applyProtection="0"/>
    <xf numFmtId="0" fontId="14" fillId="0" borderId="0"/>
    <xf numFmtId="0" fontId="87" fillId="0" borderId="0"/>
    <xf numFmtId="0" fontId="22" fillId="0" borderId="0"/>
    <xf numFmtId="0" fontId="98" fillId="0" borderId="0"/>
    <xf numFmtId="0" fontId="14" fillId="0" borderId="0"/>
    <xf numFmtId="0" fontId="14" fillId="0" borderId="0"/>
    <xf numFmtId="0" fontId="115" fillId="32" borderId="44" applyNumberFormat="0" applyFont="0" applyAlignment="0" applyProtection="0"/>
    <xf numFmtId="0" fontId="115" fillId="32" borderId="44" applyNumberFormat="0" applyFont="0" applyAlignment="0" applyProtection="0"/>
    <xf numFmtId="0" fontId="128" fillId="33" borderId="45" applyNumberFormat="0" applyAlignment="0" applyProtection="0"/>
    <xf numFmtId="3" fontId="23" fillId="0" borderId="0"/>
    <xf numFmtId="0" fontId="87" fillId="0" borderId="0" applyNumberFormat="0" applyFill="0" applyBorder="0" applyAlignment="0" applyProtection="0"/>
    <xf numFmtId="0" fontId="110" fillId="0" borderId="0" applyProtection="0"/>
    <xf numFmtId="0" fontId="209" fillId="0" borderId="0" applyNumberFormat="0" applyFill="0" applyBorder="0" applyAlignment="0" applyProtection="0"/>
    <xf numFmtId="0" fontId="22" fillId="0" borderId="27" applyNumberFormat="0" applyFont="0" applyFill="0" applyAlignment="0" applyProtection="0"/>
    <xf numFmtId="0" fontId="210" fillId="0" borderId="0" applyNumberFormat="0" applyFill="0" applyBorder="0" applyAlignment="0" applyProtection="0"/>
    <xf numFmtId="0" fontId="115" fillId="32" borderId="50" applyNumberFormat="0" applyFont="0" applyAlignment="0" applyProtection="0"/>
    <xf numFmtId="0" fontId="43"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115" fillId="0" borderId="0"/>
    <xf numFmtId="168" fontId="96" fillId="0" borderId="0" applyFont="0" applyFill="0" applyBorder="0" applyAlignment="0" applyProtection="0"/>
    <xf numFmtId="170" fontId="96" fillId="0" borderId="0" applyFont="0" applyFill="0" applyBorder="0" applyAlignment="0" applyProtection="0"/>
    <xf numFmtId="167" fontId="96" fillId="0" borderId="0" applyFont="0" applyFill="0" applyBorder="0" applyAlignment="0" applyProtection="0"/>
    <xf numFmtId="169" fontId="96" fillId="0" borderId="0" applyFont="0" applyFill="0" applyBorder="0" applyAlignment="0" applyProtection="0"/>
    <xf numFmtId="0" fontId="6" fillId="0" borderId="0"/>
    <xf numFmtId="0" fontId="211" fillId="0" borderId="0" applyNumberFormat="0" applyFill="0" applyBorder="0" applyAlignment="0" applyProtection="0"/>
    <xf numFmtId="0" fontId="6" fillId="0" borderId="0"/>
    <xf numFmtId="0" fontId="14" fillId="0" borderId="0"/>
    <xf numFmtId="0" fontId="14" fillId="0" borderId="0"/>
    <xf numFmtId="0" fontId="101" fillId="0" borderId="0"/>
    <xf numFmtId="0" fontId="101" fillId="0" borderId="0"/>
    <xf numFmtId="0" fontId="22" fillId="0" borderId="0"/>
    <xf numFmtId="0" fontId="215" fillId="37" borderId="0" applyNumberFormat="0" applyBorder="0" applyAlignment="0" applyProtection="0"/>
    <xf numFmtId="0" fontId="87" fillId="0" borderId="0"/>
    <xf numFmtId="174" fontId="101" fillId="0" borderId="0" applyFont="0" applyFill="0" applyBorder="0" applyAlignment="0" applyProtection="0"/>
    <xf numFmtId="275" fontId="117" fillId="0" borderId="0" applyFont="0" applyFill="0" applyBorder="0" applyAlignment="0" applyProtection="0"/>
    <xf numFmtId="275" fontId="117" fillId="0" borderId="0" applyFont="0" applyFill="0" applyBorder="0" applyAlignment="0" applyProtection="0"/>
    <xf numFmtId="43" fontId="6" fillId="0" borderId="0" applyFont="0" applyFill="0" applyBorder="0" applyAlignment="0" applyProtection="0"/>
    <xf numFmtId="174" fontId="22"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43" fontId="100" fillId="0" borderId="0" applyFont="0" applyFill="0" applyBorder="0" applyAlignment="0" applyProtection="0"/>
    <xf numFmtId="174" fontId="100"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43" fontId="22" fillId="0" borderId="0" applyFont="0" applyFill="0" applyBorder="0" applyAlignment="0" applyProtection="0"/>
    <xf numFmtId="174" fontId="22"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0" fontId="6"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87" fillId="0" borderId="0" applyFont="0" applyFill="0" applyBorder="0" applyAlignment="0" applyProtection="0"/>
    <xf numFmtId="174" fontId="87" fillId="0" borderId="0" applyFont="0" applyFill="0" applyBorder="0" applyAlignment="0" applyProtection="0"/>
    <xf numFmtId="279" fontId="22" fillId="0" borderId="0" applyFont="0" applyFill="0" applyBorder="0" applyAlignment="0" applyProtection="0"/>
    <xf numFmtId="43" fontId="100" fillId="0" borderId="0" applyFont="0" applyFill="0" applyBorder="0" applyAlignment="0" applyProtection="0"/>
    <xf numFmtId="274" fontId="22" fillId="0" borderId="0" applyFont="0" applyFill="0" applyBorder="0" applyAlignment="0" applyProtection="0"/>
    <xf numFmtId="43" fontId="98" fillId="0" borderId="0" applyFont="0" applyFill="0" applyBorder="0" applyAlignment="0" applyProtection="0"/>
    <xf numFmtId="174" fontId="22" fillId="0" borderId="0" applyFont="0" applyFill="0" applyBorder="0" applyAlignment="0" applyProtection="0"/>
    <xf numFmtId="174" fontId="98"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1" fontId="117" fillId="0" borderId="0" applyFont="0" applyFill="0" applyBorder="0" applyAlignment="0" applyProtection="0"/>
    <xf numFmtId="172" fontId="117" fillId="0" borderId="0" applyFont="0" applyFill="0" applyBorder="0" applyAlignment="0" applyProtection="0"/>
    <xf numFmtId="174" fontId="100" fillId="0" borderId="0" applyFont="0" applyFill="0" applyBorder="0" applyAlignment="0" applyProtection="0"/>
    <xf numFmtId="43" fontId="22" fillId="0" borderId="0" applyFont="0" applyFill="0" applyBorder="0" applyAlignment="0" applyProtection="0"/>
    <xf numFmtId="174" fontId="22" fillId="0" borderId="0" applyFont="0" applyFill="0" applyBorder="0" applyAlignment="0" applyProtection="0"/>
    <xf numFmtId="43" fontId="100" fillId="0" borderId="0" applyFont="0" applyFill="0" applyBorder="0" applyAlignment="0" applyProtection="0"/>
    <xf numFmtId="174" fontId="100"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84" fontId="22" fillId="0" borderId="0" applyFont="0" applyFill="0" applyBorder="0" applyAlignment="0" applyProtection="0"/>
    <xf numFmtId="43" fontId="22" fillId="0" borderId="0" applyFont="0" applyFill="0" applyBorder="0" applyAlignment="0" applyProtection="0"/>
    <xf numFmtId="174" fontId="22"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4" fontId="100" fillId="0" borderId="0" applyFont="0" applyFill="0" applyBorder="0" applyAlignment="0" applyProtection="0"/>
    <xf numFmtId="43" fontId="14" fillId="0" borderId="0" applyFont="0" applyFill="0" applyBorder="0" applyAlignment="0" applyProtection="0"/>
    <xf numFmtId="276" fontId="117"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216" fillId="0" borderId="0" applyFont="0" applyFill="0" applyBorder="0" applyAlignment="0" applyProtection="0"/>
    <xf numFmtId="43" fontId="14" fillId="0" borderId="0" applyFont="0" applyFill="0" applyBorder="0" applyAlignment="0" applyProtection="0"/>
    <xf numFmtId="174" fontId="216"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21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77" fontId="22" fillId="0" borderId="0"/>
    <xf numFmtId="0" fontId="22" fillId="0" borderId="0"/>
    <xf numFmtId="245" fontId="22" fillId="0" borderId="0"/>
    <xf numFmtId="277" fontId="22" fillId="0" borderId="0"/>
    <xf numFmtId="245" fontId="22" fillId="0" borderId="0"/>
    <xf numFmtId="245" fontId="22" fillId="0" borderId="0"/>
    <xf numFmtId="0" fontId="14" fillId="0" borderId="0"/>
    <xf numFmtId="0" fontId="14" fillId="0" borderId="0"/>
    <xf numFmtId="0" fontId="6" fillId="0" borderId="0"/>
    <xf numFmtId="0" fontId="6" fillId="0" borderId="0"/>
    <xf numFmtId="0" fontId="101" fillId="0" borderId="0"/>
    <xf numFmtId="0" fontId="6" fillId="0" borderId="0"/>
    <xf numFmtId="0" fontId="14" fillId="0" borderId="0"/>
    <xf numFmtId="0" fontId="6" fillId="0" borderId="0"/>
    <xf numFmtId="0" fontId="216" fillId="0" borderId="0"/>
    <xf numFmtId="0" fontId="14" fillId="0" borderId="0"/>
    <xf numFmtId="0" fontId="22" fillId="0" borderId="0"/>
    <xf numFmtId="0" fontId="22" fillId="0" borderId="0"/>
    <xf numFmtId="0" fontId="6" fillId="0" borderId="0"/>
    <xf numFmtId="0" fontId="117" fillId="0" borderId="0"/>
    <xf numFmtId="0" fontId="101" fillId="0" borderId="0"/>
    <xf numFmtId="0" fontId="6" fillId="0" borderId="0"/>
    <xf numFmtId="0" fontId="6" fillId="0" borderId="0"/>
    <xf numFmtId="0" fontId="214" fillId="0" borderId="0"/>
    <xf numFmtId="0" fontId="6" fillId="0" borderId="0"/>
    <xf numFmtId="0" fontId="6" fillId="0" borderId="0"/>
    <xf numFmtId="0" fontId="102" fillId="0" borderId="0"/>
    <xf numFmtId="0" fontId="6" fillId="0" borderId="0"/>
    <xf numFmtId="0" fontId="213" fillId="0" borderId="0"/>
    <xf numFmtId="0" fontId="81" fillId="0" borderId="0"/>
    <xf numFmtId="0" fontId="83" fillId="0" borderId="0"/>
    <xf numFmtId="245" fontId="22" fillId="0" borderId="0"/>
    <xf numFmtId="0" fontId="18" fillId="0" borderId="0"/>
    <xf numFmtId="0" fontId="83" fillId="0" borderId="0"/>
    <xf numFmtId="0" fontId="22" fillId="0" borderId="0"/>
    <xf numFmtId="0" fontId="14" fillId="0" borderId="0"/>
    <xf numFmtId="184" fontId="22" fillId="0" borderId="0"/>
    <xf numFmtId="0" fontId="22" fillId="0" borderId="0"/>
    <xf numFmtId="275" fontId="22" fillId="0" borderId="0"/>
    <xf numFmtId="177" fontId="22" fillId="0" borderId="0"/>
    <xf numFmtId="177" fontId="22" fillId="0" borderId="0"/>
    <xf numFmtId="174" fontId="22" fillId="0" borderId="0"/>
    <xf numFmtId="175" fontId="22" fillId="0" borderId="0"/>
    <xf numFmtId="278" fontId="22" fillId="0" borderId="0"/>
    <xf numFmtId="0" fontId="6" fillId="0" borderId="0"/>
    <xf numFmtId="0" fontId="83" fillId="0" borderId="0"/>
    <xf numFmtId="0" fontId="213" fillId="0" borderId="0"/>
    <xf numFmtId="0" fontId="83" fillId="0" borderId="0"/>
    <xf numFmtId="0" fontId="6" fillId="0" borderId="0"/>
    <xf numFmtId="0" fontId="101" fillId="0" borderId="0"/>
    <xf numFmtId="0" fontId="101" fillId="0" borderId="0"/>
    <xf numFmtId="0" fontId="117" fillId="0" borderId="0"/>
    <xf numFmtId="0" fontId="87" fillId="0" borderId="0"/>
    <xf numFmtId="0" fontId="6" fillId="0" borderId="0"/>
    <xf numFmtId="0" fontId="101" fillId="0" borderId="0"/>
    <xf numFmtId="0" fontId="6" fillId="0" borderId="0"/>
    <xf numFmtId="0" fontId="6" fillId="0" borderId="0"/>
    <xf numFmtId="0" fontId="214" fillId="0" borderId="0"/>
    <xf numFmtId="0" fontId="14" fillId="0" borderId="0"/>
    <xf numFmtId="0" fontId="6" fillId="0" borderId="0"/>
    <xf numFmtId="0" fontId="100" fillId="0" borderId="0"/>
    <xf numFmtId="0" fontId="125" fillId="0" borderId="0"/>
    <xf numFmtId="0" fontId="87" fillId="0" borderId="0"/>
    <xf numFmtId="0" fontId="6" fillId="0" borderId="0"/>
    <xf numFmtId="0" fontId="6" fillId="0" borderId="0"/>
    <xf numFmtId="0" fontId="6" fillId="0" borderId="0"/>
    <xf numFmtId="0" fontId="6" fillId="0" borderId="0"/>
    <xf numFmtId="0" fontId="14" fillId="0" borderId="0"/>
    <xf numFmtId="0" fontId="117" fillId="0" borderId="0"/>
    <xf numFmtId="0" fontId="117" fillId="0" borderId="0"/>
    <xf numFmtId="0" fontId="6" fillId="0" borderId="0"/>
    <xf numFmtId="0" fontId="99" fillId="0" borderId="0"/>
    <xf numFmtId="0" fontId="6" fillId="0" borderId="0"/>
    <xf numFmtId="0" fontId="6" fillId="0" borderId="0"/>
    <xf numFmtId="0" fontId="6" fillId="0" borderId="0"/>
    <xf numFmtId="9" fontId="14" fillId="0" borderId="0" applyFont="0" applyFill="0" applyBorder="0" applyAlignment="0" applyProtection="0"/>
    <xf numFmtId="42" fontId="83" fillId="0" borderId="0" applyFont="0" applyFill="0" applyBorder="0" applyAlignment="0" applyProtection="0"/>
    <xf numFmtId="174" fontId="10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2" fontId="22"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0" fontId="22" fillId="0" borderId="0" applyFont="0" applyFill="0" applyBorder="0" applyAlignment="0" applyProtection="0"/>
    <xf numFmtId="0" fontId="199" fillId="30" borderId="33" applyNumberFormat="0" applyAlignment="0" applyProtection="0"/>
    <xf numFmtId="237" fontId="22" fillId="0" borderId="0" applyFont="0" applyFill="0" applyBorder="0" applyAlignment="0" applyProtection="0"/>
    <xf numFmtId="3" fontId="22" fillId="0" borderId="0" applyFont="0" applyFill="0" applyBorder="0" applyAlignment="0" applyProtection="0"/>
    <xf numFmtId="43" fontId="215" fillId="0" borderId="0" applyFont="0" applyFill="0" applyBorder="0" applyAlignment="0" applyProtection="0"/>
    <xf numFmtId="180" fontId="22" fillId="0" borderId="0" applyFill="0" applyBorder="0" applyAlignment="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262" fontId="22" fillId="0" borderId="0" applyFill="0" applyBorder="0" applyAlignment="0"/>
    <xf numFmtId="0" fontId="14" fillId="0" borderId="0"/>
    <xf numFmtId="0" fontId="14" fillId="0" borderId="0"/>
    <xf numFmtId="0" fontId="22" fillId="0" borderId="0"/>
    <xf numFmtId="0" fontId="22" fillId="0" borderId="0"/>
    <xf numFmtId="0" fontId="14" fillId="0" borderId="0"/>
    <xf numFmtId="0" fontId="215" fillId="0" borderId="0"/>
    <xf numFmtId="0" fontId="14" fillId="0" borderId="0"/>
    <xf numFmtId="0" fontId="6" fillId="0" borderId="0"/>
    <xf numFmtId="0" fontId="14" fillId="0" borderId="0"/>
    <xf numFmtId="0" fontId="43" fillId="0" borderId="0"/>
    <xf numFmtId="0" fontId="100" fillId="17" borderId="0" applyNumberFormat="0" applyBorder="0" applyAlignment="0" applyProtection="0"/>
    <xf numFmtId="0" fontId="196" fillId="19" borderId="0" applyNumberFormat="0" applyBorder="0" applyAlignment="0" applyProtection="0"/>
    <xf numFmtId="0" fontId="196" fillId="16" borderId="0" applyNumberFormat="0" applyBorder="0" applyAlignment="0" applyProtection="0"/>
    <xf numFmtId="0" fontId="196" fillId="17" borderId="0" applyNumberFormat="0" applyBorder="0" applyAlignment="0" applyProtection="0"/>
    <xf numFmtId="0" fontId="196" fillId="20" borderId="0" applyNumberFormat="0" applyBorder="0" applyAlignment="0" applyProtection="0"/>
    <xf numFmtId="0" fontId="196" fillId="21" borderId="0" applyNumberFormat="0" applyBorder="0" applyAlignment="0" applyProtection="0"/>
    <xf numFmtId="0" fontId="196" fillId="22" borderId="0" applyNumberFormat="0" applyBorder="0" applyAlignment="0" applyProtection="0"/>
    <xf numFmtId="0" fontId="196" fillId="26" borderId="0" applyNumberFormat="0" applyBorder="0" applyAlignment="0" applyProtection="0"/>
    <xf numFmtId="0" fontId="196" fillId="27" borderId="0" applyNumberFormat="0" applyBorder="0" applyAlignment="0" applyProtection="0"/>
    <xf numFmtId="0" fontId="196" fillId="28" borderId="0" applyNumberFormat="0" applyBorder="0" applyAlignment="0" applyProtection="0"/>
    <xf numFmtId="0" fontId="196" fillId="20" borderId="0" applyNumberFormat="0" applyBorder="0" applyAlignment="0" applyProtection="0"/>
    <xf numFmtId="0" fontId="196" fillId="21" borderId="0" applyNumberFormat="0" applyBorder="0" applyAlignment="0" applyProtection="0"/>
    <xf numFmtId="0" fontId="196" fillId="29" borderId="0" applyNumberFormat="0" applyBorder="0" applyAlignment="0" applyProtection="0"/>
    <xf numFmtId="0" fontId="197" fillId="10" borderId="0" applyNumberFormat="0" applyBorder="0" applyAlignment="0" applyProtection="0"/>
    <xf numFmtId="0" fontId="198" fillId="33" borderId="43" applyNumberFormat="0" applyAlignment="0" applyProtection="0"/>
    <xf numFmtId="0" fontId="199" fillId="30" borderId="33" applyNumberFormat="0" applyAlignment="0" applyProtection="0"/>
    <xf numFmtId="43" fontId="22" fillId="0" borderId="0" applyFont="0" applyFill="0" applyBorder="0" applyAlignment="0" applyProtection="0"/>
    <xf numFmtId="0" fontId="201" fillId="0" borderId="0" applyNumberFormat="0" applyFill="0" applyBorder="0" applyAlignment="0" applyProtection="0"/>
    <xf numFmtId="0" fontId="202" fillId="11" borderId="0" applyNumberFormat="0" applyBorder="0" applyAlignment="0" applyProtection="0"/>
    <xf numFmtId="0" fontId="204" fillId="0" borderId="39" applyNumberFormat="0" applyFill="0" applyAlignment="0" applyProtection="0"/>
    <xf numFmtId="0" fontId="204" fillId="0" borderId="0" applyNumberFormat="0" applyFill="0" applyBorder="0" applyAlignment="0" applyProtection="0"/>
    <xf numFmtId="0" fontId="205" fillId="0" borderId="0"/>
    <xf numFmtId="0" fontId="206" fillId="0" borderId="35" applyNumberFormat="0" applyFill="0" applyAlignment="0" applyProtection="0"/>
    <xf numFmtId="0" fontId="14" fillId="0" borderId="0"/>
    <xf numFmtId="0" fontId="207" fillId="31" borderId="0" applyNumberFormat="0" applyBorder="0" applyAlignment="0" applyProtection="0"/>
    <xf numFmtId="0" fontId="14" fillId="0" borderId="0"/>
    <xf numFmtId="0" fontId="14" fillId="0" borderId="0"/>
    <xf numFmtId="0" fontId="14" fillId="0" borderId="0"/>
    <xf numFmtId="0" fontId="115" fillId="32" borderId="44" applyNumberFormat="0" applyFont="0" applyAlignment="0" applyProtection="0"/>
    <xf numFmtId="0" fontId="128" fillId="33" borderId="45" applyNumberFormat="0" applyAlignment="0" applyProtection="0"/>
    <xf numFmtId="0" fontId="209" fillId="0" borderId="0" applyNumberFormat="0" applyFill="0" applyBorder="0" applyAlignment="0" applyProtection="0"/>
    <xf numFmtId="0" fontId="210" fillId="0" borderId="0" applyNumberFormat="0" applyFill="0" applyBorder="0" applyAlignment="0" applyProtection="0"/>
    <xf numFmtId="0" fontId="14" fillId="0" borderId="0"/>
    <xf numFmtId="0" fontId="14" fillId="0" borderId="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0" fontId="14" fillId="0" borderId="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22" fillId="0" borderId="27" applyNumberFormat="0" applyFont="0" applyFill="0" applyAlignment="0" applyProtection="0"/>
    <xf numFmtId="0" fontId="43" fillId="0" borderId="0"/>
    <xf numFmtId="43" fontId="101" fillId="0" borderId="0" applyFont="0" applyFill="0" applyBorder="0" applyAlignment="0" applyProtection="0"/>
    <xf numFmtId="0" fontId="22" fillId="0" borderId="0"/>
    <xf numFmtId="0" fontId="22" fillId="0" borderId="0"/>
    <xf numFmtId="0" fontId="33" fillId="0" borderId="0">
      <protection locked="0"/>
    </xf>
    <xf numFmtId="9" fontId="101" fillId="0" borderId="0" applyFont="0" applyFill="0" applyBorder="0" applyAlignment="0" applyProtection="0"/>
    <xf numFmtId="0" fontId="101" fillId="0" borderId="0"/>
    <xf numFmtId="0" fontId="22" fillId="0" borderId="0"/>
    <xf numFmtId="0" fontId="101" fillId="0" borderId="0"/>
    <xf numFmtId="43" fontId="22" fillId="0" borderId="0" applyFont="0" applyFill="0" applyBorder="0" applyAlignment="0" applyProtection="0"/>
    <xf numFmtId="0" fontId="205" fillId="0" borderId="0"/>
    <xf numFmtId="0" fontId="218" fillId="0" borderId="0" applyNumberFormat="0" applyFill="0" applyBorder="0" applyAlignment="0" applyProtection="0"/>
    <xf numFmtId="43" fontId="14" fillId="0" borderId="0" applyFont="0" applyFill="0" applyBorder="0" applyAlignment="0" applyProtection="0"/>
    <xf numFmtId="9" fontId="101" fillId="0" borderId="0" applyFont="0" applyFill="0" applyBorder="0" applyAlignment="0" applyProtection="0"/>
    <xf numFmtId="43" fontId="101" fillId="0" borderId="0" applyFont="0" applyFill="0" applyBorder="0" applyAlignment="0" applyProtection="0"/>
    <xf numFmtId="9" fontId="101" fillId="0" borderId="0" applyFont="0" applyFill="0" applyBorder="0" applyAlignment="0" applyProtection="0"/>
    <xf numFmtId="0" fontId="22" fillId="0" borderId="0"/>
    <xf numFmtId="0" fontId="43" fillId="0" borderId="0"/>
    <xf numFmtId="43" fontId="101" fillId="0" borderId="0" applyFont="0" applyFill="0" applyBorder="0" applyAlignment="0" applyProtection="0"/>
    <xf numFmtId="0" fontId="101" fillId="0" borderId="0"/>
    <xf numFmtId="9" fontId="101" fillId="0" borderId="0" applyFont="0" applyFill="0" applyBorder="0" applyAlignment="0" applyProtection="0"/>
    <xf numFmtId="0" fontId="101" fillId="0" borderId="0"/>
    <xf numFmtId="43" fontId="101" fillId="0" borderId="0" applyFont="0" applyFill="0" applyBorder="0" applyAlignment="0" applyProtection="0"/>
    <xf numFmtId="43" fontId="22" fillId="0" borderId="0" applyFont="0" applyFill="0" applyBorder="0" applyAlignment="0" applyProtection="0"/>
    <xf numFmtId="43" fontId="101" fillId="0" borderId="0" applyFont="0" applyFill="0" applyBorder="0" applyAlignment="0" applyProtection="0"/>
    <xf numFmtId="43" fontId="101" fillId="0" borderId="0" applyFont="0" applyFill="0" applyBorder="0" applyAlignment="0" applyProtection="0"/>
    <xf numFmtId="9" fontId="101" fillId="0" borderId="0" applyFont="0" applyFill="0" applyBorder="0" applyAlignment="0" applyProtection="0"/>
    <xf numFmtId="0" fontId="101" fillId="0" borderId="0"/>
    <xf numFmtId="0" fontId="205" fillId="0" borderId="0"/>
    <xf numFmtId="43" fontId="101" fillId="0" borderId="0" applyFont="0" applyFill="0" applyBorder="0" applyAlignment="0" applyProtection="0"/>
    <xf numFmtId="43" fontId="101" fillId="0" borderId="0" applyFont="0" applyFill="0" applyBorder="0" applyAlignment="0" applyProtection="0"/>
    <xf numFmtId="0" fontId="6" fillId="0" borderId="0"/>
    <xf numFmtId="0" fontId="101" fillId="0" borderId="0"/>
    <xf numFmtId="43" fontId="101" fillId="0" borderId="0" applyFont="0" applyFill="0" applyBorder="0" applyAlignment="0" applyProtection="0"/>
    <xf numFmtId="9" fontId="101" fillId="0" borderId="0" applyFont="0" applyFill="0" applyBorder="0" applyAlignment="0" applyProtection="0"/>
    <xf numFmtId="0" fontId="101" fillId="0" borderId="0"/>
    <xf numFmtId="0" fontId="101" fillId="0" borderId="0"/>
    <xf numFmtId="43"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43" fontId="101" fillId="0" borderId="0" applyFont="0" applyFill="0" applyBorder="0" applyAlignment="0" applyProtection="0"/>
    <xf numFmtId="9" fontId="101" fillId="0" borderId="0" applyFont="0" applyFill="0" applyBorder="0" applyAlignment="0" applyProtection="0"/>
    <xf numFmtId="0" fontId="101" fillId="0" borderId="0"/>
    <xf numFmtId="0" fontId="199" fillId="30" borderId="33" applyNumberFormat="0" applyAlignment="0" applyProtection="0"/>
    <xf numFmtId="0" fontId="43" fillId="0" borderId="0"/>
    <xf numFmtId="0" fontId="205" fillId="0" borderId="0"/>
    <xf numFmtId="43" fontId="22" fillId="0" borderId="0" applyFont="0" applyFill="0" applyBorder="0" applyAlignment="0" applyProtection="0"/>
    <xf numFmtId="9" fontId="101" fillId="0" borderId="0" applyFont="0" applyFill="0" applyBorder="0" applyAlignment="0" applyProtection="0"/>
    <xf numFmtId="43" fontId="101" fillId="0" borderId="0" applyFont="0" applyFill="0" applyBorder="0" applyAlignment="0" applyProtection="0"/>
    <xf numFmtId="0" fontId="22" fillId="0" borderId="27" applyNumberFormat="0" applyFont="0" applyFill="0" applyAlignment="0" applyProtection="0"/>
    <xf numFmtId="43" fontId="101" fillId="0" borderId="0" applyFont="0" applyFill="0" applyBorder="0" applyAlignment="0" applyProtection="0"/>
    <xf numFmtId="43" fontId="101" fillId="0" borderId="0" applyFont="0" applyFill="0" applyBorder="0" applyAlignment="0" applyProtection="0"/>
    <xf numFmtId="0" fontId="101" fillId="0" borderId="0"/>
    <xf numFmtId="0" fontId="101" fillId="0" borderId="0"/>
    <xf numFmtId="245" fontId="217" fillId="0" borderId="0" applyNumberFormat="0" applyFill="0" applyBorder="0" applyAlignment="0" applyProtection="0"/>
    <xf numFmtId="0" fontId="199" fillId="30" borderId="33" applyNumberFormat="0" applyAlignment="0" applyProtection="0"/>
    <xf numFmtId="43" fontId="6" fillId="0" borderId="0" applyFont="0" applyFill="0" applyBorder="0" applyAlignment="0" applyProtection="0"/>
    <xf numFmtId="0" fontId="101" fillId="0" borderId="0"/>
    <xf numFmtId="43" fontId="101" fillId="0" borderId="0" applyFont="0" applyFill="0" applyBorder="0" applyAlignment="0" applyProtection="0"/>
    <xf numFmtId="43" fontId="101" fillId="0" borderId="0" applyFont="0" applyFill="0" applyBorder="0" applyAlignment="0" applyProtection="0"/>
    <xf numFmtId="0" fontId="101" fillId="0" borderId="0"/>
    <xf numFmtId="9" fontId="101" fillId="0" borderId="0" applyFont="0" applyFill="0" applyBorder="0" applyAlignment="0" applyProtection="0"/>
    <xf numFmtId="0" fontId="101" fillId="0" borderId="0"/>
    <xf numFmtId="0" fontId="101" fillId="0" borderId="0"/>
    <xf numFmtId="0" fontId="22" fillId="0" borderId="27" applyNumberFormat="0" applyFont="0" applyFill="0" applyAlignment="0" applyProtection="0"/>
    <xf numFmtId="0" fontId="101" fillId="0" borderId="0"/>
    <xf numFmtId="9" fontId="101" fillId="0" borderId="0" applyFont="0" applyFill="0" applyBorder="0" applyAlignment="0" applyProtection="0"/>
    <xf numFmtId="9" fontId="101" fillId="0" borderId="0" applyFont="0" applyFill="0" applyBorder="0" applyAlignment="0" applyProtection="0"/>
    <xf numFmtId="0" fontId="101" fillId="0" borderId="0"/>
    <xf numFmtId="0" fontId="101" fillId="0" borderId="0"/>
    <xf numFmtId="9" fontId="101" fillId="0" borderId="0" applyFont="0" applyFill="0" applyBorder="0" applyAlignment="0" applyProtection="0"/>
    <xf numFmtId="9" fontId="101" fillId="0" borderId="0" applyFont="0" applyFill="0" applyBorder="0" applyAlignment="0" applyProtection="0"/>
    <xf numFmtId="43"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43" fontId="101" fillId="0" borderId="0" applyFont="0" applyFill="0" applyBorder="0" applyAlignment="0" applyProtection="0"/>
    <xf numFmtId="0" fontId="101" fillId="0" borderId="0"/>
    <xf numFmtId="43" fontId="101" fillId="0" borderId="0" applyFont="0" applyFill="0" applyBorder="0" applyAlignment="0" applyProtection="0"/>
    <xf numFmtId="0" fontId="101" fillId="0" borderId="0"/>
    <xf numFmtId="43"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9" fontId="101" fillId="0" borderId="0" applyFont="0" applyFill="0" applyBorder="0" applyAlignment="0" applyProtection="0"/>
    <xf numFmtId="0" fontId="14" fillId="0" borderId="0"/>
    <xf numFmtId="0" fontId="14" fillId="0" borderId="0"/>
    <xf numFmtId="0" fontId="6" fillId="0" borderId="0"/>
    <xf numFmtId="174" fontId="22" fillId="0" borderId="0" applyFont="0" applyFill="0" applyBorder="0" applyAlignment="0" applyProtection="0"/>
    <xf numFmtId="0" fontId="6" fillId="0" borderId="0"/>
    <xf numFmtId="0" fontId="6" fillId="0" borderId="0"/>
    <xf numFmtId="0" fontId="14" fillId="0" borderId="0"/>
    <xf numFmtId="0" fontId="14" fillId="0" borderId="0"/>
    <xf numFmtId="0" fontId="14" fillId="0" borderId="0"/>
    <xf numFmtId="0" fontId="14" fillId="0" borderId="0"/>
    <xf numFmtId="0" fontId="6" fillId="0" borderId="0"/>
    <xf numFmtId="0" fontId="6" fillId="0" borderId="0"/>
    <xf numFmtId="0" fontId="6" fillId="0" borderId="0"/>
    <xf numFmtId="0" fontId="14" fillId="0" borderId="0"/>
    <xf numFmtId="0" fontId="14" fillId="0" borderId="0"/>
    <xf numFmtId="174" fontId="101" fillId="0" borderId="0" applyFont="0" applyFill="0" applyBorder="0" applyAlignment="0" applyProtection="0"/>
    <xf numFmtId="174" fontId="6" fillId="0" borderId="0" applyFont="0" applyFill="0" applyBorder="0" applyAlignment="0" applyProtection="0"/>
    <xf numFmtId="174" fontId="22"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100"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22"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0" fontId="6"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87" fillId="0" borderId="0" applyFont="0" applyFill="0" applyBorder="0" applyAlignment="0" applyProtection="0"/>
    <xf numFmtId="174" fontId="22" fillId="0" borderId="0" applyFont="0" applyFill="0" applyBorder="0" applyAlignment="0" applyProtection="0"/>
    <xf numFmtId="174" fontId="98"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2" fontId="117" fillId="0" borderId="0" applyFont="0" applyFill="0" applyBorder="0" applyAlignment="0" applyProtection="0"/>
    <xf numFmtId="174" fontId="100" fillId="0" borderId="0" applyFont="0" applyFill="0" applyBorder="0" applyAlignment="0" applyProtection="0"/>
    <xf numFmtId="174" fontId="22" fillId="0" borderId="0" applyFont="0" applyFill="0" applyBorder="0" applyAlignment="0" applyProtection="0"/>
    <xf numFmtId="174" fontId="100"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22"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100"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216"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02" fillId="0" borderId="0" applyFont="0" applyFill="0" applyBorder="0" applyAlignment="0" applyProtection="0"/>
    <xf numFmtId="174" fontId="102"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0" borderId="0"/>
    <xf numFmtId="0" fontId="14" fillId="0" borderId="0"/>
    <xf numFmtId="0" fontId="6" fillId="0" borderId="0"/>
    <xf numFmtId="0" fontId="6" fillId="0" borderId="0"/>
    <xf numFmtId="0" fontId="6" fillId="0" borderId="0"/>
    <xf numFmtId="0" fontId="14" fillId="0" borderId="0"/>
    <xf numFmtId="0" fontId="6" fillId="0" borderId="0"/>
    <xf numFmtId="0" fontId="14" fillId="0" borderId="0"/>
    <xf numFmtId="0" fontId="6" fillId="0" borderId="0"/>
    <xf numFmtId="0" fontId="6" fillId="0" borderId="0"/>
    <xf numFmtId="0" fontId="6" fillId="0" borderId="0"/>
    <xf numFmtId="0" fontId="6" fillId="0" borderId="0"/>
    <xf numFmtId="0" fontId="6" fillId="0" borderId="0"/>
    <xf numFmtId="0" fontId="6" fillId="0" borderId="0"/>
    <xf numFmtId="0" fontId="14" fillId="0" borderId="0"/>
    <xf numFmtId="174" fontId="22" fillId="0" borderId="0"/>
    <xf numFmtId="174" fontId="22" fillId="0" borderId="0"/>
    <xf numFmtId="0" fontId="6" fillId="0" borderId="0"/>
    <xf numFmtId="0" fontId="6" fillId="0" borderId="0"/>
    <xf numFmtId="0" fontId="6" fillId="0" borderId="0"/>
    <xf numFmtId="0" fontId="6" fillId="0" borderId="0"/>
    <xf numFmtId="0" fontId="6" fillId="0" borderId="0"/>
    <xf numFmtId="0" fontId="14" fillId="0" borderId="0"/>
    <xf numFmtId="0" fontId="6" fillId="0" borderId="0"/>
    <xf numFmtId="0" fontId="6" fillId="0" borderId="0"/>
    <xf numFmtId="0" fontId="6" fillId="0" borderId="0"/>
    <xf numFmtId="0" fontId="6" fillId="0" borderId="0"/>
    <xf numFmtId="0" fontId="6" fillId="0" borderId="0"/>
    <xf numFmtId="0" fontId="14" fillId="0" borderId="0"/>
    <xf numFmtId="0" fontId="6" fillId="0" borderId="0"/>
    <xf numFmtId="0" fontId="6" fillId="0" borderId="0"/>
    <xf numFmtId="0" fontId="6" fillId="0" borderId="0"/>
    <xf numFmtId="0" fontId="6" fillId="0" borderId="0"/>
    <xf numFmtId="9" fontId="14" fillId="0" borderId="0" applyFont="0" applyFill="0" applyBorder="0" applyAlignment="0" applyProtection="0"/>
    <xf numFmtId="174" fontId="101"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0" fontId="199" fillId="30" borderId="33" applyNumberFormat="0" applyAlignment="0" applyProtection="0"/>
    <xf numFmtId="174" fontId="215"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6" fillId="0" borderId="0"/>
    <xf numFmtId="0" fontId="14" fillId="0" borderId="0"/>
    <xf numFmtId="0" fontId="199" fillId="30" borderId="33" applyNumberFormat="0" applyAlignment="0" applyProtection="0"/>
    <xf numFmtId="174" fontId="22"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22" fillId="0" borderId="27" applyNumberFormat="0" applyFont="0" applyFill="0" applyAlignment="0" applyProtection="0"/>
    <xf numFmtId="0" fontId="14" fillId="0" borderId="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0" fontId="14" fillId="0" borderId="0" applyFont="0" applyFill="0" applyBorder="0" applyAlignment="0" applyProtection="0"/>
    <xf numFmtId="170"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4" fontId="14" fillId="0" borderId="0" applyFont="0" applyFill="0" applyBorder="0" applyAlignment="0" applyProtection="0"/>
    <xf numFmtId="173" fontId="14" fillId="0" borderId="0" applyFont="0" applyFill="0" applyBorder="0" applyAlignment="0" applyProtection="0"/>
    <xf numFmtId="17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22" fillId="0" borderId="27" applyNumberFormat="0" applyFont="0" applyFill="0" applyAlignment="0" applyProtection="0"/>
    <xf numFmtId="174" fontId="101" fillId="0" borderId="0" applyFont="0" applyFill="0" applyBorder="0" applyAlignment="0" applyProtection="0"/>
    <xf numFmtId="174" fontId="22" fillId="0" borderId="0" applyFont="0" applyFill="0" applyBorder="0" applyAlignment="0" applyProtection="0"/>
    <xf numFmtId="174" fontId="14"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174" fontId="22"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0" fontId="6" fillId="0" borderId="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0" fontId="199" fillId="30" borderId="33" applyNumberFormat="0" applyAlignment="0" applyProtection="0"/>
    <xf numFmtId="174" fontId="22" fillId="0" borderId="0" applyFont="0" applyFill="0" applyBorder="0" applyAlignment="0" applyProtection="0"/>
    <xf numFmtId="174" fontId="101" fillId="0" borderId="0" applyFont="0" applyFill="0" applyBorder="0" applyAlignment="0" applyProtection="0"/>
    <xf numFmtId="0" fontId="22" fillId="0" borderId="27" applyNumberFormat="0" applyFont="0" applyFill="0" applyAlignment="0" applyProtection="0"/>
    <xf numFmtId="174" fontId="101" fillId="0" borderId="0" applyFont="0" applyFill="0" applyBorder="0" applyAlignment="0" applyProtection="0"/>
    <xf numFmtId="174" fontId="101" fillId="0" borderId="0" applyFont="0" applyFill="0" applyBorder="0" applyAlignment="0" applyProtection="0"/>
    <xf numFmtId="0" fontId="199" fillId="30" borderId="33" applyNumberFormat="0" applyAlignment="0" applyProtection="0"/>
    <xf numFmtId="174" fontId="6"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0" fontId="22" fillId="0" borderId="27" applyNumberFormat="0" applyFont="0" applyFill="0" applyAlignment="0" applyProtection="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174" fontId="101" fillId="0" borderId="0" applyFont="0" applyFill="0" applyBorder="0" applyAlignment="0" applyProtection="0"/>
    <xf numFmtId="0" fontId="14" fillId="0" borderId="0"/>
    <xf numFmtId="0" fontId="14" fillId="0" borderId="0"/>
    <xf numFmtId="0" fontId="22" fillId="0" borderId="27" applyNumberFormat="0" applyFont="0" applyFill="0" applyAlignment="0" applyProtection="0"/>
    <xf numFmtId="0" fontId="22" fillId="0" borderId="27" applyNumberFormat="0" applyFont="0" applyFill="0" applyAlignment="0" applyProtection="0"/>
    <xf numFmtId="0" fontId="22" fillId="0" borderId="27" applyNumberFormat="0" applyFont="0" applyFill="0" applyAlignment="0" applyProtection="0"/>
    <xf numFmtId="0" fontId="6" fillId="0" borderId="0"/>
    <xf numFmtId="0" fontId="6" fillId="0" borderId="0"/>
    <xf numFmtId="0" fontId="6" fillId="0" borderId="0"/>
    <xf numFmtId="0" fontId="22" fillId="0" borderId="27" applyNumberFormat="0" applyFont="0" applyFill="0" applyAlignment="0" applyProtection="0"/>
    <xf numFmtId="0" fontId="199" fillId="30" borderId="33" applyNumberFormat="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43" fontId="14"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170" fontId="6" fillId="0" borderId="0" applyFont="0" applyFill="0" applyBorder="0" applyAlignment="0" applyProtection="0"/>
    <xf numFmtId="43" fontId="14"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43" fontId="14"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6" fillId="0" borderId="0" applyFont="0" applyFill="0" applyBorder="0" applyAlignment="0" applyProtection="0"/>
    <xf numFmtId="17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30" borderId="33"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30" borderId="33"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99" fillId="30" borderId="33"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22" fillId="0" borderId="27" applyNumberFormat="0" applyFont="0" applyFill="0" applyAlignment="0" applyProtection="0"/>
    <xf numFmtId="0" fontId="6" fillId="0" borderId="0"/>
    <xf numFmtId="0" fontId="199" fillId="30" borderId="33"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99" fillId="30" borderId="33" applyNumberFormat="0" applyAlignment="0" applyProtection="0"/>
    <xf numFmtId="43" fontId="14" fillId="0" borderId="0" applyFont="0" applyFill="0" applyBorder="0" applyAlignment="0" applyProtection="0"/>
    <xf numFmtId="43" fontId="14" fillId="0" borderId="0" applyFont="0" applyFill="0" applyBorder="0" applyAlignment="0" applyProtection="0"/>
    <xf numFmtId="0" fontId="22" fillId="0" borderId="27" applyNumberFormat="0" applyFont="0" applyFill="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99" fillId="30" borderId="33" applyNumberFormat="0" applyAlignment="0" applyProtection="0"/>
    <xf numFmtId="43" fontId="14" fillId="0" borderId="0" applyFont="0" applyFill="0" applyBorder="0" applyAlignment="0" applyProtection="0"/>
    <xf numFmtId="0" fontId="199" fillId="30" borderId="33" applyNumberFormat="0" applyAlignment="0" applyProtection="0"/>
    <xf numFmtId="0" fontId="199" fillId="30" borderId="33" applyNumberFormat="0" applyAlignment="0" applyProtection="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0"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0" fontId="22" fillId="0" borderId="27" applyNumberFormat="0" applyFont="0" applyFill="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174"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30" borderId="33"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99" fillId="30" borderId="33" applyNumberFormat="0" applyAlignment="0" applyProtection="0"/>
    <xf numFmtId="0" fontId="22" fillId="0" borderId="27" applyNumberFormat="0" applyFont="0" applyFill="0" applyAlignment="0" applyProtection="0"/>
    <xf numFmtId="0" fontId="6" fillId="0" borderId="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22" fillId="0" borderId="27" applyNumberFormat="0" applyFont="0" applyFill="0" applyAlignment="0" applyProtection="0"/>
    <xf numFmtId="0" fontId="6" fillId="0" borderId="0"/>
    <xf numFmtId="0" fontId="199" fillId="30" borderId="33" applyNumberFormat="0" applyAlignment="0" applyProtection="0"/>
    <xf numFmtId="0" fontId="22" fillId="0" borderId="27" applyNumberFormat="0" applyFont="0" applyFill="0" applyAlignment="0" applyProtection="0"/>
    <xf numFmtId="0" fontId="22" fillId="0" borderId="27" applyNumberFormat="0" applyFont="0" applyFill="0" applyAlignment="0" applyProtection="0"/>
    <xf numFmtId="0" fontId="199" fillId="30" borderId="33" applyNumberFormat="0" applyAlignment="0" applyProtection="0"/>
    <xf numFmtId="174" fontId="6" fillId="0" borderId="0" applyFont="0" applyFill="0" applyBorder="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199" fillId="30" borderId="33" applyNumberFormat="0" applyAlignment="0" applyProtection="0"/>
    <xf numFmtId="0" fontId="22" fillId="0" borderId="27" applyNumberFormat="0" applyFont="0" applyFill="0" applyAlignment="0" applyProtection="0"/>
    <xf numFmtId="0" fontId="83" fillId="0" borderId="0"/>
    <xf numFmtId="43" fontId="8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83" fillId="0" borderId="0"/>
    <xf numFmtId="43" fontId="83" fillId="0" borderId="0" applyFont="0" applyFill="0" applyBorder="0" applyAlignment="0" applyProtection="0"/>
    <xf numFmtId="0" fontId="198" fillId="33" borderId="46" applyNumberFormat="0" applyAlignment="0" applyProtection="0"/>
    <xf numFmtId="0" fontId="110" fillId="0" borderId="0" applyProtection="0"/>
    <xf numFmtId="0" fontId="109" fillId="0" borderId="0" applyProtection="0"/>
    <xf numFmtId="0" fontId="115" fillId="32" borderId="47" applyNumberFormat="0" applyFont="0" applyAlignment="0" applyProtection="0"/>
    <xf numFmtId="0" fontId="115" fillId="32" borderId="47" applyNumberFormat="0" applyFont="0" applyAlignment="0" applyProtection="0"/>
    <xf numFmtId="0" fontId="128" fillId="33" borderId="48" applyNumberFormat="0" applyAlignment="0" applyProtection="0"/>
    <xf numFmtId="0" fontId="43" fillId="0" borderId="0"/>
    <xf numFmtId="0" fontId="128" fillId="33" borderId="51" applyNumberFormat="0" applyAlignment="0" applyProtection="0"/>
    <xf numFmtId="0" fontId="198" fillId="33" borderId="49" applyNumberFormat="0" applyAlignment="0" applyProtection="0"/>
    <xf numFmtId="0" fontId="128" fillId="33" borderId="51" applyNumberFormat="0" applyAlignment="0" applyProtection="0"/>
    <xf numFmtId="0" fontId="198" fillId="33" borderId="46" applyNumberFormat="0" applyAlignment="0" applyProtection="0"/>
    <xf numFmtId="0" fontId="115" fillId="32" borderId="47" applyNumberFormat="0" applyFont="0" applyAlignment="0" applyProtection="0"/>
    <xf numFmtId="0" fontId="128" fillId="33" borderId="48" applyNumberFormat="0" applyAlignment="0" applyProtection="0"/>
    <xf numFmtId="0" fontId="115" fillId="32" borderId="50" applyNumberFormat="0" applyFont="0" applyAlignment="0" applyProtection="0"/>
    <xf numFmtId="0" fontId="109" fillId="0" borderId="0" applyProtection="0"/>
    <xf numFmtId="0" fontId="198" fillId="33" borderId="49" applyNumberFormat="0" applyAlignment="0" applyProtection="0"/>
    <xf numFmtId="0" fontId="115" fillId="32" borderId="50" applyNumberFormat="0" applyFont="0" applyAlignment="0" applyProtection="0"/>
    <xf numFmtId="269" fontId="194" fillId="0" borderId="0" applyFont="0" applyFill="0" applyBorder="0" applyAlignment="0" applyProtection="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41"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45"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8" fillId="24" borderId="51" applyNumberFormat="0" applyAlignment="0" applyProtection="0"/>
    <xf numFmtId="0" fontId="83" fillId="32" borderId="50" applyNumberFormat="0" applyFont="0" applyAlignment="0" applyProtection="0"/>
    <xf numFmtId="0" fontId="144" fillId="14" borderId="49" applyNumberFormat="0" applyAlignment="0" applyProtection="0"/>
    <xf numFmtId="0" fontId="145" fillId="33" borderId="51" applyNumberFormat="0" applyAlignment="0" applyProtection="0"/>
    <xf numFmtId="0" fontId="153" fillId="33" borderId="49" applyNumberFormat="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169" fillId="33" borderId="51" applyNumberFormat="0" applyAlignment="0" applyProtection="0"/>
    <xf numFmtId="0" fontId="170" fillId="14" borderId="49" applyNumberFormat="0" applyAlignment="0" applyProtection="0"/>
    <xf numFmtId="0" fontId="83" fillId="32" borderId="50" applyNumberFormat="0" applyFont="0" applyAlignment="0" applyProtection="0"/>
    <xf numFmtId="0" fontId="184" fillId="33" borderId="49"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41"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45"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98" fillId="33" borderId="49" applyNumberFormat="0" applyAlignment="0" applyProtection="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43" fontId="4" fillId="0" borderId="0" applyFont="0" applyFill="0" applyBorder="0" applyAlignment="0" applyProtection="0"/>
    <xf numFmtId="17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0"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17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198" fillId="33" borderId="49" applyNumberFormat="0" applyAlignment="0" applyProtection="0"/>
    <xf numFmtId="0" fontId="115" fillId="32" borderId="50" applyNumberFormat="0" applyFont="0" applyAlignment="0" applyProtection="0"/>
    <xf numFmtId="0" fontId="115" fillId="32" borderId="50" applyNumberFormat="0" applyFont="0" applyAlignment="0" applyProtection="0"/>
    <xf numFmtId="0" fontId="128" fillId="33" borderId="51" applyNumberFormat="0" applyAlignment="0" applyProtection="0"/>
    <xf numFmtId="0" fontId="198" fillId="33" borderId="49" applyNumberFormat="0" applyAlignment="0" applyProtection="0"/>
    <xf numFmtId="0" fontId="115" fillId="32" borderId="50" applyNumberFormat="0" applyFont="0" applyAlignment="0" applyProtection="0"/>
    <xf numFmtId="0" fontId="128" fillId="33" borderId="51" applyNumberFormat="0" applyAlignment="0" applyProtection="0"/>
    <xf numFmtId="0" fontId="4" fillId="0" borderId="0"/>
    <xf numFmtId="0" fontId="4" fillId="0" borderId="0"/>
    <xf numFmtId="0" fontId="104" fillId="0" borderId="0"/>
    <xf numFmtId="233" fontId="104" fillId="0" borderId="0"/>
    <xf numFmtId="43" fontId="3" fillId="0" borderId="0" applyFont="0" applyFill="0" applyBorder="0" applyAlignment="0" applyProtection="0"/>
    <xf numFmtId="0" fontId="3" fillId="0" borderId="0"/>
    <xf numFmtId="233" fontId="104" fillId="0" borderId="0"/>
    <xf numFmtId="43" fontId="3" fillId="0" borderId="0" applyFont="0" applyFill="0" applyBorder="0" applyAlignment="0" applyProtection="0"/>
    <xf numFmtId="0" fontId="104"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104" fillId="0" borderId="0"/>
    <xf numFmtId="233" fontId="104"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43" fillId="0" borderId="0"/>
    <xf numFmtId="43" fontId="43" fillId="0" borderId="0" applyFont="0" applyFill="0" applyBorder="0" applyAlignment="0" applyProtection="0"/>
    <xf numFmtId="0" fontId="1" fillId="0" borderId="0"/>
    <xf numFmtId="0" fontId="153" fillId="33" borderId="84" applyNumberFormat="0" applyAlignment="0" applyProtection="0"/>
    <xf numFmtId="0" fontId="115" fillId="32" borderId="75" applyNumberFormat="0" applyFont="0" applyAlignment="0" applyProtection="0"/>
    <xf numFmtId="0" fontId="144" fillId="14" borderId="76" applyNumberFormat="0" applyAlignment="0" applyProtection="0"/>
    <xf numFmtId="0" fontId="21" fillId="0" borderId="0"/>
    <xf numFmtId="0" fontId="1" fillId="0" borderId="0"/>
    <xf numFmtId="252" fontId="22" fillId="0" borderId="71">
      <alignment horizontal="right" vertical="center"/>
    </xf>
    <xf numFmtId="0" fontId="99" fillId="0" borderId="0"/>
    <xf numFmtId="282" fontId="22" fillId="0" borderId="0" applyFont="0" applyFill="0" applyBorder="0" applyAlignment="0" applyProtection="0"/>
    <xf numFmtId="239" fontId="22" fillId="0" borderId="0" applyFont="0" applyFill="0" applyBorder="0" applyAlignment="0" applyProtection="0"/>
    <xf numFmtId="284" fontId="83" fillId="0" borderId="0" applyFont="0" applyFill="0" applyBorder="0" applyAlignment="0" applyProtection="0"/>
    <xf numFmtId="288" fontId="83" fillId="0" borderId="0" applyFont="0" applyFill="0" applyBorder="0" applyAlignment="0" applyProtection="0"/>
    <xf numFmtId="284" fontId="83" fillId="0" borderId="0" applyFont="0" applyFill="0" applyBorder="0" applyAlignment="0" applyProtection="0"/>
    <xf numFmtId="0" fontId="145" fillId="33" borderId="82" applyNumberFormat="0" applyAlignment="0" applyProtection="0"/>
    <xf numFmtId="267" fontId="83" fillId="0" borderId="0" applyFont="0" applyFill="0" applyBorder="0" applyAlignment="0" applyProtection="0"/>
    <xf numFmtId="200"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89" fontId="83" fillId="0" borderId="0" applyFont="0" applyFill="0" applyBorder="0" applyAlignment="0" applyProtection="0"/>
    <xf numFmtId="199" fontId="83" fillId="0" borderId="0" applyFont="0" applyFill="0" applyBorder="0" applyAlignment="0" applyProtection="0"/>
    <xf numFmtId="0" fontId="170" fillId="14" borderId="69" applyNumberFormat="0" applyAlignment="0" applyProtection="0"/>
    <xf numFmtId="0" fontId="198" fillId="33" borderId="62" applyNumberFormat="0" applyAlignment="0" applyProtection="0"/>
    <xf numFmtId="248" fontId="130" fillId="0" borderId="86">
      <alignment horizontal="right" vertical="center"/>
    </xf>
    <xf numFmtId="284" fontId="83" fillId="0" borderId="0" applyFont="0" applyFill="0" applyBorder="0" applyAlignment="0" applyProtection="0"/>
    <xf numFmtId="186" fontId="23" fillId="0" borderId="0" applyFont="0" applyFill="0" applyBorder="0" applyAlignment="0" applyProtection="0"/>
    <xf numFmtId="288" fontId="83" fillId="0" borderId="0" applyFont="0" applyFill="0" applyBorder="0" applyAlignment="0" applyProtection="0"/>
    <xf numFmtId="42" fontId="83" fillId="0" borderId="0" applyFont="0" applyFill="0" applyBorder="0" applyAlignment="0" applyProtection="0"/>
    <xf numFmtId="208" fontId="83" fillId="0" borderId="0" applyFont="0" applyFill="0" applyBorder="0" applyAlignment="0" applyProtection="0"/>
    <xf numFmtId="0" fontId="198" fillId="33" borderId="84" applyNumberFormat="0" applyAlignment="0" applyProtection="0"/>
    <xf numFmtId="267" fontId="83" fillId="0" borderId="0" applyFont="0" applyFill="0" applyBorder="0" applyAlignment="0" applyProtection="0"/>
    <xf numFmtId="0" fontId="128" fillId="24" borderId="60" applyNumberFormat="0" applyAlignment="0" applyProtection="0"/>
    <xf numFmtId="200"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89" fontId="83" fillId="0" borderId="0" applyFont="0" applyFill="0" applyBorder="0" applyAlignment="0" applyProtection="0"/>
    <xf numFmtId="199" fontId="83" fillId="0" borderId="0" applyFont="0" applyFill="0" applyBorder="0" applyAlignment="0" applyProtection="0"/>
    <xf numFmtId="0" fontId="115" fillId="32" borderId="83" applyNumberFormat="0" applyFont="0" applyAlignment="0" applyProtection="0"/>
    <xf numFmtId="253" fontId="24" fillId="0" borderId="64">
      <alignment horizontal="right" vertical="center"/>
    </xf>
    <xf numFmtId="0" fontId="156" fillId="0" borderId="92" applyNumberFormat="0" applyFill="0" applyAlignment="0" applyProtection="0"/>
    <xf numFmtId="0" fontId="115" fillId="32" borderId="68" applyNumberFormat="0" applyFont="0" applyAlignment="0" applyProtection="0"/>
    <xf numFmtId="0" fontId="198" fillId="33" borderId="69" applyNumberFormat="0" applyAlignment="0" applyProtection="0"/>
    <xf numFmtId="285" fontId="83" fillId="0" borderId="0" applyFont="0" applyFill="0" applyBorder="0" applyAlignment="0" applyProtection="0"/>
    <xf numFmtId="0" fontId="115" fillId="32" borderId="75" applyNumberFormat="0" applyFont="0" applyAlignment="0" applyProtection="0"/>
    <xf numFmtId="187"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287" fontId="83" fillId="0" borderId="0" applyFont="0" applyFill="0" applyBorder="0" applyAlignment="0" applyProtection="0"/>
    <xf numFmtId="0" fontId="128" fillId="33" borderId="74" applyNumberFormat="0" applyAlignment="0" applyProtection="0"/>
    <xf numFmtId="210" fontId="83" fillId="0" borderId="0" applyFont="0" applyFill="0" applyBorder="0" applyAlignment="0" applyProtection="0"/>
    <xf numFmtId="0" fontId="198" fillId="33" borderId="62" applyNumberFormat="0" applyAlignment="0" applyProtection="0"/>
    <xf numFmtId="186" fontId="23" fillId="0" borderId="0" applyFont="0" applyFill="0" applyBorder="0" applyAlignment="0" applyProtection="0"/>
    <xf numFmtId="251" fontId="22" fillId="0" borderId="64">
      <alignment horizontal="right" vertical="center"/>
    </xf>
    <xf numFmtId="288" fontId="83" fillId="0" borderId="0" applyFont="0" applyFill="0" applyBorder="0" applyAlignment="0" applyProtection="0"/>
    <xf numFmtId="42" fontId="83" fillId="0" borderId="0" applyFont="0" applyFill="0" applyBorder="0" applyAlignment="0" applyProtection="0"/>
    <xf numFmtId="208" fontId="83" fillId="0" borderId="0" applyFont="0" applyFill="0" applyBorder="0" applyAlignment="0" applyProtection="0"/>
    <xf numFmtId="250" fontId="22" fillId="0" borderId="64">
      <alignment horizontal="right" vertical="center"/>
    </xf>
    <xf numFmtId="249" fontId="83" fillId="0" borderId="64">
      <alignment horizontal="right" vertical="center"/>
    </xf>
    <xf numFmtId="285" fontId="83" fillId="0" borderId="0" applyFont="0" applyFill="0" applyBorder="0" applyAlignment="0" applyProtection="0"/>
    <xf numFmtId="252" fontId="22" fillId="0" borderId="86">
      <alignment horizontal="right" vertical="center"/>
    </xf>
    <xf numFmtId="187"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287" fontId="83" fillId="0" borderId="0" applyFont="0" applyFill="0" applyBorder="0" applyAlignment="0" applyProtection="0"/>
    <xf numFmtId="0" fontId="115" fillId="32" borderId="75" applyNumberFormat="0" applyFont="0" applyAlignment="0" applyProtection="0"/>
    <xf numFmtId="210" fontId="83" fillId="0" borderId="0" applyFont="0" applyFill="0" applyBorder="0" applyAlignment="0" applyProtection="0"/>
    <xf numFmtId="0" fontId="115" fillId="32" borderId="68" applyNumberFormat="0" applyFont="0" applyAlignment="0" applyProtection="0"/>
    <xf numFmtId="267" fontId="83" fillId="0" borderId="0" applyFont="0" applyFill="0" applyBorder="0" applyAlignment="0" applyProtection="0"/>
    <xf numFmtId="200"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89" fontId="83" fillId="0" borderId="0" applyFont="0" applyFill="0" applyBorder="0" applyAlignment="0" applyProtection="0"/>
    <xf numFmtId="0" fontId="198" fillId="33" borderId="76" applyNumberFormat="0" applyAlignment="0" applyProtection="0"/>
    <xf numFmtId="199" fontId="83" fillId="0" borderId="0" applyFont="0" applyFill="0" applyBorder="0" applyAlignment="0" applyProtection="0"/>
    <xf numFmtId="248" fontId="130" fillId="0" borderId="78">
      <alignment horizontal="right" vertical="center"/>
    </xf>
    <xf numFmtId="0" fontId="185" fillId="0" borderId="85" applyNumberFormat="0" applyFill="0" applyAlignment="0" applyProtection="0"/>
    <xf numFmtId="0" fontId="198" fillId="33" borderId="91" applyNumberFormat="0" applyAlignment="0" applyProtection="0"/>
    <xf numFmtId="0" fontId="198" fillId="33" borderId="76" applyNumberFormat="0" applyAlignment="0" applyProtection="0"/>
    <xf numFmtId="0" fontId="128" fillId="33" borderId="67" applyNumberFormat="0" applyAlignment="0" applyProtection="0"/>
    <xf numFmtId="0" fontId="184" fillId="33" borderId="91" applyNumberFormat="0" applyAlignment="0" applyProtection="0"/>
    <xf numFmtId="42" fontId="83" fillId="0" borderId="0" applyFont="0" applyFill="0" applyBorder="0" applyAlignment="0" applyProtection="0"/>
    <xf numFmtId="208" fontId="83" fillId="0" borderId="0" applyFont="0" applyFill="0" applyBorder="0" applyAlignment="0" applyProtection="0"/>
    <xf numFmtId="266" fontId="190" fillId="0" borderId="72">
      <alignment horizontal="left" vertical="top"/>
    </xf>
    <xf numFmtId="285" fontId="83" fillId="0" borderId="0" applyFont="0" applyFill="0" applyBorder="0" applyAlignment="0" applyProtection="0"/>
    <xf numFmtId="187"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0" fontId="115" fillId="32" borderId="90" applyNumberFormat="0" applyFont="0" applyAlignment="0" applyProtection="0"/>
    <xf numFmtId="287" fontId="83" fillId="0" borderId="0" applyFont="0" applyFill="0" applyBorder="0" applyAlignment="0" applyProtection="0"/>
    <xf numFmtId="210" fontId="83" fillId="0" borderId="0" applyFont="0" applyFill="0" applyBorder="0" applyAlignment="0" applyProtection="0"/>
    <xf numFmtId="0" fontId="128" fillId="33" borderId="60" applyNumberFormat="0" applyAlignment="0" applyProtection="0"/>
    <xf numFmtId="0" fontId="198" fillId="33" borderId="76" applyNumberFormat="0" applyAlignment="0" applyProtection="0"/>
    <xf numFmtId="267" fontId="83" fillId="0" borderId="0" applyFont="0" applyFill="0" applyBorder="0" applyAlignment="0" applyProtection="0"/>
    <xf numFmtId="249" fontId="83" fillId="0" borderId="78">
      <alignment horizontal="right" vertical="center"/>
    </xf>
    <xf numFmtId="200" fontId="83" fillId="0" borderId="0" applyFont="0" applyFill="0" applyBorder="0" applyAlignment="0" applyProtection="0"/>
    <xf numFmtId="189" fontId="83" fillId="0" borderId="0" applyFont="0" applyFill="0" applyBorder="0" applyAlignment="0" applyProtection="0"/>
    <xf numFmtId="0" fontId="83" fillId="0" borderId="0" applyFont="0" applyFill="0" applyBorder="0" applyAlignment="0" applyProtection="0"/>
    <xf numFmtId="199" fontId="83" fillId="0" borderId="0" applyFont="0" applyFill="0" applyBorder="0" applyAlignment="0" applyProtection="0"/>
    <xf numFmtId="289" fontId="83" fillId="0" borderId="0" applyFont="0" applyFill="0" applyBorder="0" applyAlignment="0" applyProtection="0"/>
    <xf numFmtId="199" fontId="83" fillId="0" borderId="0" applyFont="0" applyFill="0" applyBorder="0" applyAlignment="0" applyProtection="0"/>
    <xf numFmtId="250" fontId="22" fillId="0" borderId="86">
      <alignment horizontal="right" vertical="center"/>
    </xf>
    <xf numFmtId="0" fontId="153" fillId="33" borderId="84" applyNumberFormat="0" applyAlignment="0" applyProtection="0"/>
    <xf numFmtId="0" fontId="153" fillId="33" borderId="76" applyNumberFormat="0" applyAlignment="0" applyProtection="0"/>
    <xf numFmtId="266" fontId="190" fillId="0" borderId="59">
      <alignment horizontal="left" vertical="top"/>
    </xf>
    <xf numFmtId="0" fontId="198" fillId="33" borderId="62" applyNumberFormat="0" applyAlignment="0" applyProtection="0"/>
    <xf numFmtId="0" fontId="103" fillId="0" borderId="0"/>
    <xf numFmtId="248" fontId="130" fillId="0" borderId="78">
      <alignment horizontal="right" vertical="center"/>
    </xf>
    <xf numFmtId="0" fontId="144" fillId="14" borderId="62" applyNumberFormat="0" applyAlignment="0" applyProtection="0"/>
    <xf numFmtId="0" fontId="115" fillId="32" borderId="83" applyNumberFormat="0" applyFont="0" applyAlignment="0" applyProtection="0"/>
    <xf numFmtId="0" fontId="83" fillId="32" borderId="83" applyNumberFormat="0" applyFont="0" applyAlignment="0" applyProtection="0"/>
    <xf numFmtId="187" fontId="2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213" fontId="83" fillId="0" borderId="0" applyFont="0" applyFill="0" applyBorder="0" applyAlignment="0" applyProtection="0"/>
    <xf numFmtId="287"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8" fontId="83" fillId="0" borderId="0" applyFont="0" applyFill="0" applyBorder="0" applyAlignment="0" applyProtection="0"/>
    <xf numFmtId="167" fontId="105" fillId="0" borderId="0" applyFont="0" applyFill="0" applyBorder="0" applyAlignment="0" applyProtection="0"/>
    <xf numFmtId="218" fontId="83" fillId="0" borderId="0" applyFont="0" applyFill="0" applyBorder="0" applyAlignment="0" applyProtection="0"/>
    <xf numFmtId="169" fontId="105" fillId="0" borderId="0" applyFont="0" applyFill="0" applyBorder="0" applyAlignment="0" applyProtection="0"/>
    <xf numFmtId="218" fontId="83" fillId="0" borderId="0" applyFont="0" applyFill="0" applyBorder="0" applyAlignment="0" applyProtection="0"/>
    <xf numFmtId="218"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48" fontId="130" fillId="0" borderId="64">
      <alignment horizontal="right" vertical="center"/>
    </xf>
    <xf numFmtId="0" fontId="232" fillId="0" borderId="0"/>
    <xf numFmtId="43" fontId="100" fillId="0" borderId="0" applyFont="0" applyFill="0" applyBorder="0" applyAlignment="0" applyProtection="0"/>
    <xf numFmtId="43" fontId="100" fillId="0" borderId="0" applyFont="0" applyFill="0" applyBorder="0" applyAlignment="0" applyProtection="0"/>
    <xf numFmtId="170" fontId="22" fillId="0" borderId="0" applyFont="0" applyFill="0" applyBorder="0" applyAlignment="0" applyProtection="0"/>
    <xf numFmtId="174" fontId="233" fillId="0" borderId="0" applyFont="0" applyFill="0" applyBorder="0" applyAlignment="0" applyProtection="0"/>
    <xf numFmtId="43" fontId="23" fillId="0" borderId="0" applyFont="0" applyFill="0" applyBorder="0" applyAlignment="0" applyProtection="0"/>
    <xf numFmtId="43" fontId="131" fillId="0" borderId="0" applyFont="0" applyFill="0" applyBorder="0" applyAlignment="0" applyProtection="0"/>
    <xf numFmtId="248" fontId="130" fillId="0" borderId="78">
      <alignment horizontal="right" vertical="center"/>
    </xf>
    <xf numFmtId="0" fontId="198" fillId="33" borderId="76" applyNumberFormat="0" applyAlignment="0" applyProtection="0"/>
    <xf numFmtId="0" fontId="128" fillId="24" borderId="67" applyNumberFormat="0" applyAlignment="0" applyProtection="0"/>
    <xf numFmtId="0" fontId="234" fillId="0" borderId="0">
      <alignment horizontal="left"/>
    </xf>
    <xf numFmtId="283" fontId="235" fillId="0" borderId="0">
      <protection locked="0"/>
    </xf>
    <xf numFmtId="0" fontId="115" fillId="32" borderId="75" applyNumberFormat="0" applyFont="0" applyAlignment="0" applyProtection="0"/>
    <xf numFmtId="283" fontId="235" fillId="0" borderId="0">
      <protection locked="0"/>
    </xf>
    <xf numFmtId="210" fontId="83" fillId="0" borderId="0" applyFont="0" applyFill="0" applyBorder="0" applyAlignment="0" applyProtection="0"/>
    <xf numFmtId="9" fontId="1" fillId="0" borderId="0" applyFont="0" applyFill="0" applyBorder="0" applyAlignment="0" applyProtection="0"/>
    <xf numFmtId="0" fontId="236" fillId="0" borderId="30"/>
    <xf numFmtId="4" fontId="237" fillId="0" borderId="2" applyBorder="0"/>
    <xf numFmtId="0" fontId="238" fillId="0" borderId="0"/>
    <xf numFmtId="0" fontId="1" fillId="0" borderId="0"/>
    <xf numFmtId="0" fontId="22" fillId="0" borderId="0"/>
    <xf numFmtId="0" fontId="198" fillId="33" borderId="69" applyNumberFormat="0" applyAlignment="0" applyProtection="0"/>
    <xf numFmtId="0" fontId="33" fillId="0" borderId="0">
      <protection locked="0"/>
    </xf>
    <xf numFmtId="0" fontId="100" fillId="0" borderId="0"/>
    <xf numFmtId="0" fontId="131" fillId="0" borderId="0"/>
    <xf numFmtId="0" fontId="115" fillId="32" borderId="68" applyNumberFormat="0" applyFont="0" applyAlignment="0" applyProtection="0"/>
    <xf numFmtId="0" fontId="22" fillId="0" borderId="0"/>
    <xf numFmtId="4" fontId="22" fillId="0" borderId="0">
      <alignment vertical="center"/>
    </xf>
    <xf numFmtId="0" fontId="233" fillId="0" borderId="0"/>
    <xf numFmtId="43" fontId="100" fillId="0" borderId="0" applyFont="0" applyFill="0" applyBorder="0" applyAlignment="0" applyProtection="0"/>
    <xf numFmtId="0" fontId="23" fillId="0" borderId="0"/>
    <xf numFmtId="0" fontId="22" fillId="0" borderId="0"/>
    <xf numFmtId="250" fontId="22" fillId="0" borderId="57">
      <alignment horizontal="right" vertical="center"/>
    </xf>
    <xf numFmtId="0" fontId="128" fillId="33" borderId="60" applyNumberFormat="0" applyAlignment="0" applyProtection="0"/>
    <xf numFmtId="9" fontId="35" fillId="0" borderId="0" applyFont="0" applyFill="0" applyBorder="0" applyAlignment="0" applyProtection="0"/>
    <xf numFmtId="0" fontId="178" fillId="0" borderId="0"/>
    <xf numFmtId="210" fontId="83" fillId="0" borderId="0" applyFont="0" applyFill="0" applyBorder="0" applyAlignment="0" applyProtection="0"/>
    <xf numFmtId="41"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90" fontId="83" fillId="0" borderId="0" applyFont="0" applyFill="0" applyBorder="0" applyAlignment="0" applyProtection="0"/>
    <xf numFmtId="187" fontId="23" fillId="0" borderId="0" applyFont="0" applyFill="0" applyBorder="0" applyAlignment="0" applyProtection="0"/>
    <xf numFmtId="187" fontId="2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213" fontId="83" fillId="0" borderId="0" applyFont="0" applyFill="0" applyBorder="0" applyAlignment="0" applyProtection="0"/>
    <xf numFmtId="287" fontId="83" fillId="0" borderId="0" applyFont="0" applyFill="0" applyBorder="0" applyAlignment="0" applyProtection="0"/>
    <xf numFmtId="19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7" fontId="83" fillId="0" borderId="0" applyFont="0" applyFill="0" applyBorder="0" applyAlignment="0" applyProtection="0"/>
    <xf numFmtId="218" fontId="83" fillId="0" borderId="0" applyFont="0" applyFill="0" applyBorder="0" applyAlignment="0" applyProtection="0"/>
    <xf numFmtId="167" fontId="105" fillId="0" borderId="0" applyFont="0" applyFill="0" applyBorder="0" applyAlignment="0" applyProtection="0"/>
    <xf numFmtId="218" fontId="83" fillId="0" borderId="0" applyFont="0" applyFill="0" applyBorder="0" applyAlignment="0" applyProtection="0"/>
    <xf numFmtId="169" fontId="105" fillId="0" borderId="0" applyFont="0" applyFill="0" applyBorder="0" applyAlignment="0" applyProtection="0"/>
    <xf numFmtId="218" fontId="83" fillId="0" borderId="0" applyFont="0" applyFill="0" applyBorder="0" applyAlignment="0" applyProtection="0"/>
    <xf numFmtId="218"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41"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210" fontId="83" fillId="0" borderId="0" applyFont="0" applyFill="0" applyBorder="0" applyAlignment="0" applyProtection="0"/>
    <xf numFmtId="0" fontId="22" fillId="0" borderId="0"/>
    <xf numFmtId="0" fontId="198" fillId="33" borderId="62" applyNumberFormat="0" applyAlignment="0" applyProtection="0"/>
    <xf numFmtId="285" fontId="83" fillId="0" borderId="0" applyFont="0" applyFill="0" applyBorder="0" applyAlignment="0" applyProtection="0"/>
    <xf numFmtId="187" fontId="83" fillId="0" borderId="0" applyFont="0" applyFill="0" applyBorder="0" applyAlignment="0" applyProtection="0"/>
    <xf numFmtId="285" fontId="83" fillId="0" borderId="0" applyFont="0" applyFill="0" applyBorder="0" applyAlignment="0" applyProtection="0"/>
    <xf numFmtId="284" fontId="83" fillId="0" borderId="0" applyFont="0" applyFill="0" applyBorder="0" applyAlignment="0" applyProtection="0"/>
    <xf numFmtId="208" fontId="83" fillId="0" borderId="0" applyFont="0" applyFill="0" applyBorder="0" applyAlignment="0" applyProtection="0"/>
    <xf numFmtId="186" fontId="23" fillId="0" borderId="0" applyFont="0" applyFill="0" applyBorder="0" applyAlignment="0" applyProtection="0"/>
    <xf numFmtId="186" fontId="83" fillId="0" borderId="0" applyFont="0" applyFill="0" applyBorder="0" applyAlignment="0" applyProtection="0"/>
    <xf numFmtId="14" fontId="239" fillId="0" borderId="0"/>
    <xf numFmtId="0" fontId="236" fillId="0" borderId="0"/>
    <xf numFmtId="42" fontId="83" fillId="0" borderId="0" applyFont="0" applyFill="0" applyBorder="0" applyAlignment="0" applyProtection="0"/>
    <xf numFmtId="186" fontId="23" fillId="0" borderId="0" applyFont="0" applyFill="0" applyBorder="0" applyAlignment="0" applyProtection="0"/>
    <xf numFmtId="195" fontId="83" fillId="0" borderId="0" applyFont="0" applyFill="0" applyBorder="0" applyAlignment="0" applyProtection="0"/>
    <xf numFmtId="288" fontId="83" fillId="0" borderId="0" applyFont="0" applyFill="0" applyBorder="0" applyAlignment="0" applyProtection="0"/>
    <xf numFmtId="42" fontId="83" fillId="0" borderId="0" applyFont="0" applyFill="0" applyBorder="0" applyAlignment="0" applyProtection="0"/>
    <xf numFmtId="186" fontId="83" fillId="0" borderId="0" applyFont="0" applyFill="0" applyBorder="0" applyAlignment="0" applyProtection="0"/>
    <xf numFmtId="208" fontId="83" fillId="0" borderId="0" applyFont="0" applyFill="0" applyBorder="0" applyAlignment="0" applyProtection="0"/>
    <xf numFmtId="165" fontId="105" fillId="0" borderId="0" applyFont="0" applyFill="0" applyBorder="0" applyAlignment="0" applyProtection="0"/>
    <xf numFmtId="208" fontId="83" fillId="0" borderId="0" applyFont="0" applyFill="0" applyBorder="0" applyAlignment="0" applyProtection="0"/>
    <xf numFmtId="166" fontId="105"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208" fontId="83" fillId="0" borderId="0" applyFont="0" applyFill="0" applyBorder="0" applyAlignment="0" applyProtection="0"/>
    <xf numFmtId="186" fontId="83" fillId="0" borderId="0" applyFont="0" applyFill="0" applyBorder="0" applyAlignment="0" applyProtection="0"/>
    <xf numFmtId="209" fontId="83" fillId="0" borderId="0" applyFont="0" applyFill="0" applyBorder="0" applyAlignment="0" applyProtection="0"/>
    <xf numFmtId="166" fontId="105" fillId="0" borderId="0" applyFont="0" applyFill="0" applyBorder="0" applyAlignment="0" applyProtection="0"/>
    <xf numFmtId="209" fontId="83" fillId="0" borderId="0" applyFont="0" applyFill="0" applyBorder="0" applyAlignment="0" applyProtection="0"/>
    <xf numFmtId="168" fontId="105" fillId="0" borderId="0" applyFont="0" applyFill="0" applyBorder="0" applyAlignment="0" applyProtection="0"/>
    <xf numFmtId="209" fontId="83" fillId="0" borderId="0" applyFont="0" applyFill="0" applyBorder="0" applyAlignment="0" applyProtection="0"/>
    <xf numFmtId="209" fontId="83" fillId="0" borderId="0" applyFont="0" applyFill="0" applyBorder="0" applyAlignment="0" applyProtection="0"/>
    <xf numFmtId="248" fontId="130" fillId="0" borderId="57">
      <alignment horizontal="right" vertical="center"/>
    </xf>
    <xf numFmtId="248" fontId="130" fillId="0" borderId="57">
      <alignment horizontal="right" vertical="center"/>
    </xf>
    <xf numFmtId="0" fontId="170" fillId="14" borderId="84" applyNumberFormat="0" applyAlignment="0" applyProtection="0"/>
    <xf numFmtId="186" fontId="130" fillId="0" borderId="57">
      <alignment horizontal="center"/>
    </xf>
    <xf numFmtId="198" fontId="23" fillId="0" borderId="0" applyFont="0" applyFill="0" applyBorder="0" applyAlignment="0" applyProtection="0"/>
    <xf numFmtId="286" fontId="130" fillId="0" borderId="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43" fontId="100" fillId="0" borderId="0" applyFont="0" applyFill="0" applyBorder="0" applyAlignment="0" applyProtection="0"/>
    <xf numFmtId="0" fontId="215" fillId="0" borderId="0"/>
    <xf numFmtId="0" fontId="215" fillId="0" borderId="0"/>
    <xf numFmtId="174" fontId="102" fillId="0" borderId="0" applyFont="0" applyFill="0" applyBorder="0" applyAlignment="0" applyProtection="0"/>
    <xf numFmtId="0" fontId="117" fillId="0" borderId="0"/>
    <xf numFmtId="283" fontId="235" fillId="0" borderId="0">
      <protection locked="0"/>
    </xf>
    <xf numFmtId="0" fontId="1" fillId="0" borderId="0"/>
    <xf numFmtId="43" fontId="22" fillId="0" borderId="0" applyFont="0" applyFill="0" applyBorder="0" applyAlignment="0" applyProtection="0"/>
    <xf numFmtId="43" fontId="100" fillId="0" borderId="0" applyFont="0" applyFill="0" applyBorder="0" applyAlignment="0" applyProtection="0"/>
    <xf numFmtId="0" fontId="1" fillId="0" borderId="0"/>
    <xf numFmtId="0" fontId="240" fillId="0" borderId="0"/>
    <xf numFmtId="0" fontId="1" fillId="0" borderId="0"/>
    <xf numFmtId="0" fontId="99" fillId="0" borderId="0"/>
    <xf numFmtId="43" fontId="1" fillId="0" borderId="0" applyFont="0" applyFill="0" applyBorder="0" applyAlignment="0" applyProtection="0"/>
    <xf numFmtId="0" fontId="99" fillId="0" borderId="0"/>
    <xf numFmtId="0" fontId="22" fillId="0" borderId="0"/>
    <xf numFmtId="0" fontId="22" fillId="0" borderId="0"/>
    <xf numFmtId="0" fontId="99" fillId="0" borderId="0"/>
    <xf numFmtId="0" fontId="241" fillId="0" borderId="0"/>
    <xf numFmtId="0" fontId="1" fillId="0" borderId="0"/>
    <xf numFmtId="43" fontId="99" fillId="0" borderId="0" applyFont="0" applyFill="0" applyBorder="0" applyAlignment="0" applyProtection="0"/>
    <xf numFmtId="0" fontId="115" fillId="32" borderId="68" applyNumberFormat="0" applyFont="0" applyAlignment="0" applyProtection="0"/>
    <xf numFmtId="252" fontId="22" fillId="0" borderId="71">
      <alignment horizontal="right" vertical="center"/>
    </xf>
    <xf numFmtId="174" fontId="16" fillId="0" borderId="0" applyFont="0" applyFill="0" applyBorder="0" applyAlignment="0" applyProtection="0"/>
    <xf numFmtId="0" fontId="128" fillId="33" borderId="60" applyNumberFormat="0" applyAlignment="0" applyProtection="0"/>
    <xf numFmtId="0" fontId="1" fillId="0" borderId="0"/>
    <xf numFmtId="0" fontId="115" fillId="32" borderId="90" applyNumberFormat="0" applyFont="0" applyAlignment="0" applyProtection="0"/>
    <xf numFmtId="0" fontId="33" fillId="0" borderId="0"/>
    <xf numFmtId="9" fontId="16"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70" fillId="14" borderId="76" applyNumberFormat="0" applyAlignment="0" applyProtection="0"/>
    <xf numFmtId="0" fontId="44" fillId="0" borderId="0"/>
    <xf numFmtId="9" fontId="1" fillId="0" borderId="0" applyFont="0" applyFill="0" applyBorder="0" applyAlignment="0" applyProtection="0"/>
    <xf numFmtId="0" fontId="16" fillId="0" borderId="0"/>
    <xf numFmtId="185" fontId="23" fillId="0" borderId="0" applyFont="0" applyFill="0" applyBorder="0" applyAlignment="0" applyProtection="0"/>
    <xf numFmtId="43" fontId="16" fillId="0" borderId="0" applyFont="0" applyFill="0" applyBorder="0" applyAlignment="0" applyProtection="0"/>
    <xf numFmtId="0" fontId="1" fillId="0" borderId="0"/>
    <xf numFmtId="177" fontId="22" fillId="0" borderId="0"/>
    <xf numFmtId="174" fontId="22" fillId="0" borderId="0" applyFont="0" applyFill="0" applyBorder="0" applyAlignment="0" applyProtection="0"/>
    <xf numFmtId="0" fontId="22" fillId="0" borderId="0"/>
    <xf numFmtId="9" fontId="16"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181" fontId="18" fillId="0" borderId="0"/>
    <xf numFmtId="0" fontId="43" fillId="0" borderId="0"/>
    <xf numFmtId="0" fontId="1" fillId="0" borderId="0"/>
    <xf numFmtId="0" fontId="1" fillId="0" borderId="0"/>
    <xf numFmtId="185" fontId="23" fillId="0" borderId="0" applyFont="0" applyFill="0" applyBorder="0" applyAlignment="0" applyProtection="0"/>
    <xf numFmtId="186" fontId="83" fillId="0" borderId="0" applyFont="0" applyFill="0" applyBorder="0" applyAlignment="0" applyProtection="0"/>
    <xf numFmtId="188" fontId="22" fillId="0" borderId="0" applyFont="0" applyFill="0" applyBorder="0" applyAlignment="0" applyProtection="0"/>
    <xf numFmtId="0" fontId="169" fillId="33" borderId="74" applyNumberFormat="0" applyAlignment="0" applyProtection="0"/>
    <xf numFmtId="193" fontId="83" fillId="0" borderId="0" applyFont="0" applyFill="0" applyBorder="0" applyAlignment="0" applyProtection="0"/>
    <xf numFmtId="167" fontId="83" fillId="0" borderId="0" applyFont="0" applyFill="0" applyBorder="0" applyAlignment="0" applyProtection="0"/>
    <xf numFmtId="0" fontId="115" fillId="32" borderId="68" applyNumberFormat="0" applyFont="0" applyAlignment="0" applyProtection="0"/>
    <xf numFmtId="0" fontId="145" fillId="33" borderId="74" applyNumberFormat="0" applyAlignment="0" applyProtection="0"/>
    <xf numFmtId="0" fontId="128" fillId="33" borderId="60" applyNumberFormat="0" applyAlignment="0" applyProtection="0"/>
    <xf numFmtId="0" fontId="128" fillId="33" borderId="67" applyNumberFormat="0" applyAlignment="0" applyProtection="0"/>
    <xf numFmtId="0" fontId="115" fillId="32" borderId="68" applyNumberFormat="0" applyFont="0" applyAlignment="0" applyProtection="0"/>
    <xf numFmtId="42" fontId="83" fillId="0" borderId="0" applyFont="0" applyFill="0" applyBorder="0" applyAlignment="0" applyProtection="0"/>
    <xf numFmtId="185" fontId="23" fillId="0" borderId="0" applyFont="0" applyFill="0" applyBorder="0" applyAlignment="0" applyProtection="0"/>
    <xf numFmtId="0" fontId="16" fillId="0" borderId="0"/>
    <xf numFmtId="43" fontId="83" fillId="0" borderId="0" applyFont="0" applyFill="0" applyBorder="0" applyAlignment="0" applyProtection="0"/>
    <xf numFmtId="43" fontId="16"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0" fontId="115" fillId="32" borderId="75" applyNumberFormat="0" applyFont="0" applyAlignment="0" applyProtection="0"/>
    <xf numFmtId="202" fontId="83" fillId="0" borderId="0" applyFont="0" applyFill="0" applyBorder="0" applyAlignment="0" applyProtection="0"/>
    <xf numFmtId="0" fontId="115" fillId="32" borderId="83" applyNumberFormat="0" applyFont="0" applyAlignment="0" applyProtection="0"/>
    <xf numFmtId="202" fontId="83" fillId="0" borderId="0" applyFont="0" applyFill="0" applyBorder="0" applyAlignment="0" applyProtection="0"/>
    <xf numFmtId="203" fontId="22" fillId="0" borderId="0" applyFont="0" applyFill="0" applyBorder="0" applyAlignment="0" applyProtection="0"/>
    <xf numFmtId="0" fontId="83" fillId="32" borderId="90" applyNumberFormat="0" applyFont="0" applyAlignment="0" applyProtection="0"/>
    <xf numFmtId="0" fontId="115" fillId="32" borderId="83" applyNumberFormat="0" applyFont="0" applyAlignment="0" applyProtection="0"/>
    <xf numFmtId="205" fontId="81" fillId="0" borderId="0" applyFont="0" applyFill="0" applyBorder="0" applyAlignment="0" applyProtection="0"/>
    <xf numFmtId="0" fontId="128" fillId="33" borderId="67" applyNumberFormat="0" applyAlignment="0" applyProtection="0"/>
    <xf numFmtId="0" fontId="115" fillId="32" borderId="83" applyNumberFormat="0" applyFont="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0" fontId="115" fillId="32" borderId="61" applyNumberFormat="0" applyFont="0" applyAlignment="0" applyProtection="0"/>
    <xf numFmtId="196" fontId="83" fillId="0" borderId="0" applyFont="0" applyFill="0" applyBorder="0" applyAlignment="0" applyProtection="0"/>
    <xf numFmtId="186" fontId="83" fillId="0" borderId="0" applyFont="0" applyFill="0" applyBorder="0" applyAlignment="0" applyProtection="0"/>
    <xf numFmtId="43"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266" fontId="190" fillId="0" borderId="80">
      <alignment horizontal="left" vertical="top"/>
    </xf>
    <xf numFmtId="202" fontId="83" fillId="0" borderId="0" applyFont="0" applyFill="0" applyBorder="0" applyAlignment="0" applyProtection="0"/>
    <xf numFmtId="203" fontId="22" fillId="0" borderId="0" applyFont="0" applyFill="0" applyBorder="0" applyAlignment="0" applyProtection="0"/>
    <xf numFmtId="0" fontId="169" fillId="33" borderId="82" applyNumberFormat="0" applyAlignment="0" applyProtection="0"/>
    <xf numFmtId="205" fontId="81" fillId="0" borderId="0" applyFont="0" applyFill="0" applyBorder="0" applyAlignment="0" applyProtection="0"/>
    <xf numFmtId="0" fontId="145" fillId="33" borderId="60" applyNumberFormat="0" applyAlignment="0" applyProtection="0"/>
    <xf numFmtId="0" fontId="128" fillId="24" borderId="74" applyNumberFormat="0" applyAlignment="0" applyProtection="0"/>
    <xf numFmtId="41" fontId="83" fillId="0" borderId="0" applyFont="0" applyFill="0" applyBorder="0" applyAlignment="0" applyProtection="0"/>
    <xf numFmtId="186" fontId="130" fillId="0" borderId="71">
      <alignment horizontal="center"/>
    </xf>
    <xf numFmtId="172" fontId="83" fillId="0" borderId="0" applyFont="0" applyFill="0" applyBorder="0" applyAlignment="0" applyProtection="0"/>
    <xf numFmtId="187" fontId="83" fillId="0" borderId="0" applyFont="0" applyFill="0" applyBorder="0" applyAlignment="0" applyProtection="0"/>
    <xf numFmtId="248" fontId="130" fillId="0" borderId="78">
      <alignment horizontal="right" vertical="center"/>
    </xf>
    <xf numFmtId="0" fontId="198" fillId="33" borderId="84" applyNumberFormat="0" applyAlignment="0" applyProtection="0"/>
    <xf numFmtId="212" fontId="83" fillId="0" borderId="0" applyFont="0" applyFill="0" applyBorder="0" applyAlignment="0" applyProtection="0"/>
    <xf numFmtId="0" fontId="198" fillId="33" borderId="84" applyNumberFormat="0" applyAlignment="0" applyProtection="0"/>
    <xf numFmtId="212" fontId="83" fillId="0" borderId="0" applyFont="0" applyFill="0" applyBorder="0" applyAlignment="0" applyProtection="0"/>
    <xf numFmtId="0" fontId="128" fillId="33" borderId="82" applyNumberFormat="0" applyAlignment="0" applyProtection="0"/>
    <xf numFmtId="214" fontId="22" fillId="0" borderId="0" applyFont="0" applyFill="0" applyBorder="0" applyAlignment="0" applyProtection="0"/>
    <xf numFmtId="0" fontId="153" fillId="33" borderId="69" applyNumberFormat="0" applyAlignment="0" applyProtection="0"/>
    <xf numFmtId="216" fontId="81" fillId="0" borderId="0" applyFont="0" applyFill="0" applyBorder="0" applyAlignment="0" applyProtection="0"/>
    <xf numFmtId="186" fontId="83" fillId="0" borderId="0" applyFont="0" applyFill="0" applyBorder="0" applyAlignment="0" applyProtection="0"/>
    <xf numFmtId="0" fontId="184" fillId="33" borderId="84" applyNumberFormat="0" applyAlignment="0" applyProtection="0"/>
    <xf numFmtId="193" fontId="83" fillId="0" borderId="0" applyFont="0" applyFill="0" applyBorder="0" applyAlignment="0" applyProtection="0"/>
    <xf numFmtId="167" fontId="83" fillId="0" borderId="0" applyFont="0" applyFill="0" applyBorder="0" applyAlignment="0" applyProtection="0"/>
    <xf numFmtId="0" fontId="128" fillId="33" borderId="60" applyNumberFormat="0" applyAlignment="0" applyProtection="0"/>
    <xf numFmtId="196" fontId="83" fillId="0" borderId="0" applyFont="0" applyFill="0" applyBorder="0" applyAlignment="0" applyProtection="0"/>
    <xf numFmtId="186" fontId="83" fillId="0" borderId="0" applyFont="0" applyFill="0" applyBorder="0" applyAlignment="0" applyProtection="0"/>
    <xf numFmtId="41" fontId="83" fillId="0" borderId="0" applyFont="0" applyFill="0" applyBorder="0" applyAlignment="0" applyProtection="0"/>
    <xf numFmtId="250" fontId="22" fillId="0" borderId="78">
      <alignment horizontal="right" vertical="center"/>
    </xf>
    <xf numFmtId="172" fontId="83" fillId="0" borderId="0" applyFont="0" applyFill="0" applyBorder="0" applyAlignment="0" applyProtection="0"/>
    <xf numFmtId="187" fontId="83" fillId="0" borderId="0" applyFont="0" applyFill="0" applyBorder="0" applyAlignment="0" applyProtection="0"/>
    <xf numFmtId="212" fontId="83" fillId="0" borderId="0" applyFont="0" applyFill="0" applyBorder="0" applyAlignment="0" applyProtection="0"/>
    <xf numFmtId="0" fontId="198" fillId="33" borderId="91" applyNumberFormat="0" applyAlignment="0" applyProtection="0"/>
    <xf numFmtId="212" fontId="83" fillId="0" borderId="0" applyFont="0" applyFill="0" applyBorder="0" applyAlignment="0" applyProtection="0"/>
    <xf numFmtId="0" fontId="198" fillId="33" borderId="69" applyNumberFormat="0" applyAlignment="0" applyProtection="0"/>
    <xf numFmtId="214" fontId="22" fillId="0" borderId="0" applyFont="0" applyFill="0" applyBorder="0" applyAlignment="0" applyProtection="0"/>
    <xf numFmtId="216" fontId="81" fillId="0" borderId="0" applyFont="0" applyFill="0" applyBorder="0" applyAlignment="0" applyProtection="0"/>
    <xf numFmtId="9" fontId="16" fillId="0" borderId="0" applyFont="0" applyFill="0" applyBorder="0" applyAlignment="0" applyProtection="0"/>
    <xf numFmtId="0" fontId="128" fillId="24" borderId="60" applyNumberFormat="0" applyAlignment="0" applyProtection="0"/>
    <xf numFmtId="43"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0" fontId="153" fillId="33" borderId="62" applyNumberFormat="0" applyAlignment="0" applyProtection="0"/>
    <xf numFmtId="0" fontId="115" fillId="32" borderId="61" applyNumberFormat="0" applyFont="0" applyAlignment="0" applyProtection="0"/>
    <xf numFmtId="202" fontId="83" fillId="0" borderId="0" applyFont="0" applyFill="0" applyBorder="0" applyAlignment="0" applyProtection="0"/>
    <xf numFmtId="203" fontId="22" fillId="0" borderId="0" applyFont="0" applyFill="0" applyBorder="0" applyAlignment="0" applyProtection="0"/>
    <xf numFmtId="0" fontId="128" fillId="33" borderId="67" applyNumberFormat="0" applyAlignment="0" applyProtection="0"/>
    <xf numFmtId="205" fontId="81" fillId="0" borderId="0" applyFont="0" applyFill="0" applyBorder="0" applyAlignment="0" applyProtection="0"/>
    <xf numFmtId="251" fontId="22" fillId="0" borderId="71">
      <alignment horizontal="right" vertical="center"/>
    </xf>
    <xf numFmtId="43" fontId="16" fillId="0" borderId="0" applyFont="0" applyFill="0" applyBorder="0" applyAlignment="0" applyProtection="0"/>
    <xf numFmtId="0" fontId="115" fillId="32" borderId="50" applyNumberFormat="0" applyFont="0" applyAlignment="0" applyProtection="0"/>
    <xf numFmtId="0" fontId="115" fillId="32" borderId="50" applyNumberFormat="0" applyFont="0" applyAlignment="0" applyProtection="0"/>
    <xf numFmtId="0" fontId="128" fillId="24" borderId="82" applyNumberFormat="0" applyAlignment="0" applyProtection="0"/>
    <xf numFmtId="196" fontId="83" fillId="0" borderId="0" applyFont="0" applyFill="0" applyBorder="0" applyAlignment="0" applyProtection="0"/>
    <xf numFmtId="186" fontId="83" fillId="0" borderId="0" applyFont="0" applyFill="0" applyBorder="0" applyAlignment="0" applyProtection="0"/>
    <xf numFmtId="0" fontId="198" fillId="33" borderId="62" applyNumberFormat="0" applyAlignment="0" applyProtection="0"/>
    <xf numFmtId="266" fontId="190" fillId="0" borderId="65">
      <alignment horizontal="left" vertical="top"/>
    </xf>
    <xf numFmtId="0" fontId="144" fillId="14" borderId="69" applyNumberFormat="0" applyAlignment="0" applyProtection="0"/>
    <xf numFmtId="0" fontId="145" fillId="33" borderId="60" applyNumberFormat="0" applyAlignment="0" applyProtection="0"/>
    <xf numFmtId="41"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50" fontId="22" fillId="0" borderId="57">
      <alignment horizontal="right" vertical="center"/>
    </xf>
    <xf numFmtId="266" fontId="190" fillId="0" borderId="87">
      <alignment horizontal="left" vertical="top"/>
    </xf>
    <xf numFmtId="212" fontId="83" fillId="0" borderId="0" applyFont="0" applyFill="0" applyBorder="0" applyAlignment="0" applyProtection="0"/>
    <xf numFmtId="251" fontId="22" fillId="0" borderId="57">
      <alignment horizontal="right" vertical="center"/>
    </xf>
    <xf numFmtId="212" fontId="83" fillId="0" borderId="0" applyFont="0" applyFill="0" applyBorder="0" applyAlignment="0" applyProtection="0"/>
    <xf numFmtId="214" fontId="22" fillId="0" borderId="0" applyFont="0" applyFill="0" applyBorder="0" applyAlignment="0" applyProtection="0"/>
    <xf numFmtId="283" fontId="235" fillId="0" borderId="0">
      <protection locked="0"/>
    </xf>
    <xf numFmtId="0" fontId="198" fillId="33" borderId="76" applyNumberFormat="0" applyAlignment="0" applyProtection="0"/>
    <xf numFmtId="216" fontId="81" fillId="0" borderId="0" applyFont="0" applyFill="0" applyBorder="0" applyAlignment="0" applyProtection="0"/>
    <xf numFmtId="0" fontId="128" fillId="24" borderId="60" applyNumberFormat="0" applyAlignment="0" applyProtection="0"/>
    <xf numFmtId="43" fontId="83" fillId="0" borderId="0" applyFont="0" applyFill="0" applyBorder="0" applyAlignment="0" applyProtection="0"/>
    <xf numFmtId="174" fontId="83" fillId="0" borderId="0" applyFont="0" applyFill="0" applyBorder="0" applyAlignment="0" applyProtection="0"/>
    <xf numFmtId="200" fontId="83" fillId="0" borderId="0" applyFont="0" applyFill="0" applyBorder="0" applyAlignment="0" applyProtection="0"/>
    <xf numFmtId="202" fontId="83" fillId="0" borderId="0" applyFont="0" applyFill="0" applyBorder="0" applyAlignment="0" applyProtection="0"/>
    <xf numFmtId="0" fontId="115" fillId="32" borderId="75" applyNumberFormat="0" applyFont="0" applyAlignment="0" applyProtection="0"/>
    <xf numFmtId="202" fontId="83" fillId="0" borderId="0" applyFont="0" applyFill="0" applyBorder="0" applyAlignment="0" applyProtection="0"/>
    <xf numFmtId="250" fontId="22" fillId="0" borderId="71">
      <alignment horizontal="right" vertical="center"/>
    </xf>
    <xf numFmtId="203" fontId="22" fillId="0" borderId="0" applyFont="0" applyFill="0" applyBorder="0" applyAlignment="0" applyProtection="0"/>
    <xf numFmtId="0" fontId="115" fillId="32" borderId="61" applyNumberFormat="0" applyFont="0" applyAlignment="0" applyProtection="0"/>
    <xf numFmtId="205" fontId="81" fillId="0" borderId="0" applyFont="0" applyFill="0" applyBorder="0" applyAlignment="0" applyProtection="0"/>
    <xf numFmtId="0" fontId="16" fillId="0" borderId="0"/>
    <xf numFmtId="0" fontId="128" fillId="33" borderId="89" applyNumberFormat="0" applyAlignment="0" applyProtection="0"/>
    <xf numFmtId="0" fontId="144" fillId="14" borderId="69" applyNumberFormat="0" applyAlignment="0" applyProtection="0"/>
    <xf numFmtId="0" fontId="128" fillId="33" borderId="82" applyNumberFormat="0" applyAlignment="0" applyProtection="0"/>
    <xf numFmtId="283" fontId="235" fillId="0" borderId="0">
      <protection locked="0"/>
    </xf>
    <xf numFmtId="0" fontId="128" fillId="33" borderId="74" applyNumberFormat="0" applyAlignment="0" applyProtection="0"/>
    <xf numFmtId="0" fontId="83" fillId="32" borderId="90" applyNumberFormat="0" applyFont="0" applyAlignment="0" applyProtection="0"/>
    <xf numFmtId="0" fontId="115" fillId="32" borderId="75" applyNumberFormat="0" applyFont="0" applyAlignment="0" applyProtection="0"/>
    <xf numFmtId="266" fontId="190" fillId="0" borderId="59">
      <alignment horizontal="left" vertical="top"/>
    </xf>
    <xf numFmtId="0" fontId="43" fillId="0" borderId="0"/>
    <xf numFmtId="0" fontId="198" fillId="33" borderId="91" applyNumberFormat="0" applyAlignment="0" applyProtection="0"/>
    <xf numFmtId="0" fontId="169" fillId="33" borderId="82" applyNumberFormat="0" applyAlignment="0" applyProtection="0"/>
    <xf numFmtId="0" fontId="83" fillId="32" borderId="61" applyNumberFormat="0" applyFont="0" applyAlignment="0" applyProtection="0"/>
    <xf numFmtId="0" fontId="128" fillId="33" borderId="60" applyNumberFormat="0" applyAlignment="0" applyProtection="0"/>
    <xf numFmtId="0" fontId="95" fillId="0" borderId="0"/>
    <xf numFmtId="220" fontId="97" fillId="0" borderId="0" applyFont="0" applyFill="0" applyBorder="0" applyAlignment="0" applyProtection="0">
      <alignment vertical="center"/>
    </xf>
    <xf numFmtId="41" fontId="1" fillId="0" borderId="0" applyFont="0" applyFill="0" applyBorder="0" applyAlignment="0" applyProtection="0"/>
    <xf numFmtId="0" fontId="145" fillId="33" borderId="60" applyNumberFormat="0" applyAlignment="0" applyProtection="0"/>
    <xf numFmtId="4" fontId="237" fillId="0" borderId="2" applyBorder="0"/>
    <xf numFmtId="43" fontId="99" fillId="0" borderId="0" applyFont="0" applyFill="0" applyBorder="0" applyAlignment="0" applyProtection="0"/>
    <xf numFmtId="43" fontId="100" fillId="0" borderId="0" applyFont="0" applyFill="0" applyBorder="0" applyAlignment="0" applyProtection="0"/>
    <xf numFmtId="0" fontId="169" fillId="33" borderId="60" applyNumberFormat="0" applyAlignment="0" applyProtection="0"/>
    <xf numFmtId="43" fontId="22" fillId="0" borderId="0" applyFont="0" applyFill="0" applyBorder="0" applyAlignment="0" applyProtection="0"/>
    <xf numFmtId="170"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0" fontId="115" fillId="32" borderId="83" applyNumberFormat="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74" fontId="81" fillId="0" borderId="0" applyFont="0" applyFill="0" applyBorder="0" applyAlignment="0" applyProtection="0"/>
    <xf numFmtId="43" fontId="1" fillId="0" borderId="0" applyFont="0" applyFill="0" applyBorder="0" applyAlignment="0" applyProtection="0"/>
    <xf numFmtId="0" fontId="169" fillId="33" borderId="67"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6" fontId="130" fillId="0" borderId="78">
      <alignment horizontal="center"/>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3"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0"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233" fontId="104" fillId="0" borderId="0"/>
    <xf numFmtId="43" fontId="22" fillId="0" borderId="0" applyFont="0" applyFill="0" applyBorder="0" applyAlignment="0" applyProtection="0"/>
    <xf numFmtId="174" fontId="22" fillId="0" borderId="0" applyFont="0" applyFill="0" applyBorder="0" applyAlignment="0" applyProtection="0"/>
    <xf numFmtId="43" fontId="22" fillId="0" borderId="0" applyFont="0" applyFill="0" applyBorder="0" applyAlignment="0" applyProtection="0"/>
    <xf numFmtId="219" fontId="10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5" fillId="32" borderId="75" applyNumberFormat="0" applyFont="0" applyAlignment="0" applyProtection="0"/>
    <xf numFmtId="0" fontId="144" fillId="14" borderId="84" applyNumberFormat="0" applyAlignment="0" applyProtection="0"/>
    <xf numFmtId="0" fontId="108" fillId="0" borderId="0">
      <alignment horizontal="left"/>
    </xf>
    <xf numFmtId="0" fontId="111" fillId="0" borderId="0" applyNumberFormat="0" applyFill="0" applyBorder="0" applyAlignment="0" applyProtection="0">
      <alignment vertical="top"/>
      <protection locked="0"/>
    </xf>
    <xf numFmtId="172" fontId="83" fillId="0" borderId="0" applyFont="0" applyFill="0" applyBorder="0" applyAlignment="0" applyProtection="0"/>
    <xf numFmtId="0" fontId="114" fillId="0" borderId="30"/>
    <xf numFmtId="0" fontId="115" fillId="0" borderId="0" applyNumberFormat="0" applyFont="0" applyFill="0" applyAlignment="0"/>
    <xf numFmtId="0" fontId="115" fillId="32" borderId="61" applyNumberFormat="0" applyFont="0" applyAlignment="0" applyProtection="0"/>
    <xf numFmtId="0" fontId="156" fillId="0" borderId="63" applyNumberFormat="0" applyFill="0" applyAlignment="0" applyProtection="0"/>
    <xf numFmtId="0" fontId="169" fillId="33" borderId="74" applyNumberFormat="0" applyAlignment="0" applyProtection="0"/>
    <xf numFmtId="0" fontId="1" fillId="0" borderId="0"/>
    <xf numFmtId="0" fontId="1" fillId="0" borderId="0"/>
    <xf numFmtId="245" fontId="22" fillId="0" borderId="0"/>
    <xf numFmtId="0" fontId="1" fillId="0" borderId="0"/>
    <xf numFmtId="0" fontId="1" fillId="0" borderId="0"/>
    <xf numFmtId="0" fontId="115" fillId="32" borderId="61" applyNumberFormat="0" applyFont="0" applyAlignment="0" applyProtection="0"/>
    <xf numFmtId="0" fontId="83" fillId="32" borderId="61" applyNumberFormat="0" applyFont="0" applyAlignment="0" applyProtection="0"/>
    <xf numFmtId="0" fontId="83" fillId="32" borderId="61" applyNumberFormat="0" applyFont="0" applyAlignment="0" applyProtection="0"/>
    <xf numFmtId="0" fontId="118" fillId="0" borderId="0"/>
    <xf numFmtId="0" fontId="198" fillId="33" borderId="84" applyNumberFormat="0" applyAlignment="0" applyProtection="0"/>
    <xf numFmtId="177" fontId="22" fillId="0" borderId="0"/>
    <xf numFmtId="186" fontId="83" fillId="0" borderId="0" applyFont="0" applyFill="0" applyBorder="0" applyAlignment="0" applyProtection="0"/>
    <xf numFmtId="0" fontId="1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45" fontId="1" fillId="0" borderId="0"/>
    <xf numFmtId="0" fontId="43" fillId="0" borderId="0"/>
    <xf numFmtId="185" fontId="23" fillId="0" borderId="0" applyFont="0" applyFill="0" applyBorder="0" applyAlignment="0" applyProtection="0"/>
    <xf numFmtId="0" fontId="24" fillId="0" borderId="0"/>
    <xf numFmtId="0" fontId="81" fillId="0" borderId="0"/>
    <xf numFmtId="0" fontId="83" fillId="0" borderId="0"/>
    <xf numFmtId="219" fontId="22" fillId="0" borderId="0"/>
    <xf numFmtId="177" fontId="22" fillId="0" borderId="0"/>
    <xf numFmtId="0" fontId="83" fillId="0" borderId="0"/>
    <xf numFmtId="0" fontId="115" fillId="32" borderId="75" applyNumberFormat="0" applyFont="0" applyAlignment="0" applyProtection="0"/>
    <xf numFmtId="0" fontId="121" fillId="0" borderId="0" applyNumberFormat="0" applyFill="0" applyBorder="0" applyProtection="0">
      <alignment vertical="top" wrapText="1"/>
    </xf>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28" fillId="33" borderId="89" applyNumberFormat="0" applyAlignment="0" applyProtection="0"/>
    <xf numFmtId="0" fontId="1" fillId="0" borderId="0"/>
    <xf numFmtId="0" fontId="1" fillId="0" borderId="0"/>
    <xf numFmtId="0" fontId="43" fillId="0" borderId="0"/>
    <xf numFmtId="0" fontId="124" fillId="0" borderId="0"/>
    <xf numFmtId="0" fontId="1" fillId="0" borderId="0"/>
    <xf numFmtId="0" fontId="1" fillId="0" borderId="0"/>
    <xf numFmtId="0" fontId="16" fillId="0" borderId="0"/>
    <xf numFmtId="0" fontId="35" fillId="0" borderId="0"/>
    <xf numFmtId="0" fontId="22" fillId="0" borderId="0" applyAlignment="0">
      <alignment vertical="top" wrapText="1"/>
      <protection locked="0"/>
    </xf>
    <xf numFmtId="0" fontId="1" fillId="0" borderId="0"/>
    <xf numFmtId="0" fontId="22" fillId="0" borderId="0"/>
    <xf numFmtId="0" fontId="81" fillId="0" borderId="0"/>
    <xf numFmtId="0" fontId="1" fillId="0" borderId="0"/>
    <xf numFmtId="0" fontId="22" fillId="0" borderId="0"/>
    <xf numFmtId="0" fontId="1" fillId="0" borderId="0"/>
    <xf numFmtId="0" fontId="14" fillId="0" borderId="0"/>
    <xf numFmtId="0" fontId="119" fillId="0" borderId="0"/>
    <xf numFmtId="0" fontId="81" fillId="0" borderId="0"/>
    <xf numFmtId="0" fontId="115" fillId="32" borderId="61" applyNumberFormat="0" applyFont="0" applyAlignment="0" applyProtection="0"/>
    <xf numFmtId="248" fontId="130" fillId="0" borderId="86">
      <alignment horizontal="right" vertical="center"/>
    </xf>
    <xf numFmtId="9" fontId="22" fillId="0" borderId="0" applyFont="0" applyFill="0" applyBorder="0" applyAlignment="0" applyProtection="0"/>
    <xf numFmtId="9" fontId="22" fillId="0" borderId="0" applyFont="0" applyFill="0" applyBorder="0" applyAlignment="0" applyProtection="0"/>
    <xf numFmtId="9" fontId="106" fillId="0" borderId="0" applyFont="0" applyFill="0" applyBorder="0" applyAlignment="0" applyProtection="0"/>
    <xf numFmtId="0" fontId="198" fillId="33" borderId="84" applyNumberFormat="0" applyAlignment="0" applyProtection="0"/>
    <xf numFmtId="0" fontId="128" fillId="33" borderId="74" applyNumberFormat="0" applyAlignment="0" applyProtection="0"/>
    <xf numFmtId="172" fontId="83" fillId="0" borderId="0" applyFont="0" applyFill="0" applyBorder="0" applyAlignment="0" applyProtection="0"/>
    <xf numFmtId="0" fontId="38" fillId="0" borderId="0"/>
    <xf numFmtId="172" fontId="83" fillId="0" borderId="0" applyFont="0" applyFill="0" applyBorder="0" applyAlignment="0" applyProtection="0"/>
    <xf numFmtId="186" fontId="83" fillId="0" borderId="0" applyFont="0" applyFill="0" applyBorder="0" applyAlignment="0" applyProtection="0"/>
    <xf numFmtId="193"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4" fontId="22" fillId="0" borderId="0" applyFont="0" applyFill="0" applyBorder="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41" fontId="83" fillId="0" borderId="0" applyFont="0" applyFill="0" applyBorder="0" applyAlignment="0" applyProtection="0"/>
    <xf numFmtId="21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68"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41" fontId="83" fillId="0" borderId="0" applyFont="0" applyFill="0" applyBorder="0" applyAlignment="0" applyProtection="0"/>
    <xf numFmtId="168" fontId="83" fillId="0" borderId="0" applyFont="0" applyFill="0" applyBorder="0" applyAlignment="0" applyProtection="0"/>
    <xf numFmtId="172"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2" fontId="83" fillId="0" borderId="0" applyFont="0" applyFill="0" applyBorder="0" applyAlignment="0" applyProtection="0"/>
    <xf numFmtId="210" fontId="83" fillId="0" borderId="0" applyFont="0" applyFill="0" applyBorder="0" applyAlignment="0" applyProtection="0"/>
    <xf numFmtId="214" fontId="22" fillId="0" borderId="0" applyFont="0" applyFill="0" applyBorder="0" applyAlignment="0" applyProtection="0"/>
    <xf numFmtId="0" fontId="128" fillId="33" borderId="89" applyNumberFormat="0" applyAlignment="0" applyProtection="0"/>
    <xf numFmtId="168" fontId="83" fillId="0" borderId="0" applyFont="0" applyFill="0" applyBorder="0" applyAlignment="0" applyProtection="0"/>
    <xf numFmtId="187" fontId="83" fillId="0" borderId="0" applyFont="0" applyFill="0" applyBorder="0" applyAlignment="0" applyProtection="0"/>
    <xf numFmtId="187" fontId="83" fillId="0" borderId="0" applyFont="0" applyFill="0" applyBorder="0" applyAlignment="0" applyProtection="0"/>
    <xf numFmtId="210" fontId="83" fillId="0" borderId="0" applyFont="0" applyFill="0" applyBorder="0" applyAlignment="0" applyProtection="0"/>
    <xf numFmtId="185" fontId="23" fillId="0" borderId="0" applyFont="0" applyFill="0" applyBorder="0" applyAlignment="0" applyProtection="0"/>
    <xf numFmtId="212" fontId="83" fillId="0" borderId="0" applyFont="0" applyFill="0" applyBorder="0" applyAlignment="0" applyProtection="0"/>
    <xf numFmtId="217"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172" fontId="83" fillId="0" borderId="0" applyFont="0" applyFill="0" applyBorder="0" applyAlignment="0" applyProtection="0"/>
    <xf numFmtId="212" fontId="83" fillId="0" borderId="0" applyFont="0" applyFill="0" applyBorder="0" applyAlignment="0" applyProtection="0"/>
    <xf numFmtId="43" fontId="16" fillId="0" borderId="0" applyFont="0" applyFill="0" applyBorder="0" applyAlignment="0" applyProtection="0"/>
    <xf numFmtId="172" fontId="83" fillId="0" borderId="0" applyFont="0" applyFill="0" applyBorder="0" applyAlignment="0" applyProtection="0"/>
    <xf numFmtId="210" fontId="83" fillId="0" borderId="0" applyFont="0" applyFill="0" applyBorder="0" applyAlignment="0" applyProtection="0"/>
    <xf numFmtId="172" fontId="83" fillId="0" borderId="0" applyFont="0" applyFill="0" applyBorder="0" applyAlignment="0" applyProtection="0"/>
    <xf numFmtId="172" fontId="83" fillId="0" borderId="0" applyFont="0" applyFill="0" applyBorder="0" applyAlignment="0" applyProtection="0"/>
    <xf numFmtId="42"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67" fontId="83" fillId="0" borderId="0" applyFont="0" applyFill="0" applyBorder="0" applyAlignment="0" applyProtection="0"/>
    <xf numFmtId="167" fontId="83" fillId="0" borderId="0" applyFont="0" applyFill="0" applyBorder="0" applyAlignment="0" applyProtection="0"/>
    <xf numFmtId="172"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93" fontId="83" fillId="0" borderId="0" applyFont="0" applyFill="0" applyBorder="0" applyAlignment="0" applyProtection="0"/>
    <xf numFmtId="186" fontId="83" fillId="0" borderId="0" applyFont="0" applyFill="0" applyBorder="0" applyAlignment="0" applyProtection="0"/>
    <xf numFmtId="193" fontId="83" fillId="0" borderId="0" applyFont="0" applyFill="0" applyBorder="0" applyAlignment="0" applyProtection="0"/>
    <xf numFmtId="172" fontId="83" fillId="0" borderId="0" applyFont="0" applyFill="0" applyBorder="0" applyAlignment="0" applyProtection="0"/>
    <xf numFmtId="42" fontId="83" fillId="0" borderId="0" applyFont="0" applyFill="0" applyBorder="0" applyAlignment="0" applyProtection="0"/>
    <xf numFmtId="193" fontId="83" fillId="0" borderId="0" applyFont="0" applyFill="0" applyBorder="0" applyAlignment="0" applyProtection="0"/>
    <xf numFmtId="171" fontId="83" fillId="0" borderId="0" applyFont="0" applyFill="0" applyBorder="0" applyAlignment="0" applyProtection="0"/>
    <xf numFmtId="197" fontId="83" fillId="0" borderId="0" applyFont="0" applyFill="0" applyBorder="0" applyAlignment="0" applyProtection="0"/>
    <xf numFmtId="42"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194" fontId="22" fillId="0" borderId="0" applyFont="0" applyFill="0" applyBorder="0" applyAlignment="0" applyProtection="0"/>
    <xf numFmtId="0" fontId="115" fillId="32" borderId="90" applyNumberFormat="0" applyFont="0" applyAlignment="0" applyProtection="0"/>
    <xf numFmtId="42" fontId="83" fillId="0" borderId="0" applyFont="0" applyFill="0" applyBorder="0" applyAlignment="0" applyProtection="0"/>
    <xf numFmtId="193" fontId="83" fillId="0" borderId="0" applyFont="0" applyFill="0" applyBorder="0" applyAlignment="0" applyProtection="0"/>
    <xf numFmtId="212" fontId="83" fillId="0" borderId="0" applyFont="0" applyFill="0" applyBorder="0" applyAlignment="0" applyProtection="0"/>
    <xf numFmtId="167" fontId="83" fillId="0" borderId="0" applyFont="0" applyFill="0" applyBorder="0" applyAlignment="0" applyProtection="0"/>
    <xf numFmtId="16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97" fontId="83" fillId="0" borderId="0" applyFont="0" applyFill="0" applyBorder="0" applyAlignment="0" applyProtection="0"/>
    <xf numFmtId="193" fontId="83" fillId="0" borderId="0" applyFont="0" applyFill="0" applyBorder="0" applyAlignment="0" applyProtection="0"/>
    <xf numFmtId="42" fontId="83" fillId="0" borderId="0" applyFont="0" applyFill="0" applyBorder="0" applyAlignment="0" applyProtection="0"/>
    <xf numFmtId="171" fontId="83" fillId="0" borderId="0" applyFont="0" applyFill="0" applyBorder="0" applyAlignment="0" applyProtection="0"/>
    <xf numFmtId="171" fontId="83" fillId="0" borderId="0" applyFont="0" applyFill="0" applyBorder="0" applyAlignment="0" applyProtection="0"/>
    <xf numFmtId="193" fontId="83" fillId="0" borderId="0" applyFont="0" applyFill="0" applyBorder="0" applyAlignment="0" applyProtection="0"/>
    <xf numFmtId="14" fontId="24" fillId="0" borderId="0"/>
    <xf numFmtId="0" fontId="114" fillId="0" borderId="0"/>
    <xf numFmtId="0" fontId="128" fillId="33" borderId="89" applyNumberFormat="0" applyAlignment="0" applyProtection="0"/>
    <xf numFmtId="266" fontId="190" fillId="0" borderId="80">
      <alignment horizontal="left" vertical="top"/>
    </xf>
    <xf numFmtId="0" fontId="115" fillId="32" borderId="68" applyNumberFormat="0" applyFont="0" applyAlignment="0" applyProtection="0"/>
    <xf numFmtId="257" fontId="131" fillId="0" borderId="0"/>
    <xf numFmtId="248" fontId="130" fillId="0" borderId="64">
      <alignment horizontal="right" vertical="center"/>
    </xf>
    <xf numFmtId="0" fontId="115" fillId="32" borderId="83" applyNumberFormat="0" applyFont="0" applyAlignment="0" applyProtection="0"/>
    <xf numFmtId="0" fontId="184" fillId="33" borderId="69" applyNumberFormat="0" applyAlignment="0" applyProtection="0"/>
    <xf numFmtId="282" fontId="22" fillId="0" borderId="0" applyFont="0" applyFill="0" applyBorder="0" applyAlignment="0" applyProtection="0"/>
    <xf numFmtId="0" fontId="115" fillId="32" borderId="68" applyNumberFormat="0" applyFont="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6" fillId="0" borderId="0"/>
    <xf numFmtId="186" fontId="83" fillId="0" borderId="0" applyFont="0" applyFill="0" applyBorder="0" applyAlignment="0" applyProtection="0"/>
    <xf numFmtId="0" fontId="153" fillId="33" borderId="49" applyNumberFormat="0" applyAlignment="0" applyProtection="0"/>
    <xf numFmtId="0" fontId="16" fillId="0" borderId="0"/>
    <xf numFmtId="0" fontId="115" fillId="32" borderId="50" applyNumberFormat="0" applyFont="0" applyAlignment="0" applyProtection="0"/>
    <xf numFmtId="9" fontId="16" fillId="0" borderId="0" applyFont="0" applyFill="0" applyBorder="0" applyAlignment="0" applyProtection="0"/>
    <xf numFmtId="0" fontId="198" fillId="33" borderId="49" applyNumberFormat="0" applyAlignment="0" applyProtection="0"/>
    <xf numFmtId="0" fontId="16" fillId="0" borderId="0"/>
    <xf numFmtId="185" fontId="23" fillId="0" borderId="0" applyFont="0" applyFill="0" applyBorder="0" applyAlignment="0" applyProtection="0"/>
    <xf numFmtId="0" fontId="128" fillId="33" borderId="51" applyNumberFormat="0" applyAlignment="0" applyProtection="0"/>
    <xf numFmtId="186" fontId="83" fillId="0" borderId="0" applyFont="0" applyFill="0" applyBorder="0" applyAlignment="0" applyProtection="0"/>
    <xf numFmtId="43" fontId="16" fillId="0" borderId="0" applyFont="0" applyFill="0" applyBorder="0" applyAlignment="0" applyProtection="0"/>
    <xf numFmtId="0" fontId="145" fillId="33" borderId="51" applyNumberFormat="0" applyAlignment="0" applyProtection="0"/>
    <xf numFmtId="9" fontId="16" fillId="0" borderId="0" applyFont="0" applyFill="0" applyBorder="0" applyAlignment="0" applyProtection="0"/>
    <xf numFmtId="186" fontId="83" fillId="0" borderId="0" applyFont="0" applyFill="0" applyBorder="0" applyAlignment="0" applyProtection="0"/>
    <xf numFmtId="0" fontId="198" fillId="33" borderId="49"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0" fontId="33" fillId="0" borderId="0"/>
    <xf numFmtId="0" fontId="1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1"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45"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28" fillId="33" borderId="82" applyNumberFormat="0" applyAlignment="0" applyProtection="0"/>
    <xf numFmtId="0" fontId="128" fillId="33" borderId="89" applyNumberFormat="0" applyAlignment="0" applyProtection="0"/>
    <xf numFmtId="0" fontId="83" fillId="32" borderId="83" applyNumberFormat="0" applyFont="0" applyAlignment="0" applyProtection="0"/>
    <xf numFmtId="0" fontId="153" fillId="33" borderId="91" applyNumberFormat="0" applyAlignment="0" applyProtection="0"/>
    <xf numFmtId="0" fontId="170" fillId="14" borderId="91" applyNumberFormat="0" applyAlignment="0" applyProtection="0"/>
    <xf numFmtId="0" fontId="83" fillId="32" borderId="61" applyNumberFormat="0" applyFont="0" applyAlignment="0" applyProtection="0"/>
    <xf numFmtId="0" fontId="1" fillId="0" borderId="0"/>
    <xf numFmtId="0" fontId="1" fillId="0" borderId="0"/>
    <xf numFmtId="4" fontId="237" fillId="0" borderId="2" applyBorder="0"/>
    <xf numFmtId="0" fontId="184" fillId="33" borderId="62" applyNumberFormat="0" applyAlignment="0" applyProtection="0"/>
    <xf numFmtId="0" fontId="128" fillId="33" borderId="74" applyNumberFormat="0" applyAlignment="0" applyProtection="0"/>
    <xf numFmtId="0" fontId="83" fillId="32" borderId="83" applyNumberFormat="0" applyFont="0" applyAlignment="0" applyProtection="0"/>
    <xf numFmtId="0" fontId="185" fillId="0" borderId="92" applyNumberFormat="0" applyFill="0" applyAlignment="0" applyProtection="0"/>
    <xf numFmtId="0" fontId="156" fillId="0" borderId="85" applyNumberFormat="0" applyFill="0" applyAlignment="0" applyProtection="0"/>
    <xf numFmtId="283" fontId="235" fillId="0" borderId="0">
      <protection locked="0"/>
    </xf>
    <xf numFmtId="0" fontId="1" fillId="0" borderId="0"/>
    <xf numFmtId="0" fontId="1" fillId="0" borderId="0"/>
    <xf numFmtId="251" fontId="22" fillId="0" borderId="78">
      <alignment horizontal="right" vertical="center"/>
    </xf>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0" fontId="128" fillId="33" borderId="89" applyNumberFormat="0" applyAlignment="0" applyProtection="0"/>
    <xf numFmtId="43" fontId="1" fillId="0" borderId="0" applyFont="0" applyFill="0" applyBorder="0" applyAlignment="0" applyProtection="0"/>
    <xf numFmtId="174" fontId="1" fillId="0" borderId="0" applyFont="0" applyFill="0" applyBorder="0" applyAlignment="0" applyProtection="0"/>
    <xf numFmtId="0" fontId="115" fillId="32" borderId="90" applyNumberFormat="0" applyFont="0" applyAlignment="0" applyProtection="0"/>
    <xf numFmtId="43"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0" fontId="198" fillId="33" borderId="84" applyNumberFormat="0" applyAlignment="0" applyProtection="0"/>
    <xf numFmtId="0" fontId="198" fillId="33" borderId="69" applyNumberFormat="0" applyAlignment="0" applyProtection="0"/>
    <xf numFmtId="0" fontId="83" fillId="32" borderId="83" applyNumberFormat="0" applyFont="0" applyAlignment="0" applyProtection="0"/>
    <xf numFmtId="174" fontId="1" fillId="0" borderId="0" applyFont="0" applyFill="0" applyBorder="0" applyAlignment="0" applyProtection="0"/>
    <xf numFmtId="174" fontId="1" fillId="0" borderId="0" applyFont="0" applyFill="0" applyBorder="0" applyAlignment="0" applyProtection="0"/>
    <xf numFmtId="0" fontId="198" fillId="33" borderId="91" applyNumberFormat="0" applyAlignment="0" applyProtection="0"/>
    <xf numFmtId="0" fontId="109" fillId="0" borderId="66">
      <alignment horizontal="left" vertical="center"/>
    </xf>
    <xf numFmtId="0" fontId="115" fillId="32" borderId="68" applyNumberFormat="0" applyFont="0" applyAlignment="0" applyProtection="0"/>
    <xf numFmtId="0" fontId="115" fillId="32" borderId="61" applyNumberFormat="0" applyFont="0" applyAlignment="0" applyProtection="0"/>
    <xf numFmtId="43" fontId="1" fillId="0" borderId="0" applyFont="0" applyFill="0" applyBorder="0" applyAlignment="0" applyProtection="0"/>
    <xf numFmtId="174" fontId="1" fillId="0" borderId="0" applyFont="0" applyFill="0" applyBorder="0" applyAlignment="0" applyProtection="0"/>
    <xf numFmtId="0" fontId="144" fillId="14" borderId="76" applyNumberFormat="0" applyAlignment="0" applyProtection="0"/>
    <xf numFmtId="0" fontId="153" fillId="33" borderId="91" applyNumberFormat="0" applyAlignment="0" applyProtection="0"/>
    <xf numFmtId="43" fontId="1" fillId="0" borderId="0" applyFont="0" applyFill="0" applyBorder="0" applyAlignment="0" applyProtection="0"/>
    <xf numFmtId="174" fontId="1" fillId="0" borderId="0" applyFont="0" applyFill="0" applyBorder="0" applyAlignment="0" applyProtection="0"/>
    <xf numFmtId="0" fontId="156" fillId="0" borderId="70"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33" borderId="8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48" fontId="130" fillId="0" borderId="64">
      <alignment horizontal="right" vertical="center"/>
    </xf>
    <xf numFmtId="0" fontId="128" fillId="33" borderId="82" applyNumberFormat="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85" fillId="0" borderId="70" applyNumberFormat="0" applyFill="0" applyAlignment="0" applyProtection="0"/>
    <xf numFmtId="0" fontId="153" fillId="33" borderId="62" applyNumberFormat="0" applyAlignment="0" applyProtection="0"/>
    <xf numFmtId="283" fontId="235" fillId="0" borderId="0">
      <protection locked="0"/>
    </xf>
    <xf numFmtId="0" fontId="83" fillId="32" borderId="61" applyNumberFormat="0" applyFont="0" applyAlignment="0" applyProtection="0"/>
    <xf numFmtId="266" fontId="190" fillId="0" borderId="72">
      <alignment horizontal="left" vertical="top"/>
    </xf>
    <xf numFmtId="186" fontId="130" fillId="0" borderId="86">
      <alignment horizontal="center"/>
    </xf>
    <xf numFmtId="0" fontId="115" fillId="32" borderId="83" applyNumberFormat="0" applyFont="0" applyAlignment="0" applyProtection="0"/>
    <xf numFmtId="0" fontId="128" fillId="33" borderId="67" applyNumberFormat="0" applyAlignment="0" applyProtection="0"/>
    <xf numFmtId="0" fontId="115" fillId="32" borderId="68" applyNumberFormat="0" applyFont="0" applyAlignment="0" applyProtection="0"/>
    <xf numFmtId="0" fontId="170" fillId="14" borderId="91" applyNumberFormat="0" applyAlignment="0" applyProtection="0"/>
    <xf numFmtId="249" fontId="83" fillId="0" borderId="71">
      <alignment horizontal="right" vertical="center"/>
    </xf>
    <xf numFmtId="266" fontId="190" fillId="0" borderId="65">
      <alignment horizontal="left" vertical="top"/>
    </xf>
    <xf numFmtId="250" fontId="22" fillId="0" borderId="71">
      <alignment horizontal="right" vertical="center"/>
    </xf>
    <xf numFmtId="0" fontId="83" fillId="32" borderId="68" applyNumberFormat="0" applyFont="0" applyAlignment="0" applyProtection="0"/>
    <xf numFmtId="249" fontId="83" fillId="0" borderId="64">
      <alignment horizontal="right" vertical="center"/>
    </xf>
    <xf numFmtId="0" fontId="1" fillId="0" borderId="0"/>
    <xf numFmtId="0" fontId="198" fillId="33" borderId="62" applyNumberFormat="0" applyAlignment="0" applyProtection="0"/>
    <xf numFmtId="0" fontId="115" fillId="32" borderId="68" applyNumberFormat="0" applyFont="0" applyAlignment="0" applyProtection="0"/>
    <xf numFmtId="0" fontId="128" fillId="33" borderId="60" applyNumberFormat="0" applyAlignment="0" applyProtection="0"/>
    <xf numFmtId="248" fontId="130" fillId="0" borderId="64">
      <alignment horizontal="right" vertical="center"/>
    </xf>
    <xf numFmtId="0" fontId="144" fillId="14" borderId="76" applyNumberFormat="0" applyAlignment="0" applyProtection="0"/>
    <xf numFmtId="0" fontId="115" fillId="32" borderId="83" applyNumberFormat="0" applyFont="0" applyAlignment="0" applyProtection="0"/>
    <xf numFmtId="0" fontId="115" fillId="32" borderId="61" applyNumberFormat="0" applyFont="0" applyAlignment="0" applyProtection="0"/>
    <xf numFmtId="283" fontId="235" fillId="0" borderId="0">
      <protection locked="0"/>
    </xf>
    <xf numFmtId="0" fontId="128" fillId="24" borderId="82" applyNumberFormat="0" applyAlignment="0" applyProtection="0"/>
    <xf numFmtId="0" fontId="115" fillId="32" borderId="68" applyNumberFormat="0" applyFont="0" applyAlignment="0" applyProtection="0"/>
    <xf numFmtId="0" fontId="198" fillId="33" borderId="76" applyNumberFormat="0" applyAlignment="0" applyProtection="0"/>
    <xf numFmtId="0" fontId="115" fillId="32" borderId="68" applyNumberFormat="0" applyFont="0" applyAlignment="0" applyProtection="0"/>
    <xf numFmtId="0" fontId="128" fillId="33" borderId="67" applyNumberFormat="0" applyAlignment="0" applyProtection="0"/>
    <xf numFmtId="250" fontId="22" fillId="0" borderId="78">
      <alignment horizontal="right" vertical="center"/>
    </xf>
    <xf numFmtId="0" fontId="83" fillId="32" borderId="68" applyNumberFormat="0" applyFont="0" applyAlignment="0" applyProtection="0"/>
    <xf numFmtId="0" fontId="115" fillId="32" borderId="61" applyNumberFormat="0" applyFont="0" applyAlignment="0" applyProtection="0"/>
    <xf numFmtId="249" fontId="83" fillId="0" borderId="71">
      <alignment horizontal="right" vertical="center"/>
    </xf>
    <xf numFmtId="0" fontId="156" fillId="0" borderId="70" applyNumberFormat="0" applyFill="0" applyAlignment="0" applyProtection="0"/>
    <xf numFmtId="0" fontId="115" fillId="32" borderId="61" applyNumberFormat="0" applyFont="0" applyAlignment="0" applyProtection="0"/>
    <xf numFmtId="0" fontId="115" fillId="32" borderId="83" applyNumberFormat="0" applyFont="0" applyAlignment="0" applyProtection="0"/>
    <xf numFmtId="0" fontId="1" fillId="0" borderId="0"/>
    <xf numFmtId="0" fontId="128" fillId="33" borderId="67" applyNumberFormat="0" applyAlignment="0" applyProtection="0"/>
    <xf numFmtId="0" fontId="169" fillId="33" borderId="89" applyNumberFormat="0" applyAlignment="0" applyProtection="0"/>
    <xf numFmtId="266" fontId="190" fillId="0" borderId="72">
      <alignment horizontal="left" vertical="top"/>
    </xf>
    <xf numFmtId="43" fontId="1" fillId="0" borderId="0" applyFont="0" applyFill="0" applyBorder="0" applyAlignment="0" applyProtection="0"/>
    <xf numFmtId="0" fontId="184" fillId="33" borderId="84" applyNumberFormat="0" applyAlignment="0" applyProtection="0"/>
    <xf numFmtId="0" fontId="115" fillId="32" borderId="68" applyNumberFormat="0" applyFont="0" applyAlignment="0" applyProtection="0"/>
    <xf numFmtId="0" fontId="115" fillId="32" borderId="61" applyNumberFormat="0" applyFont="0" applyAlignment="0" applyProtection="0"/>
    <xf numFmtId="0" fontId="1" fillId="0" borderId="0"/>
    <xf numFmtId="0" fontId="1" fillId="0" borderId="0"/>
    <xf numFmtId="0" fontId="1" fillId="0" borderId="0"/>
    <xf numFmtId="250" fontId="22" fillId="0" borderId="64">
      <alignment horizontal="right" vertical="center"/>
    </xf>
    <xf numFmtId="0" fontId="1" fillId="0" borderId="0"/>
    <xf numFmtId="0" fontId="1" fillId="0" borderId="0"/>
    <xf numFmtId="0" fontId="1" fillId="0" borderId="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0" fontId="170" fillId="14" borderId="62" applyNumberFormat="0" applyAlignment="0" applyProtection="0"/>
    <xf numFmtId="174"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0" fontId="170" fillId="14" borderId="69" applyNumberFormat="0" applyAlignment="0" applyProtection="0"/>
    <xf numFmtId="251" fontId="22" fillId="0" borderId="86">
      <alignment horizontal="right" vertical="center"/>
    </xf>
    <xf numFmtId="248" fontId="130" fillId="0" borderId="57">
      <alignment horizontal="right" vertical="center"/>
    </xf>
    <xf numFmtId="174" fontId="1" fillId="0" borderId="0" applyFont="0" applyFill="0" applyBorder="0" applyAlignment="0" applyProtection="0"/>
    <xf numFmtId="174" fontId="1" fillId="0" borderId="0" applyFont="0" applyFill="0" applyBorder="0" applyAlignment="0" applyProtection="0"/>
    <xf numFmtId="0" fontId="115" fillId="32" borderId="68" applyNumberFormat="0" applyFont="0" applyAlignment="0" applyProtection="0"/>
    <xf numFmtId="186" fontId="130" fillId="0" borderId="71">
      <alignment horizontal="center"/>
    </xf>
    <xf numFmtId="0" fontId="115" fillId="32" borderId="75" applyNumberFormat="0" applyFont="0" applyAlignment="0" applyProtection="0"/>
    <xf numFmtId="174" fontId="1" fillId="0" borderId="0" applyFont="0" applyFill="0" applyBorder="0" applyAlignment="0" applyProtection="0"/>
    <xf numFmtId="174" fontId="1" fillId="0" borderId="0" applyFont="0" applyFill="0" applyBorder="0" applyAlignment="0" applyProtection="0"/>
    <xf numFmtId="0" fontId="128" fillId="33" borderId="74" applyNumberFormat="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8" fillId="33" borderId="69" applyNumberFormat="0" applyAlignment="0" applyProtection="0"/>
    <xf numFmtId="0" fontId="115" fillId="32" borderId="90" applyNumberFormat="0" applyFont="0" applyAlignment="0" applyProtection="0"/>
    <xf numFmtId="0" fontId="128" fillId="33" borderId="74" applyNumberFormat="0" applyAlignment="0" applyProtection="0"/>
    <xf numFmtId="0" fontId="115" fillId="32" borderId="90" applyNumberFormat="0" applyFont="0" applyAlignment="0" applyProtection="0"/>
    <xf numFmtId="0" fontId="115" fillId="32" borderId="68" applyNumberFormat="0" applyFont="0" applyAlignment="0" applyProtection="0"/>
    <xf numFmtId="0" fontId="83" fillId="32" borderId="83" applyNumberFormat="0" applyFont="0" applyAlignment="0" applyProtection="0"/>
    <xf numFmtId="0" fontId="128" fillId="33" borderId="89" applyNumberFormat="0" applyAlignment="0" applyProtection="0"/>
    <xf numFmtId="0" fontId="128" fillId="33" borderId="82" applyNumberFormat="0" applyAlignment="0" applyProtection="0"/>
    <xf numFmtId="0" fontId="198" fillId="33" borderId="84" applyNumberFormat="0" applyAlignment="0" applyProtection="0"/>
    <xf numFmtId="0" fontId="170" fillId="14" borderId="84" applyNumberFormat="0" applyAlignment="0" applyProtection="0"/>
    <xf numFmtId="0" fontId="128" fillId="33" borderId="60" applyNumberFormat="0" applyAlignment="0" applyProtection="0"/>
    <xf numFmtId="283" fontId="235" fillId="0" borderId="0">
      <protection locked="0"/>
    </xf>
    <xf numFmtId="0" fontId="1" fillId="0" borderId="0"/>
    <xf numFmtId="0" fontId="128" fillId="33" borderId="74" applyNumberFormat="0" applyAlignment="0" applyProtection="0"/>
    <xf numFmtId="0" fontId="128" fillId="33" borderId="74" applyNumberFormat="0" applyAlignment="0" applyProtection="0"/>
    <xf numFmtId="251" fontId="22" fillId="0" borderId="64">
      <alignment horizontal="right" vertical="center"/>
    </xf>
    <xf numFmtId="0" fontId="128" fillId="33" borderId="67" applyNumberFormat="0" applyAlignment="0" applyProtection="0"/>
    <xf numFmtId="0" fontId="144" fillId="14" borderId="62" applyNumberFormat="0" applyAlignment="0" applyProtection="0"/>
    <xf numFmtId="0" fontId="170" fillId="14" borderId="76" applyNumberFormat="0" applyAlignment="0" applyProtection="0"/>
    <xf numFmtId="0" fontId="198" fillId="33" borderId="84" applyNumberFormat="0" applyAlignment="0" applyProtection="0"/>
    <xf numFmtId="0" fontId="185" fillId="0" borderId="63" applyNumberFormat="0" applyFill="0" applyAlignment="0" applyProtection="0"/>
    <xf numFmtId="0" fontId="156" fillId="0" borderId="85" applyNumberFormat="0" applyFill="0" applyAlignment="0" applyProtection="0"/>
    <xf numFmtId="266" fontId="190" fillId="0" borderId="59">
      <alignment horizontal="left" vertical="top"/>
    </xf>
    <xf numFmtId="0" fontId="115" fillId="32" borderId="75" applyNumberFormat="0" applyFont="0" applyAlignment="0" applyProtection="0"/>
    <xf numFmtId="0" fontId="115" fillId="32" borderId="83" applyNumberFormat="0" applyFont="0" applyAlignment="0" applyProtection="0"/>
    <xf numFmtId="266" fontId="190" fillId="0" borderId="87">
      <alignment horizontal="left" vertical="top"/>
    </xf>
    <xf numFmtId="0" fontId="198" fillId="33" borderId="91" applyNumberFormat="0" applyAlignment="0" applyProtection="0"/>
    <xf numFmtId="0" fontId="169" fillId="33" borderId="82" applyNumberFormat="0" applyAlignment="0" applyProtection="0"/>
    <xf numFmtId="0" fontId="115" fillId="32" borderId="83" applyNumberFormat="0" applyFont="0" applyAlignment="0" applyProtection="0"/>
    <xf numFmtId="248" fontId="130" fillId="0" borderId="57">
      <alignment horizontal="right" vertical="center"/>
    </xf>
    <xf numFmtId="0" fontId="128" fillId="33" borderId="67" applyNumberFormat="0" applyAlignment="0" applyProtection="0"/>
    <xf numFmtId="0" fontId="115" fillId="32" borderId="83" applyNumberFormat="0" applyFont="0" applyAlignment="0" applyProtection="0"/>
    <xf numFmtId="0" fontId="1" fillId="0" borderId="0"/>
    <xf numFmtId="174" fontId="1" fillId="0" borderId="0" applyFont="0" applyFill="0" applyBorder="0" applyAlignment="0" applyProtection="0"/>
    <xf numFmtId="0" fontId="1" fillId="0" borderId="0"/>
    <xf numFmtId="0" fontId="1" fillId="0" borderId="0"/>
    <xf numFmtId="0" fontId="1" fillId="0" borderId="0"/>
    <xf numFmtId="0" fontId="198" fillId="33" borderId="91" applyNumberFormat="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250" fontId="22" fillId="0" borderId="64">
      <alignment horizontal="right" vertical="center"/>
    </xf>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0" fontId="198" fillId="33" borderId="62" applyNumberFormat="0" applyAlignment="0" applyProtection="0"/>
    <xf numFmtId="43"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8" fillId="33" borderId="76"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5" fillId="33" borderId="89" applyNumberFormat="0" applyAlignment="0" applyProtection="0"/>
    <xf numFmtId="0" fontId="1" fillId="0" borderId="0"/>
    <xf numFmtId="248" fontId="130" fillId="0" borderId="64">
      <alignment horizontal="right" vertical="center"/>
    </xf>
    <xf numFmtId="282" fontId="22" fillId="0" borderId="0" applyFont="0" applyFill="0" applyBorder="0" applyAlignment="0" applyProtection="0"/>
    <xf numFmtId="250" fontId="22" fillId="0" borderId="78">
      <alignment horizontal="righ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8" fillId="24" borderId="89" applyNumberFormat="0" applyAlignment="0" applyProtection="0"/>
    <xf numFmtId="0" fontId="1" fillId="0" borderId="0"/>
    <xf numFmtId="174" fontId="1" fillId="0" borderId="0" applyFont="0" applyFill="0" applyBorder="0" applyAlignment="0" applyProtection="0"/>
    <xf numFmtId="198" fontId="2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45"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1"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45"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43"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0"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21" fillId="0" borderId="0"/>
    <xf numFmtId="249" fontId="83" fillId="0" borderId="86">
      <alignment horizontal="right" vertical="center"/>
    </xf>
    <xf numFmtId="0" fontId="128" fillId="33" borderId="82" applyNumberFormat="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248" fontId="130" fillId="0" borderId="86">
      <alignment horizontal="right" vertical="center"/>
    </xf>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28" fillId="33" borderId="67" applyNumberFormat="0" applyAlignment="0" applyProtection="0"/>
    <xf numFmtId="185" fontId="23" fillId="0" borderId="0" applyFont="0" applyFill="0" applyBorder="0" applyAlignment="0" applyProtection="0"/>
    <xf numFmtId="43" fontId="16" fillId="0" borderId="0" applyFont="0" applyFill="0" applyBorder="0" applyAlignment="0" applyProtection="0"/>
    <xf numFmtId="0" fontId="83" fillId="32" borderId="50" applyNumberFormat="0" applyFont="0" applyAlignment="0" applyProtection="0"/>
    <xf numFmtId="186" fontId="83" fillId="0" borderId="0" applyFont="0" applyFill="0" applyBorder="0" applyAlignment="0" applyProtection="0"/>
    <xf numFmtId="0" fontId="128" fillId="33" borderId="51" applyNumberFormat="0" applyAlignment="0" applyProtection="0"/>
    <xf numFmtId="0" fontId="128" fillId="24" borderId="51" applyNumberFormat="0" applyAlignment="0" applyProtection="0"/>
    <xf numFmtId="186" fontId="83" fillId="0" borderId="0" applyFont="0" applyFill="0" applyBorder="0" applyAlignment="0" applyProtection="0"/>
    <xf numFmtId="185" fontId="23" fillId="0" borderId="0" applyFont="0" applyFill="0" applyBorder="0" applyAlignment="0" applyProtection="0"/>
    <xf numFmtId="0" fontId="115" fillId="32" borderId="50" applyNumberFormat="0" applyFont="0" applyAlignment="0" applyProtection="0"/>
    <xf numFmtId="9" fontId="16" fillId="0" borderId="0" applyFont="0" applyFill="0" applyBorder="0" applyAlignment="0" applyProtection="0"/>
    <xf numFmtId="0" fontId="115" fillId="32" borderId="50" applyNumberFormat="0" applyFont="0" applyAlignment="0" applyProtection="0"/>
    <xf numFmtId="0" fontId="170" fillId="14" borderId="49" applyNumberFormat="0" applyAlignment="0" applyProtection="0"/>
    <xf numFmtId="0" fontId="198" fillId="33" borderId="49" applyNumberFormat="0" applyAlignment="0" applyProtection="0"/>
    <xf numFmtId="0" fontId="156" fillId="0" borderId="40" applyNumberFormat="0" applyFill="0" applyAlignment="0" applyProtection="0"/>
    <xf numFmtId="185" fontId="2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0" fontId="128" fillId="33" borderId="51" applyNumberFormat="0" applyAlignment="0" applyProtection="0"/>
    <xf numFmtId="0" fontId="16" fillId="0" borderId="0"/>
    <xf numFmtId="0" fontId="83" fillId="32" borderId="50" applyNumberFormat="0" applyFont="0" applyAlignment="0" applyProtection="0"/>
    <xf numFmtId="186" fontId="83" fillId="0" borderId="0" applyFont="0" applyFill="0" applyBorder="0" applyAlignment="0" applyProtection="0"/>
    <xf numFmtId="0" fontId="16" fillId="0" borderId="0"/>
    <xf numFmtId="185" fontId="23" fillId="0" borderId="0" applyFont="0" applyFill="0" applyBorder="0" applyAlignment="0" applyProtection="0"/>
    <xf numFmtId="0" fontId="198" fillId="33" borderId="49"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0" fontId="16" fillId="0" borderId="0"/>
    <xf numFmtId="0" fontId="198" fillId="33" borderId="49" applyNumberFormat="0" applyAlignment="0" applyProtection="0"/>
    <xf numFmtId="0" fontId="145" fillId="33" borderId="51" applyNumberFormat="0" applyAlignment="0" applyProtection="0"/>
    <xf numFmtId="266" fontId="190" fillId="0" borderId="4">
      <alignment horizontal="left" vertical="top"/>
    </xf>
    <xf numFmtId="0" fontId="184" fillId="33" borderId="49" applyNumberFormat="0" applyAlignment="0" applyProtection="0"/>
    <xf numFmtId="0" fontId="153" fillId="33" borderId="49" applyNumberFormat="0" applyAlignment="0" applyProtection="0"/>
    <xf numFmtId="0" fontId="198" fillId="33" borderId="49" applyNumberFormat="0" applyAlignment="0" applyProtection="0"/>
    <xf numFmtId="186" fontId="83" fillId="0" borderId="0" applyFont="0" applyFill="0" applyBorder="0" applyAlignment="0" applyProtection="0"/>
    <xf numFmtId="0" fontId="16" fillId="0" borderId="0"/>
    <xf numFmtId="185" fontId="23" fillId="0" borderId="0" applyFont="0" applyFill="0" applyBorder="0" applyAlignment="0" applyProtection="0"/>
    <xf numFmtId="9" fontId="16" fillId="0" borderId="0" applyFont="0" applyFill="0" applyBorder="0" applyAlignment="0" applyProtection="0"/>
    <xf numFmtId="0" fontId="83" fillId="32" borderId="50" applyNumberFormat="0" applyFont="0" applyAlignment="0" applyProtection="0"/>
    <xf numFmtId="185" fontId="23" fillId="0" borderId="0" applyFont="0" applyFill="0" applyBorder="0" applyAlignment="0" applyProtection="0"/>
    <xf numFmtId="0" fontId="198" fillId="33" borderId="49" applyNumberFormat="0" applyAlignment="0" applyProtection="0"/>
    <xf numFmtId="9"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0" fontId="115" fillId="32" borderId="50" applyNumberFormat="0" applyFont="0" applyAlignment="0" applyProtection="0"/>
    <xf numFmtId="0" fontId="144" fillId="14" borderId="49" applyNumberFormat="0" applyAlignment="0" applyProtection="0"/>
    <xf numFmtId="43" fontId="16" fillId="0" borderId="0" applyFont="0" applyFill="0" applyBorder="0" applyAlignment="0" applyProtection="0"/>
    <xf numFmtId="186" fontId="83" fillId="0" borderId="0" applyFont="0" applyFill="0" applyBorder="0" applyAlignment="0" applyProtection="0"/>
    <xf numFmtId="0" fontId="16" fillId="0" borderId="0"/>
    <xf numFmtId="0" fontId="198" fillId="33" borderId="49" applyNumberFormat="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185" fontId="23"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85" fillId="0" borderId="40" applyNumberFormat="0" applyFill="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0" fontId="16" fillId="0" borderId="0"/>
    <xf numFmtId="0" fontId="83" fillId="32" borderId="50" applyNumberFormat="0" applyFont="0" applyAlignment="0" applyProtection="0"/>
    <xf numFmtId="0" fontId="128" fillId="33" borderId="51" applyNumberFormat="0" applyAlignment="0" applyProtection="0"/>
    <xf numFmtId="43" fontId="16"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0" fontId="16" fillId="0" borderId="0"/>
    <xf numFmtId="0" fontId="115" fillId="32" borderId="50" applyNumberFormat="0" applyFont="0" applyAlignment="0" applyProtection="0"/>
    <xf numFmtId="0" fontId="16" fillId="0" borderId="0"/>
    <xf numFmtId="266" fontId="190" fillId="0" borderId="4">
      <alignment horizontal="left" vertical="top"/>
    </xf>
    <xf numFmtId="186" fontId="83" fillId="0" borderId="0" applyFont="0" applyFill="0" applyBorder="0" applyAlignment="0" applyProtection="0"/>
    <xf numFmtId="0" fontId="144" fillId="14" borderId="49" applyNumberFormat="0" applyAlignment="0" applyProtection="0"/>
    <xf numFmtId="186" fontId="83" fillId="0" borderId="0" applyFont="0" applyFill="0" applyBorder="0" applyAlignment="0" applyProtection="0"/>
    <xf numFmtId="0" fontId="115" fillId="32" borderId="50" applyNumberFormat="0" applyFont="0" applyAlignment="0" applyProtection="0"/>
    <xf numFmtId="9"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0" fontId="169" fillId="33" borderId="51" applyNumberFormat="0" applyAlignment="0" applyProtection="0"/>
    <xf numFmtId="185" fontId="23" fillId="0" borderId="0" applyFont="0" applyFill="0" applyBorder="0" applyAlignment="0" applyProtection="0"/>
    <xf numFmtId="185" fontId="23" fillId="0" borderId="0" applyFont="0" applyFill="0" applyBorder="0" applyAlignment="0" applyProtection="0"/>
    <xf numFmtId="0" fontId="128" fillId="33" borderId="51" applyNumberFormat="0" applyAlignment="0" applyProtection="0"/>
    <xf numFmtId="186" fontId="83" fillId="0" borderId="0" applyFont="0" applyFill="0" applyBorder="0" applyAlignment="0" applyProtection="0"/>
    <xf numFmtId="185" fontId="23" fillId="0" borderId="0" applyFont="0" applyFill="0" applyBorder="0" applyAlignment="0" applyProtection="0"/>
    <xf numFmtId="0" fontId="128" fillId="33" borderId="51" applyNumberFormat="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28" fillId="33" borderId="51" applyNumberFormat="0" applyAlignment="0" applyProtection="0"/>
    <xf numFmtId="0" fontId="16" fillId="0" borderId="0"/>
    <xf numFmtId="0" fontId="184" fillId="33" borderId="49" applyNumberFormat="0" applyAlignment="0" applyProtection="0"/>
    <xf numFmtId="0" fontId="115" fillId="32" borderId="50" applyNumberFormat="0" applyFont="0" applyAlignment="0" applyProtection="0"/>
    <xf numFmtId="9"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98" fillId="33" borderId="49" applyNumberFormat="0" applyAlignment="0" applyProtection="0"/>
    <xf numFmtId="0" fontId="16" fillId="0" borderId="0"/>
    <xf numFmtId="186" fontId="83" fillId="0" borderId="0" applyFont="0" applyFill="0" applyBorder="0" applyAlignment="0" applyProtection="0"/>
    <xf numFmtId="0" fontId="16" fillId="0" borderId="0"/>
    <xf numFmtId="186" fontId="83" fillId="0" borderId="0" applyFont="0" applyFill="0" applyBorder="0" applyAlignment="0" applyProtection="0"/>
    <xf numFmtId="0" fontId="16" fillId="0" borderId="0"/>
    <xf numFmtId="185" fontId="23" fillId="0" borderId="0" applyFont="0" applyFill="0" applyBorder="0" applyAlignment="0" applyProtection="0"/>
    <xf numFmtId="43" fontId="16" fillId="0" borderId="0" applyFont="0" applyFill="0" applyBorder="0" applyAlignment="0" applyProtection="0"/>
    <xf numFmtId="0" fontId="16" fillId="0" borderId="0"/>
    <xf numFmtId="186" fontId="83" fillId="0" borderId="0" applyFont="0" applyFill="0" applyBorder="0" applyAlignment="0" applyProtection="0"/>
    <xf numFmtId="0" fontId="115" fillId="32" borderId="50" applyNumberFormat="0" applyFont="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0" fontId="115" fillId="32" borderId="50" applyNumberFormat="0" applyFont="0" applyAlignment="0" applyProtection="0"/>
    <xf numFmtId="185" fontId="23" fillId="0" borderId="0" applyFont="0" applyFill="0" applyBorder="0" applyAlignment="0" applyProtection="0"/>
    <xf numFmtId="0" fontId="170" fillId="14" borderId="49" applyNumberFormat="0" applyAlignment="0" applyProtection="0"/>
    <xf numFmtId="43" fontId="16"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0" fontId="115" fillId="32" borderId="50" applyNumberFormat="0" applyFont="0" applyAlignment="0" applyProtection="0"/>
    <xf numFmtId="185" fontId="2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0" fontId="128" fillId="33" borderId="51" applyNumberFormat="0" applyAlignment="0" applyProtection="0"/>
    <xf numFmtId="9" fontId="16" fillId="0" borderId="0" applyFont="0" applyFill="0" applyBorder="0" applyAlignment="0" applyProtection="0"/>
    <xf numFmtId="43" fontId="16" fillId="0" borderId="0" applyFont="0" applyFill="0" applyBorder="0" applyAlignment="0" applyProtection="0"/>
    <xf numFmtId="0" fontId="169" fillId="33" borderId="51" applyNumberFormat="0" applyAlignment="0" applyProtection="0"/>
    <xf numFmtId="0" fontId="128" fillId="24" borderId="51" applyNumberFormat="0" applyAlignment="0" applyProtection="0"/>
    <xf numFmtId="186" fontId="83" fillId="0" borderId="0" applyFont="0" applyFill="0" applyBorder="0" applyAlignment="0" applyProtection="0"/>
    <xf numFmtId="186" fontId="83" fillId="0" borderId="0" applyFont="0" applyFill="0" applyBorder="0" applyAlignment="0" applyProtection="0"/>
    <xf numFmtId="0" fontId="16" fillId="0" borderId="0"/>
    <xf numFmtId="43" fontId="16" fillId="0" borderId="0" applyFont="0" applyFill="0" applyBorder="0" applyAlignment="0" applyProtection="0"/>
    <xf numFmtId="0" fontId="16" fillId="0" borderId="0"/>
    <xf numFmtId="43" fontId="16"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0" fontId="16" fillId="0" borderId="0"/>
    <xf numFmtId="185" fontId="2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9" fontId="16" fillId="0" borderId="0" applyFont="0" applyFill="0" applyBorder="0" applyAlignment="0" applyProtection="0"/>
    <xf numFmtId="0" fontId="16" fillId="0" borderId="0"/>
    <xf numFmtId="185" fontId="23"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0" fontId="16" fillId="0" borderId="0"/>
    <xf numFmtId="186" fontId="83"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0" fontId="16" fillId="0" borderId="0"/>
    <xf numFmtId="185" fontId="23" fillId="0" borderId="0" applyFont="0" applyFill="0" applyBorder="0" applyAlignment="0" applyProtection="0"/>
    <xf numFmtId="43" fontId="16" fillId="0" borderId="0" applyFont="0" applyFill="0" applyBorder="0" applyAlignment="0" applyProtection="0"/>
    <xf numFmtId="0" fontId="16" fillId="0" borderId="0"/>
    <xf numFmtId="185" fontId="23"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0" fontId="16" fillId="0" borderId="0"/>
    <xf numFmtId="186" fontId="83"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0" fontId="16" fillId="0" borderId="0"/>
    <xf numFmtId="0" fontId="16" fillId="0" borderId="0"/>
    <xf numFmtId="0" fontId="16" fillId="0" borderId="0"/>
    <xf numFmtId="185" fontId="2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0" fontId="16" fillId="0" borderId="0"/>
    <xf numFmtId="9" fontId="16"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0" fontId="16" fillId="0" borderId="0"/>
    <xf numFmtId="0" fontId="16" fillId="0" borderId="0"/>
    <xf numFmtId="0" fontId="16" fillId="0" borderId="0"/>
    <xf numFmtId="0" fontId="16" fillId="0" borderId="0"/>
    <xf numFmtId="43" fontId="16" fillId="0" borderId="0" applyFont="0" applyFill="0" applyBorder="0" applyAlignment="0" applyProtection="0"/>
    <xf numFmtId="186" fontId="83"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9"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9" fontId="16" fillId="0" borderId="0" applyFont="0" applyFill="0" applyBorder="0" applyAlignment="0" applyProtection="0"/>
    <xf numFmtId="0" fontId="16" fillId="0" borderId="0"/>
    <xf numFmtId="185" fontId="23" fillId="0" borderId="0" applyFont="0" applyFill="0" applyBorder="0" applyAlignment="0" applyProtection="0"/>
    <xf numFmtId="0" fontId="16" fillId="0" borderId="0"/>
    <xf numFmtId="185" fontId="23" fillId="0" borderId="0" applyFont="0" applyFill="0" applyBorder="0" applyAlignment="0" applyProtection="0"/>
    <xf numFmtId="9" fontId="16" fillId="0" borderId="0" applyFont="0" applyFill="0" applyBorder="0" applyAlignment="0" applyProtection="0"/>
    <xf numFmtId="0" fontId="16" fillId="0" borderId="0"/>
    <xf numFmtId="185" fontId="23"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186" fontId="8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0" fontId="16" fillId="0" borderId="0"/>
    <xf numFmtId="0" fontId="16" fillId="0" borderId="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0" fontId="16" fillId="0" borderId="0"/>
    <xf numFmtId="186" fontId="83"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0" fontId="16" fillId="0" borderId="0"/>
    <xf numFmtId="186" fontId="8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43" fontId="16" fillId="0" borderId="0" applyFont="0" applyFill="0" applyBorder="0" applyAlignment="0" applyProtection="0"/>
    <xf numFmtId="0" fontId="16" fillId="0" borderId="0"/>
    <xf numFmtId="9" fontId="16"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185" fontId="23" fillId="0" borderId="0" applyFont="0" applyFill="0" applyBorder="0" applyAlignment="0" applyProtection="0"/>
    <xf numFmtId="9" fontId="16" fillId="0" borderId="0" applyFont="0" applyFill="0" applyBorder="0" applyAlignment="0" applyProtection="0"/>
    <xf numFmtId="0" fontId="16" fillId="0" borderId="0"/>
    <xf numFmtId="186" fontId="83" fillId="0" borderId="0" applyFont="0" applyFill="0" applyBorder="0" applyAlignment="0" applyProtection="0"/>
    <xf numFmtId="43"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43" fontId="16" fillId="0" borderId="0" applyFont="0" applyFill="0" applyBorder="0" applyAlignment="0" applyProtection="0"/>
    <xf numFmtId="185" fontId="23" fillId="0" borderId="0" applyFont="0" applyFill="0" applyBorder="0" applyAlignment="0" applyProtection="0"/>
    <xf numFmtId="0" fontId="16" fillId="0" borderId="0"/>
    <xf numFmtId="9" fontId="16"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9" fontId="16" fillId="0" borderId="0" applyFont="0" applyFill="0" applyBorder="0" applyAlignment="0" applyProtection="0"/>
    <xf numFmtId="186" fontId="83" fillId="0" borderId="0" applyFont="0" applyFill="0" applyBorder="0" applyAlignment="0" applyProtection="0"/>
    <xf numFmtId="185" fontId="23" fillId="0" borderId="0" applyFont="0" applyFill="0" applyBorder="0" applyAlignment="0" applyProtection="0"/>
    <xf numFmtId="0" fontId="16" fillId="0" borderId="0"/>
    <xf numFmtId="0" fontId="16" fillId="0" borderId="0"/>
    <xf numFmtId="43" fontId="16" fillId="0" borderId="0" applyFont="0" applyFill="0" applyBorder="0" applyAlignment="0" applyProtection="0"/>
    <xf numFmtId="0" fontId="16" fillId="0" borderId="0"/>
    <xf numFmtId="0" fontId="16" fillId="0" borderId="0"/>
    <xf numFmtId="0" fontId="16" fillId="0" borderId="0"/>
    <xf numFmtId="0" fontId="128" fillId="33" borderId="60" applyNumberFormat="0" applyAlignment="0" applyProtection="0"/>
    <xf numFmtId="198" fontId="23" fillId="0" borderId="0" applyFont="0" applyFill="0" applyBorder="0" applyAlignment="0" applyProtection="0"/>
    <xf numFmtId="0" fontId="128" fillId="33" borderId="89" applyNumberFormat="0" applyAlignment="0" applyProtection="0"/>
    <xf numFmtId="0" fontId="144" fillId="14" borderId="84" applyNumberFormat="0" applyAlignment="0" applyProtection="0"/>
    <xf numFmtId="0" fontId="198" fillId="33" borderId="69" applyNumberFormat="0" applyAlignment="0" applyProtection="0"/>
    <xf numFmtId="0" fontId="128" fillId="33" borderId="89" applyNumberFormat="0" applyAlignment="0" applyProtection="0"/>
    <xf numFmtId="252" fontId="22" fillId="0" borderId="57">
      <alignment horizontal="right" vertical="center"/>
    </xf>
    <xf numFmtId="0" fontId="83" fillId="32" borderId="90" applyNumberFormat="0" applyFont="0" applyAlignment="0" applyProtection="0"/>
    <xf numFmtId="0" fontId="144" fillId="14" borderId="84" applyNumberFormat="0" applyAlignment="0" applyProtection="0"/>
    <xf numFmtId="248" fontId="130" fillId="0" borderId="71">
      <alignment horizontal="right" vertical="center"/>
    </xf>
    <xf numFmtId="0" fontId="198" fillId="33" borderId="84" applyNumberFormat="0" applyAlignment="0" applyProtection="0"/>
    <xf numFmtId="266" fontId="190" fillId="0" borderId="80">
      <alignment horizontal="left" vertical="top"/>
    </xf>
    <xf numFmtId="0" fontId="115" fillId="32" borderId="75" applyNumberFormat="0" applyFont="0" applyAlignment="0" applyProtection="0"/>
    <xf numFmtId="0" fontId="115" fillId="32" borderId="90" applyNumberFormat="0" applyFont="0" applyAlignment="0" applyProtection="0"/>
    <xf numFmtId="186" fontId="130" fillId="0" borderId="57">
      <alignment horizontal="center"/>
    </xf>
    <xf numFmtId="0" fontId="153" fillId="33" borderId="69" applyNumberFormat="0" applyAlignment="0" applyProtection="0"/>
    <xf numFmtId="0" fontId="128" fillId="33" borderId="60" applyNumberFormat="0" applyAlignment="0" applyProtection="0"/>
    <xf numFmtId="0" fontId="184" fillId="33" borderId="84" applyNumberFormat="0" applyAlignment="0" applyProtection="0"/>
    <xf numFmtId="0" fontId="144" fillId="14" borderId="69" applyNumberFormat="0" applyAlignment="0" applyProtection="0"/>
    <xf numFmtId="251" fontId="22" fillId="0" borderId="78">
      <alignment horizontal="right" vertical="center"/>
    </xf>
    <xf numFmtId="0" fontId="128" fillId="33" borderId="74" applyNumberFormat="0" applyAlignment="0" applyProtection="0"/>
    <xf numFmtId="0" fontId="83" fillId="32" borderId="90" applyNumberFormat="0" applyFont="0" applyAlignment="0" applyProtection="0"/>
    <xf numFmtId="0" fontId="83" fillId="32" borderId="83" applyNumberFormat="0" applyFont="0" applyAlignment="0" applyProtection="0"/>
    <xf numFmtId="248" fontId="130" fillId="0" borderId="86">
      <alignment horizontal="right" vertical="center"/>
    </xf>
    <xf numFmtId="0" fontId="156" fillId="0" borderId="77" applyNumberFormat="0" applyFill="0" applyAlignment="0" applyProtection="0"/>
    <xf numFmtId="0" fontId="198" fillId="33" borderId="62" applyNumberFormat="0" applyAlignment="0" applyProtection="0"/>
    <xf numFmtId="0" fontId="128" fillId="24" borderId="89" applyNumberFormat="0" applyAlignment="0" applyProtection="0"/>
    <xf numFmtId="0" fontId="128" fillId="33" borderId="74" applyNumberFormat="0" applyAlignment="0" applyProtection="0"/>
    <xf numFmtId="0" fontId="128" fillId="33" borderId="74" applyNumberFormat="0" applyAlignment="0" applyProtection="0"/>
    <xf numFmtId="0" fontId="128" fillId="33" borderId="82" applyNumberFormat="0" applyAlignment="0" applyProtection="0"/>
    <xf numFmtId="0" fontId="83" fillId="32" borderId="75" applyNumberFormat="0" applyFont="0" applyAlignment="0" applyProtection="0"/>
    <xf numFmtId="266" fontId="190" fillId="0" borderId="87">
      <alignment horizontal="left" vertical="top"/>
    </xf>
    <xf numFmtId="0" fontId="115" fillId="32" borderId="61" applyNumberFormat="0" applyFont="0" applyAlignment="0" applyProtection="0"/>
    <xf numFmtId="0" fontId="128" fillId="24" borderId="89" applyNumberFormat="0" applyAlignment="0" applyProtection="0"/>
    <xf numFmtId="0" fontId="128" fillId="33" borderId="89" applyNumberFormat="0" applyAlignment="0" applyProtection="0"/>
    <xf numFmtId="0" fontId="169" fillId="33" borderId="89" applyNumberFormat="0" applyAlignment="0" applyProtection="0"/>
    <xf numFmtId="0" fontId="198" fillId="33" borderId="69" applyNumberFormat="0" applyAlignment="0" applyProtection="0"/>
    <xf numFmtId="0" fontId="198" fillId="33" borderId="91" applyNumberFormat="0" applyAlignment="0" applyProtection="0"/>
    <xf numFmtId="251" fontId="22" fillId="0" borderId="57">
      <alignment horizontal="right" vertical="center"/>
    </xf>
    <xf numFmtId="0" fontId="198" fillId="33" borderId="76" applyNumberFormat="0" applyAlignment="0" applyProtection="0"/>
    <xf numFmtId="0" fontId="198" fillId="33" borderId="62" applyNumberFormat="0" applyAlignment="0" applyProtection="0"/>
    <xf numFmtId="9" fontId="1" fillId="0" borderId="0" applyFont="0" applyFill="0" applyBorder="0" applyAlignment="0" applyProtection="0"/>
    <xf numFmtId="0" fontId="198" fillId="33" borderId="91" applyNumberFormat="0" applyAlignment="0" applyProtection="0"/>
    <xf numFmtId="248" fontId="130" fillId="0" borderId="78">
      <alignment horizontal="right" vertical="center"/>
    </xf>
    <xf numFmtId="0" fontId="153" fillId="33" borderId="62" applyNumberFormat="0" applyAlignment="0" applyProtection="0"/>
    <xf numFmtId="0" fontId="170" fillId="14" borderId="69" applyNumberFormat="0" applyAlignment="0" applyProtection="0"/>
    <xf numFmtId="0" fontId="170" fillId="14" borderId="62" applyNumberFormat="0" applyAlignment="0" applyProtection="0"/>
    <xf numFmtId="0" fontId="169" fillId="33" borderId="67" applyNumberFormat="0" applyAlignment="0" applyProtection="0"/>
    <xf numFmtId="248" fontId="130" fillId="0" borderId="86">
      <alignment horizontal="right" vertical="center"/>
    </xf>
    <xf numFmtId="0" fontId="128" fillId="33" borderId="67" applyNumberFormat="0" applyAlignment="0" applyProtection="0"/>
    <xf numFmtId="248" fontId="130" fillId="0" borderId="57">
      <alignment horizontal="right" vertical="center"/>
    </xf>
    <xf numFmtId="0" fontId="115" fillId="32" borderId="90" applyNumberFormat="0" applyFont="0" applyAlignment="0" applyProtection="0"/>
    <xf numFmtId="186" fontId="130" fillId="0" borderId="64">
      <alignment horizontal="center"/>
    </xf>
    <xf numFmtId="0" fontId="198" fillId="33" borderId="62" applyNumberFormat="0" applyAlignment="0" applyProtection="0"/>
    <xf numFmtId="0" fontId="128" fillId="33" borderId="60" applyNumberFormat="0" applyAlignment="0" applyProtection="0"/>
    <xf numFmtId="252" fontId="22" fillId="0" borderId="64">
      <alignment horizontal="right" vertical="center"/>
    </xf>
    <xf numFmtId="0" fontId="184" fillId="33" borderId="69" applyNumberFormat="0" applyAlignment="0" applyProtection="0"/>
    <xf numFmtId="0" fontId="184" fillId="33" borderId="91" applyNumberFormat="0" applyAlignment="0" applyProtection="0"/>
    <xf numFmtId="0" fontId="198" fillId="33" borderId="84" applyNumberFormat="0" applyAlignment="0" applyProtection="0"/>
    <xf numFmtId="0" fontId="115" fillId="32" borderId="83" applyNumberFormat="0" applyFont="0" applyAlignment="0" applyProtection="0"/>
    <xf numFmtId="186" fontId="130" fillId="0" borderId="64">
      <alignment horizontal="center"/>
    </xf>
    <xf numFmtId="0" fontId="83" fillId="32" borderId="75" applyNumberFormat="0" applyFont="0" applyAlignment="0" applyProtection="0"/>
    <xf numFmtId="0" fontId="128" fillId="24" borderId="67" applyNumberFormat="0" applyAlignment="0" applyProtection="0"/>
    <xf numFmtId="0" fontId="115" fillId="32" borderId="68" applyNumberFormat="0" applyFont="0" applyAlignment="0" applyProtection="0"/>
    <xf numFmtId="0" fontId="145" fillId="33" borderId="67" applyNumberFormat="0" applyAlignment="0" applyProtection="0"/>
    <xf numFmtId="0" fontId="198" fillId="33" borderId="84" applyNumberFormat="0" applyAlignment="0" applyProtection="0"/>
    <xf numFmtId="248" fontId="130" fillId="0" borderId="71">
      <alignment horizontal="right" vertical="center"/>
    </xf>
    <xf numFmtId="248" fontId="130" fillId="0" borderId="71">
      <alignment horizontal="right" vertical="center"/>
    </xf>
    <xf numFmtId="0" fontId="169" fillId="33" borderId="60" applyNumberFormat="0" applyAlignment="0" applyProtection="0"/>
    <xf numFmtId="249" fontId="83" fillId="0" borderId="57">
      <alignment horizontal="right" vertical="center"/>
    </xf>
    <xf numFmtId="251" fontId="22" fillId="0" borderId="64">
      <alignment horizontal="right" vertical="center"/>
    </xf>
    <xf numFmtId="248" fontId="130" fillId="0" borderId="57">
      <alignment horizontal="right" vertical="center"/>
    </xf>
    <xf numFmtId="198" fontId="23" fillId="0" borderId="0" applyFont="0" applyFill="0" applyBorder="0" applyAlignment="0" applyProtection="0"/>
    <xf numFmtId="0" fontId="198" fillId="33" borderId="91" applyNumberFormat="0" applyAlignment="0" applyProtection="0"/>
    <xf numFmtId="0" fontId="198" fillId="33" borderId="84" applyNumberFormat="0" applyAlignment="0" applyProtection="0"/>
    <xf numFmtId="0" fontId="128" fillId="33" borderId="74" applyNumberFormat="0" applyAlignment="0" applyProtection="0"/>
    <xf numFmtId="0" fontId="198" fillId="33" borderId="62" applyNumberFormat="0" applyAlignment="0" applyProtection="0"/>
    <xf numFmtId="0" fontId="115" fillId="32" borderId="90" applyNumberFormat="0" applyFont="0" applyAlignment="0" applyProtection="0"/>
    <xf numFmtId="0" fontId="115" fillId="32" borderId="83" applyNumberFormat="0" applyFont="0" applyAlignment="0" applyProtection="0"/>
    <xf numFmtId="0" fontId="198" fillId="33" borderId="69" applyNumberFormat="0" applyAlignment="0" applyProtection="0"/>
    <xf numFmtId="251" fontId="22" fillId="0" borderId="57">
      <alignment horizontal="right" vertical="center"/>
    </xf>
    <xf numFmtId="0" fontId="185" fillId="0" borderId="85" applyNumberFormat="0" applyFill="0" applyAlignment="0" applyProtection="0"/>
    <xf numFmtId="282" fontId="22" fillId="0" borderId="0" applyFont="0" applyFill="0" applyBorder="0" applyAlignment="0" applyProtection="0"/>
    <xf numFmtId="0" fontId="115" fillId="32" borderId="75" applyNumberFormat="0" applyFont="0" applyAlignment="0" applyProtection="0"/>
    <xf numFmtId="0" fontId="198" fillId="33" borderId="62" applyNumberFormat="0" applyAlignment="0" applyProtection="0"/>
    <xf numFmtId="251" fontId="22" fillId="0" borderId="71">
      <alignment horizontal="right" vertical="center"/>
    </xf>
    <xf numFmtId="0" fontId="128" fillId="24" borderId="67" applyNumberFormat="0" applyAlignment="0" applyProtection="0"/>
    <xf numFmtId="0" fontId="1" fillId="0" borderId="0"/>
    <xf numFmtId="0" fontId="109" fillId="0" borderId="81">
      <alignment horizontal="left" vertical="center"/>
    </xf>
    <xf numFmtId="0" fontId="1" fillId="0" borderId="0"/>
    <xf numFmtId="248" fontId="130" fillId="0" borderId="86">
      <alignment horizontal="right" vertical="center"/>
    </xf>
    <xf numFmtId="0" fontId="115" fillId="32" borderId="61" applyNumberFormat="0" applyFont="0" applyAlignment="0" applyProtection="0"/>
    <xf numFmtId="0" fontId="128" fillId="33" borderId="89" applyNumberFormat="0" applyAlignment="0" applyProtection="0"/>
    <xf numFmtId="198" fontId="23" fillId="0" borderId="0" applyFont="0" applyFill="0" applyBorder="0" applyAlignment="0" applyProtection="0"/>
    <xf numFmtId="266" fontId="190" fillId="0" borderId="65">
      <alignment horizontal="left" vertical="top"/>
    </xf>
    <xf numFmtId="0" fontId="115" fillId="32" borderId="61" applyNumberFormat="0" applyFont="0" applyAlignment="0" applyProtection="0"/>
    <xf numFmtId="0" fontId="198" fillId="33" borderId="69" applyNumberFormat="0" applyAlignment="0" applyProtection="0"/>
    <xf numFmtId="0" fontId="128" fillId="33" borderId="60" applyNumberFormat="0" applyAlignment="0" applyProtection="0"/>
    <xf numFmtId="4" fontId="237" fillId="0" borderId="2" applyBorder="0"/>
    <xf numFmtId="283" fontId="235" fillId="0" borderId="0">
      <protection locked="0"/>
    </xf>
    <xf numFmtId="248" fontId="130" fillId="0" borderId="71">
      <alignment horizontal="right" vertical="center"/>
    </xf>
    <xf numFmtId="248" fontId="130" fillId="0" borderId="64">
      <alignment horizontal="right" vertical="center"/>
    </xf>
    <xf numFmtId="0" fontId="145" fillId="33" borderId="67" applyNumberFormat="0" applyAlignment="0" applyProtection="0"/>
    <xf numFmtId="0" fontId="115" fillId="32" borderId="68" applyNumberFormat="0" applyFont="0" applyAlignment="0" applyProtection="0"/>
    <xf numFmtId="0" fontId="198" fillId="33" borderId="76" applyNumberFormat="0" applyAlignment="0" applyProtection="0"/>
    <xf numFmtId="0" fontId="198" fillId="33" borderId="69" applyNumberFormat="0" applyAlignment="0" applyProtection="0"/>
    <xf numFmtId="0" fontId="198" fillId="33" borderId="76" applyNumberFormat="0" applyAlignment="0" applyProtection="0"/>
    <xf numFmtId="0" fontId="115" fillId="32" borderId="90" applyNumberFormat="0" applyFont="0" applyAlignment="0" applyProtection="0"/>
    <xf numFmtId="252" fontId="22" fillId="0" borderId="78">
      <alignment horizontal="right" vertical="center"/>
    </xf>
    <xf numFmtId="0" fontId="128" fillId="33" borderId="67" applyNumberFormat="0" applyAlignment="0" applyProtection="0"/>
    <xf numFmtId="0" fontId="169" fillId="33" borderId="82" applyNumberFormat="0" applyAlignment="0" applyProtection="0"/>
    <xf numFmtId="0" fontId="153" fillId="33" borderId="91" applyNumberFormat="0" applyAlignment="0" applyProtection="0"/>
    <xf numFmtId="282" fontId="22" fillId="0" borderId="0" applyFont="0" applyFill="0" applyBorder="0" applyAlignment="0" applyProtection="0"/>
    <xf numFmtId="0" fontId="198" fillId="33" borderId="69" applyNumberFormat="0" applyAlignment="0" applyProtection="0"/>
    <xf numFmtId="0" fontId="115" fillId="32" borderId="90" applyNumberFormat="0" applyFont="0" applyAlignment="0" applyProtection="0"/>
    <xf numFmtId="251" fontId="22" fillId="0" borderId="71">
      <alignment horizontal="right" vertical="center"/>
    </xf>
    <xf numFmtId="9" fontId="1" fillId="0" borderId="0" applyFont="0" applyFill="0" applyBorder="0" applyAlignment="0" applyProtection="0"/>
    <xf numFmtId="0" fontId="145" fillId="33" borderId="67" applyNumberFormat="0" applyAlignment="0" applyProtection="0"/>
    <xf numFmtId="0" fontId="115" fillId="32" borderId="61" applyNumberFormat="0" applyFont="0" applyAlignment="0" applyProtection="0"/>
    <xf numFmtId="0" fontId="169" fillId="33" borderId="60" applyNumberFormat="0" applyAlignment="0" applyProtection="0"/>
    <xf numFmtId="0" fontId="198" fillId="33" borderId="76" applyNumberFormat="0" applyAlignment="0" applyProtection="0"/>
    <xf numFmtId="0" fontId="198" fillId="33" borderId="69" applyNumberFormat="0" applyAlignment="0" applyProtection="0"/>
    <xf numFmtId="0" fontId="115" fillId="32" borderId="83" applyNumberFormat="0" applyFont="0" applyAlignment="0" applyProtection="0"/>
    <xf numFmtId="251" fontId="22" fillId="0" borderId="57">
      <alignment horizontal="right" vertical="center"/>
    </xf>
    <xf numFmtId="251" fontId="22" fillId="0" borderId="86">
      <alignment horizontal="right" vertical="center"/>
    </xf>
    <xf numFmtId="0" fontId="83" fillId="32" borderId="61" applyNumberFormat="0" applyFont="0" applyAlignment="0" applyProtection="0"/>
    <xf numFmtId="0" fontId="184" fillId="33" borderId="76" applyNumberFormat="0" applyAlignment="0" applyProtection="0"/>
    <xf numFmtId="0" fontId="198" fillId="33" borderId="91" applyNumberFormat="0" applyAlignment="0" applyProtection="0"/>
    <xf numFmtId="0" fontId="198" fillId="33" borderId="84" applyNumberFormat="0" applyAlignment="0" applyProtection="0"/>
    <xf numFmtId="0" fontId="128" fillId="33" borderId="82" applyNumberFormat="0" applyAlignment="0" applyProtection="0"/>
    <xf numFmtId="0" fontId="145" fillId="33" borderId="67" applyNumberFormat="0" applyAlignment="0" applyProtection="0"/>
    <xf numFmtId="0" fontId="185" fillId="0" borderId="63" applyNumberFormat="0" applyFill="0" applyAlignment="0" applyProtection="0"/>
    <xf numFmtId="0" fontId="115" fillId="32" borderId="75" applyNumberFormat="0" applyFont="0" applyAlignment="0" applyProtection="0"/>
    <xf numFmtId="0" fontId="169" fillId="33" borderId="74" applyNumberFormat="0" applyAlignment="0" applyProtection="0"/>
    <xf numFmtId="0" fontId="115" fillId="32" borderId="61" applyNumberFormat="0" applyFont="0" applyAlignment="0" applyProtection="0"/>
    <xf numFmtId="0" fontId="198" fillId="33" borderId="69" applyNumberFormat="0" applyAlignment="0" applyProtection="0"/>
    <xf numFmtId="266" fontId="190" fillId="0" borderId="59">
      <alignment horizontal="left" vertical="top"/>
    </xf>
    <xf numFmtId="0" fontId="184" fillId="33" borderId="69" applyNumberFormat="0" applyAlignment="0" applyProtection="0"/>
    <xf numFmtId="0" fontId="198" fillId="33" borderId="91" applyNumberFormat="0" applyAlignment="0" applyProtection="0"/>
    <xf numFmtId="0" fontId="184" fillId="33" borderId="62" applyNumberFormat="0" applyAlignment="0" applyProtection="0"/>
    <xf numFmtId="0" fontId="128" fillId="33" borderId="74" applyNumberFormat="0" applyAlignment="0" applyProtection="0"/>
    <xf numFmtId="0" fontId="184" fillId="33" borderId="84" applyNumberFormat="0" applyAlignment="0" applyProtection="0"/>
    <xf numFmtId="0" fontId="153" fillId="33" borderId="76" applyNumberFormat="0" applyAlignment="0" applyProtection="0"/>
    <xf numFmtId="251" fontId="22" fillId="0" borderId="64">
      <alignment horizontal="right" vertical="center"/>
    </xf>
    <xf numFmtId="249" fontId="83" fillId="0" borderId="57">
      <alignment horizontal="right" vertical="center"/>
    </xf>
    <xf numFmtId="266" fontId="190" fillId="0" borderId="65">
      <alignment horizontal="left" vertical="top"/>
    </xf>
    <xf numFmtId="0" fontId="144" fillId="14" borderId="62" applyNumberFormat="0" applyAlignment="0" applyProtection="0"/>
    <xf numFmtId="4" fontId="237" fillId="0" borderId="2" applyBorder="0"/>
    <xf numFmtId="0" fontId="153" fillId="33" borderId="91" applyNumberFormat="0" applyAlignment="0" applyProtection="0"/>
    <xf numFmtId="0" fontId="1" fillId="0" borderId="0"/>
    <xf numFmtId="0" fontId="198" fillId="33" borderId="62" applyNumberFormat="0" applyAlignment="0" applyProtection="0"/>
    <xf numFmtId="0" fontId="83" fillId="32" borderId="90" applyNumberFormat="0" applyFont="0" applyAlignment="0" applyProtection="0"/>
    <xf numFmtId="0" fontId="109" fillId="0" borderId="58">
      <alignment horizontal="left" vertical="center"/>
    </xf>
    <xf numFmtId="248" fontId="130" fillId="0" borderId="71">
      <alignment horizontal="right" vertical="center"/>
    </xf>
    <xf numFmtId="0" fontId="115" fillId="32" borderId="83" applyNumberFormat="0" applyFont="0" applyAlignment="0" applyProtection="0"/>
    <xf numFmtId="0" fontId="128" fillId="33" borderId="82" applyNumberFormat="0" applyAlignment="0" applyProtection="0"/>
    <xf numFmtId="0" fontId="144" fillId="14" borderId="62" applyNumberFormat="0" applyAlignment="0" applyProtection="0"/>
    <xf numFmtId="250" fontId="22" fillId="0" borderId="86">
      <alignment horizontal="right" vertical="center"/>
    </xf>
    <xf numFmtId="0" fontId="156" fillId="0" borderId="92" applyNumberFormat="0" applyFill="0" applyAlignment="0" applyProtection="0"/>
    <xf numFmtId="0" fontId="115" fillId="32" borderId="75" applyNumberFormat="0" applyFont="0" applyAlignment="0" applyProtection="0"/>
    <xf numFmtId="0" fontId="198" fillId="33" borderId="91" applyNumberFormat="0" applyAlignment="0" applyProtection="0"/>
    <xf numFmtId="0" fontId="115" fillId="32" borderId="61" applyNumberFormat="0" applyFont="0" applyAlignment="0" applyProtection="0"/>
    <xf numFmtId="251" fontId="22" fillId="0" borderId="78">
      <alignment horizontal="right" vertical="center"/>
    </xf>
    <xf numFmtId="0" fontId="109" fillId="0" borderId="73">
      <alignment horizontal="left" vertical="center"/>
    </xf>
    <xf numFmtId="0" fontId="198" fillId="33" borderId="84" applyNumberFormat="0" applyAlignment="0" applyProtection="0"/>
    <xf numFmtId="0" fontId="198" fillId="33" borderId="76" applyNumberFormat="0" applyAlignment="0" applyProtection="0"/>
    <xf numFmtId="0" fontId="153" fillId="33" borderId="76" applyNumberFormat="0" applyAlignment="0" applyProtection="0"/>
    <xf numFmtId="0" fontId="1" fillId="0" borderId="0"/>
    <xf numFmtId="0" fontId="115" fillId="32" borderId="90" applyNumberFormat="0" applyFont="0" applyAlignment="0" applyProtection="0"/>
    <xf numFmtId="0" fontId="169" fillId="33" borderId="60" applyNumberFormat="0" applyAlignment="0" applyProtection="0"/>
    <xf numFmtId="0" fontId="128" fillId="24" borderId="82" applyNumberFormat="0" applyAlignment="0" applyProtection="0"/>
    <xf numFmtId="0" fontId="115" fillId="32" borderId="90" applyNumberFormat="0" applyFont="0" applyAlignment="0" applyProtection="0"/>
    <xf numFmtId="252" fontId="22" fillId="0" borderId="64">
      <alignment horizontal="right" vertical="center"/>
    </xf>
    <xf numFmtId="0" fontId="128" fillId="24" borderId="60" applyNumberFormat="0" applyAlignment="0" applyProtection="0"/>
    <xf numFmtId="253" fontId="24" fillId="0" borderId="78">
      <alignment horizontal="right" vertical="center"/>
    </xf>
    <xf numFmtId="0" fontId="198" fillId="33" borderId="62" applyNumberFormat="0" applyAlignment="0" applyProtection="0"/>
    <xf numFmtId="0" fontId="128" fillId="33" borderId="60" applyNumberFormat="0" applyAlignment="0" applyProtection="0"/>
    <xf numFmtId="253" fontId="24" fillId="0" borderId="57">
      <alignment horizontal="right" vertical="center"/>
    </xf>
    <xf numFmtId="248" fontId="130" fillId="0" borderId="57">
      <alignment horizontal="right" vertical="center"/>
    </xf>
    <xf numFmtId="0" fontId="83" fillId="32" borderId="68" applyNumberFormat="0" applyFont="0" applyAlignment="0" applyProtection="0"/>
    <xf numFmtId="0" fontId="115" fillId="32" borderId="75" applyNumberFormat="0" applyFont="0" applyAlignment="0" applyProtection="0"/>
    <xf numFmtId="0" fontId="145" fillId="33" borderId="82" applyNumberFormat="0" applyAlignment="0" applyProtection="0"/>
    <xf numFmtId="0" fontId="144" fillId="14" borderId="84" applyNumberFormat="0" applyAlignment="0" applyProtection="0"/>
    <xf numFmtId="250" fontId="22" fillId="0" borderId="71">
      <alignment horizontal="right" vertical="center"/>
    </xf>
    <xf numFmtId="0" fontId="185" fillId="0" borderId="92" applyNumberFormat="0" applyFill="0" applyAlignment="0" applyProtection="0"/>
    <xf numFmtId="0" fontId="83" fillId="32" borderId="68" applyNumberFormat="0" applyFont="0" applyAlignment="0" applyProtection="0"/>
    <xf numFmtId="0" fontId="170" fillId="14" borderId="69" applyNumberFormat="0" applyAlignment="0" applyProtection="0"/>
    <xf numFmtId="0" fontId="153" fillId="33" borderId="69" applyNumberFormat="0" applyAlignment="0" applyProtection="0"/>
    <xf numFmtId="249" fontId="83" fillId="0" borderId="78">
      <alignment horizontal="right" vertical="center"/>
    </xf>
    <xf numFmtId="0" fontId="115" fillId="32" borderId="83" applyNumberFormat="0" applyFont="0" applyAlignment="0" applyProtection="0"/>
    <xf numFmtId="0" fontId="198" fillId="33" borderId="84" applyNumberFormat="0" applyAlignment="0" applyProtection="0"/>
    <xf numFmtId="0" fontId="153" fillId="33" borderId="84" applyNumberFormat="0" applyAlignment="0" applyProtection="0"/>
    <xf numFmtId="0" fontId="128" fillId="24" borderId="89" applyNumberFormat="0" applyAlignment="0" applyProtection="0"/>
    <xf numFmtId="186" fontId="130" fillId="0" borderId="78">
      <alignment horizontal="center"/>
    </xf>
    <xf numFmtId="0" fontId="83" fillId="32" borderId="75" applyNumberFormat="0" applyFont="0" applyAlignment="0" applyProtection="0"/>
    <xf numFmtId="0" fontId="184" fillId="33" borderId="76" applyNumberFormat="0" applyAlignment="0" applyProtection="0"/>
    <xf numFmtId="0" fontId="198" fillId="33" borderId="91" applyNumberFormat="0" applyAlignment="0" applyProtection="0"/>
    <xf numFmtId="0" fontId="170" fillId="14" borderId="62" applyNumberFormat="0" applyAlignment="0" applyProtection="0"/>
    <xf numFmtId="248" fontId="130" fillId="0" borderId="78">
      <alignment horizontal="right" vertical="center"/>
    </xf>
    <xf numFmtId="0" fontId="83" fillId="32" borderId="83" applyNumberFormat="0" applyFont="0" applyAlignment="0" applyProtection="0"/>
    <xf numFmtId="0" fontId="145" fillId="33" borderId="74" applyNumberFormat="0" applyAlignment="0" applyProtection="0"/>
    <xf numFmtId="0" fontId="198" fillId="33" borderId="69" applyNumberFormat="0" applyAlignment="0" applyProtection="0"/>
    <xf numFmtId="0" fontId="198" fillId="33" borderId="62" applyNumberFormat="0" applyAlignment="0" applyProtection="0"/>
    <xf numFmtId="0" fontId="128" fillId="33" borderId="74" applyNumberFormat="0" applyAlignment="0" applyProtection="0"/>
    <xf numFmtId="0" fontId="128" fillId="24" borderId="74" applyNumberFormat="0" applyAlignment="0" applyProtection="0"/>
    <xf numFmtId="0" fontId="128" fillId="33" borderId="74" applyNumberFormat="0" applyAlignment="0" applyProtection="0"/>
    <xf numFmtId="0" fontId="115" fillId="32" borderId="61" applyNumberFormat="0" applyFont="0" applyAlignment="0" applyProtection="0"/>
    <xf numFmtId="0" fontId="115" fillId="32" borderId="83" applyNumberFormat="0" applyFont="0" applyAlignment="0" applyProtection="0"/>
    <xf numFmtId="0" fontId="198" fillId="33" borderId="84" applyNumberFormat="0" applyAlignment="0" applyProtection="0"/>
    <xf numFmtId="0" fontId="83" fillId="32" borderId="75" applyNumberFormat="0" applyFont="0" applyAlignment="0" applyProtection="0"/>
    <xf numFmtId="0" fontId="170" fillId="14" borderId="91" applyNumberFormat="0" applyAlignment="0" applyProtection="0"/>
    <xf numFmtId="0" fontId="128" fillId="33" borderId="89" applyNumberFormat="0" applyAlignment="0" applyProtection="0"/>
    <xf numFmtId="0" fontId="83" fillId="32" borderId="68" applyNumberFormat="0" applyFont="0" applyAlignment="0" applyProtection="0"/>
    <xf numFmtId="0" fontId="128" fillId="24" borderId="67" applyNumberFormat="0" applyAlignment="0" applyProtection="0"/>
    <xf numFmtId="0" fontId="198" fillId="33" borderId="91" applyNumberFormat="0" applyAlignment="0" applyProtection="0"/>
    <xf numFmtId="0" fontId="198" fillId="33" borderId="62" applyNumberFormat="0" applyAlignment="0" applyProtection="0"/>
    <xf numFmtId="0" fontId="169" fillId="33" borderId="74" applyNumberFormat="0" applyAlignment="0" applyProtection="0"/>
    <xf numFmtId="0" fontId="145" fillId="33" borderId="60" applyNumberFormat="0" applyAlignment="0" applyProtection="0"/>
    <xf numFmtId="0" fontId="198" fillId="33" borderId="62" applyNumberFormat="0" applyAlignment="0" applyProtection="0"/>
    <xf numFmtId="250" fontId="22" fillId="0" borderId="86">
      <alignment horizontal="right" vertical="center"/>
    </xf>
    <xf numFmtId="0" fontId="83" fillId="32" borderId="68" applyNumberFormat="0" applyFont="0" applyAlignment="0" applyProtection="0"/>
    <xf numFmtId="0" fontId="83" fillId="32" borderId="90" applyNumberFormat="0" applyFont="0" applyAlignment="0" applyProtection="0"/>
    <xf numFmtId="0" fontId="144" fillId="14" borderId="91" applyNumberFormat="0" applyAlignment="0" applyProtection="0"/>
    <xf numFmtId="0" fontId="115" fillId="32" borderId="90" applyNumberFormat="0" applyFont="0" applyAlignment="0" applyProtection="0"/>
    <xf numFmtId="0" fontId="128" fillId="24" borderId="82" applyNumberFormat="0" applyAlignment="0" applyProtection="0"/>
    <xf numFmtId="0" fontId="144" fillId="14" borderId="76" applyNumberFormat="0" applyAlignment="0" applyProtection="0"/>
    <xf numFmtId="0" fontId="128" fillId="33" borderId="67" applyNumberFormat="0" applyAlignment="0" applyProtection="0"/>
    <xf numFmtId="0" fontId="170" fillId="14" borderId="76" applyNumberFormat="0" applyAlignment="0" applyProtection="0"/>
    <xf numFmtId="0" fontId="83" fillId="32" borderId="68" applyNumberFormat="0" applyFont="0" applyAlignment="0" applyProtection="0"/>
    <xf numFmtId="0" fontId="115" fillId="32" borderId="61" applyNumberFormat="0" applyFont="0" applyAlignment="0" applyProtection="0"/>
    <xf numFmtId="0" fontId="128" fillId="33" borderId="82" applyNumberFormat="0" applyAlignment="0" applyProtection="0"/>
    <xf numFmtId="0" fontId="115" fillId="32" borderId="90" applyNumberFormat="0" applyFont="0" applyAlignment="0" applyProtection="0"/>
    <xf numFmtId="0" fontId="145" fillId="33" borderId="82" applyNumberFormat="0" applyAlignment="0" applyProtection="0"/>
    <xf numFmtId="251" fontId="22" fillId="0" borderId="86">
      <alignment horizontal="right" vertical="center"/>
    </xf>
    <xf numFmtId="0" fontId="153" fillId="33" borderId="62" applyNumberFormat="0" applyAlignment="0" applyProtection="0"/>
    <xf numFmtId="0" fontId="145" fillId="33" borderId="74" applyNumberFormat="0" applyAlignment="0" applyProtection="0"/>
    <xf numFmtId="251" fontId="22" fillId="0" borderId="86">
      <alignment horizontal="right" vertical="center"/>
    </xf>
    <xf numFmtId="0" fontId="198" fillId="33" borderId="69" applyNumberFormat="0" applyAlignment="0" applyProtection="0"/>
    <xf numFmtId="248" fontId="130" fillId="0" borderId="93">
      <alignment horizontal="right" vertical="center"/>
    </xf>
    <xf numFmtId="0" fontId="198" fillId="33" borderId="69" applyNumberFormat="0" applyAlignment="0" applyProtection="0"/>
    <xf numFmtId="0" fontId="169" fillId="33" borderId="89" applyNumberFormat="0" applyAlignment="0" applyProtection="0"/>
    <xf numFmtId="0" fontId="115" fillId="32" borderId="90" applyNumberFormat="0" applyFont="0" applyAlignment="0" applyProtection="0"/>
    <xf numFmtId="248" fontId="130" fillId="0" borderId="64">
      <alignment horizontal="right" vertical="center"/>
    </xf>
    <xf numFmtId="0" fontId="115" fillId="32" borderId="75" applyNumberFormat="0" applyFont="0" applyAlignment="0" applyProtection="0"/>
    <xf numFmtId="0" fontId="128" fillId="33" borderId="82" applyNumberFormat="0" applyAlignment="0" applyProtection="0"/>
    <xf numFmtId="0" fontId="115" fillId="32" borderId="61" applyNumberFormat="0" applyFont="0" applyAlignment="0" applyProtection="0"/>
    <xf numFmtId="0" fontId="145" fillId="33" borderId="74" applyNumberFormat="0" applyAlignment="0" applyProtection="0"/>
    <xf numFmtId="0" fontId="115" fillId="32" borderId="68" applyNumberFormat="0" applyFont="0" applyAlignment="0" applyProtection="0"/>
    <xf numFmtId="0" fontId="198" fillId="33" borderId="76" applyNumberFormat="0" applyAlignment="0" applyProtection="0"/>
    <xf numFmtId="0" fontId="184" fillId="33" borderId="91" applyNumberFormat="0" applyAlignment="0" applyProtection="0"/>
    <xf numFmtId="250" fontId="22" fillId="0" borderId="78">
      <alignment horizontal="right" vertical="center"/>
    </xf>
    <xf numFmtId="250" fontId="22" fillId="0" borderId="71">
      <alignment horizontal="right" vertical="center"/>
    </xf>
    <xf numFmtId="0" fontId="115" fillId="32" borderId="75" applyNumberFormat="0" applyFont="0" applyAlignment="0" applyProtection="0"/>
    <xf numFmtId="0" fontId="83" fillId="32" borderId="61" applyNumberFormat="0" applyFont="0" applyAlignment="0" applyProtection="0"/>
    <xf numFmtId="249" fontId="83" fillId="0" borderId="86">
      <alignment horizontal="right" vertical="center"/>
    </xf>
    <xf numFmtId="0" fontId="184" fillId="33" borderId="69" applyNumberFormat="0" applyAlignment="0" applyProtection="0"/>
    <xf numFmtId="0" fontId="115" fillId="32" borderId="83" applyNumberFormat="0" applyFont="0" applyAlignment="0" applyProtection="0"/>
    <xf numFmtId="186" fontId="130" fillId="0" borderId="93">
      <alignment horizontal="center"/>
    </xf>
    <xf numFmtId="0" fontId="153" fillId="33" borderId="84" applyNumberFormat="0" applyAlignment="0" applyProtection="0"/>
    <xf numFmtId="0" fontId="198" fillId="33" borderId="76" applyNumberFormat="0" applyAlignment="0" applyProtection="0"/>
    <xf numFmtId="253" fontId="24" fillId="0" borderId="71">
      <alignment horizontal="right" vertical="center"/>
    </xf>
    <xf numFmtId="0" fontId="83" fillId="32" borderId="75" applyNumberFormat="0" applyFont="0" applyAlignment="0" applyProtection="0"/>
    <xf numFmtId="0" fontId="83" fillId="32" borderId="68" applyNumberFormat="0" applyFont="0" applyAlignment="0" applyProtection="0"/>
    <xf numFmtId="0" fontId="185" fillId="0" borderId="77" applyNumberFormat="0" applyFill="0" applyAlignment="0" applyProtection="0"/>
    <xf numFmtId="0" fontId="115" fillId="32" borderId="90" applyNumberFormat="0" applyFont="0" applyAlignment="0" applyProtection="0"/>
    <xf numFmtId="252" fontId="22" fillId="0" borderId="86">
      <alignment horizontal="right" vertical="center"/>
    </xf>
    <xf numFmtId="0" fontId="83" fillId="32" borderId="75" applyNumberFormat="0" applyFont="0" applyAlignment="0" applyProtection="0"/>
    <xf numFmtId="0" fontId="115" fillId="32" borderId="75" applyNumberFormat="0" applyFont="0" applyAlignment="0" applyProtection="0"/>
    <xf numFmtId="0" fontId="198" fillId="33" borderId="69" applyNumberFormat="0" applyAlignment="0" applyProtection="0"/>
    <xf numFmtId="0" fontId="184" fillId="33" borderId="62" applyNumberFormat="0" applyAlignment="0" applyProtection="0"/>
    <xf numFmtId="0" fontId="115" fillId="32" borderId="61" applyNumberFormat="0" applyFont="0" applyAlignment="0" applyProtection="0"/>
    <xf numFmtId="251" fontId="22" fillId="0" borderId="71">
      <alignment horizontal="right" vertical="center"/>
    </xf>
    <xf numFmtId="0" fontId="128" fillId="33" borderId="82" applyNumberFormat="0" applyAlignment="0" applyProtection="0"/>
    <xf numFmtId="0" fontId="115" fillId="32" borderId="90" applyNumberFormat="0" applyFont="0" applyAlignment="0" applyProtection="0"/>
    <xf numFmtId="0" fontId="128" fillId="24" borderId="74" applyNumberFormat="0" applyAlignment="0" applyProtection="0"/>
    <xf numFmtId="0" fontId="170" fillId="14" borderId="62" applyNumberFormat="0" applyAlignment="0" applyProtection="0"/>
    <xf numFmtId="0" fontId="128" fillId="33" borderId="89" applyNumberFormat="0" applyAlignment="0" applyProtection="0"/>
    <xf numFmtId="0" fontId="115" fillId="32" borderId="83" applyNumberFormat="0" applyFont="0" applyAlignment="0" applyProtection="0"/>
    <xf numFmtId="0" fontId="198" fillId="33" borderId="76" applyNumberFormat="0" applyAlignment="0" applyProtection="0"/>
    <xf numFmtId="0" fontId="128" fillId="33" borderId="67" applyNumberFormat="0" applyAlignment="0" applyProtection="0"/>
    <xf numFmtId="0" fontId="115" fillId="32" borderId="68" applyNumberFormat="0" applyFont="0" applyAlignment="0" applyProtection="0"/>
    <xf numFmtId="0" fontId="115" fillId="32" borderId="90" applyNumberFormat="0" applyFont="0" applyAlignment="0" applyProtection="0"/>
    <xf numFmtId="0" fontId="198" fillId="33" borderId="91" applyNumberFormat="0" applyAlignment="0" applyProtection="0"/>
    <xf numFmtId="0" fontId="144" fillId="14" borderId="91" applyNumberFormat="0" applyAlignment="0" applyProtection="0"/>
    <xf numFmtId="0" fontId="184" fillId="33" borderId="62" applyNumberFormat="0" applyAlignment="0" applyProtection="0"/>
    <xf numFmtId="253" fontId="24" fillId="0" borderId="86">
      <alignment horizontal="right" vertical="center"/>
    </xf>
    <xf numFmtId="0" fontId="185" fillId="0" borderId="70" applyNumberFormat="0" applyFill="0" applyAlignment="0" applyProtection="0"/>
    <xf numFmtId="0" fontId="115" fillId="32" borderId="61" applyNumberFormat="0" applyFont="0" applyAlignment="0" applyProtection="0"/>
    <xf numFmtId="252" fontId="22" fillId="0" borderId="57">
      <alignment horizontal="right" vertical="center"/>
    </xf>
    <xf numFmtId="0" fontId="144" fillId="14" borderId="91" applyNumberFormat="0" applyAlignment="0" applyProtection="0"/>
    <xf numFmtId="0" fontId="115" fillId="32" borderId="75" applyNumberFormat="0" applyFont="0" applyAlignment="0" applyProtection="0"/>
    <xf numFmtId="186" fontId="130" fillId="0" borderId="86">
      <alignment horizontal="center"/>
    </xf>
    <xf numFmtId="0" fontId="83" fillId="32" borderId="61" applyNumberFormat="0" applyFont="0" applyAlignment="0" applyProtection="0"/>
    <xf numFmtId="0" fontId="170" fillId="14" borderId="76" applyNumberFormat="0" applyAlignment="0" applyProtection="0"/>
    <xf numFmtId="0" fontId="83" fillId="32" borderId="90" applyNumberFormat="0" applyFont="0" applyAlignment="0" applyProtection="0"/>
    <xf numFmtId="0" fontId="115" fillId="32" borderId="83" applyNumberFormat="0" applyFont="0" applyAlignment="0" applyProtection="0"/>
    <xf numFmtId="250" fontId="22" fillId="0" borderId="57">
      <alignment horizontal="right" vertical="center"/>
    </xf>
    <xf numFmtId="0" fontId="198" fillId="33" borderId="76" applyNumberFormat="0" applyAlignment="0" applyProtection="0"/>
    <xf numFmtId="0" fontId="170" fillId="14" borderId="84" applyNumberFormat="0" applyAlignment="0" applyProtection="0"/>
    <xf numFmtId="250" fontId="22" fillId="0" borderId="86">
      <alignment horizontal="right" vertical="center"/>
    </xf>
    <xf numFmtId="0" fontId="153" fillId="33" borderId="76" applyNumberFormat="0" applyAlignment="0" applyProtection="0"/>
    <xf numFmtId="0" fontId="128" fillId="33" borderId="82" applyNumberFormat="0" applyAlignment="0" applyProtection="0"/>
    <xf numFmtId="0" fontId="145" fillId="33" borderId="89" applyNumberFormat="0" applyAlignment="0" applyProtection="0"/>
    <xf numFmtId="0" fontId="128" fillId="33" borderId="60" applyNumberFormat="0" applyAlignment="0" applyProtection="0"/>
    <xf numFmtId="0" fontId="83" fillId="32" borderId="90" applyNumberFormat="0" applyFont="0" applyAlignment="0" applyProtection="0"/>
    <xf numFmtId="248" fontId="130" fillId="0" borderId="86">
      <alignment horizontal="right" vertical="center"/>
    </xf>
    <xf numFmtId="0" fontId="144" fillId="14" borderId="91" applyNumberFormat="0" applyAlignment="0" applyProtection="0"/>
    <xf numFmtId="0" fontId="128" fillId="33" borderId="89" applyNumberFormat="0" applyAlignment="0" applyProtection="0"/>
    <xf numFmtId="0" fontId="156" fillId="0" borderId="63" applyNumberFormat="0" applyFill="0" applyAlignment="0" applyProtection="0"/>
    <xf numFmtId="0" fontId="115" fillId="32" borderId="83" applyNumberFormat="0" applyFont="0" applyAlignment="0" applyProtection="0"/>
    <xf numFmtId="0" fontId="198" fillId="33" borderId="76" applyNumberFormat="0" applyAlignment="0" applyProtection="0"/>
    <xf numFmtId="248" fontId="130" fillId="0" borderId="78">
      <alignment horizontal="right" vertical="center"/>
    </xf>
    <xf numFmtId="0" fontId="115" fillId="32" borderId="68" applyNumberFormat="0" applyFont="0" applyAlignment="0" applyProtection="0"/>
    <xf numFmtId="0" fontId="156" fillId="0" borderId="77" applyNumberFormat="0" applyFill="0" applyAlignment="0" applyProtection="0"/>
    <xf numFmtId="0" fontId="128" fillId="33" borderId="60" applyNumberFormat="0" applyAlignment="0" applyProtection="0"/>
    <xf numFmtId="0" fontId="198" fillId="33" borderId="84" applyNumberFormat="0" applyAlignment="0" applyProtection="0"/>
    <xf numFmtId="248" fontId="130" fillId="0" borderId="71">
      <alignment horizontal="right" vertical="center"/>
    </xf>
    <xf numFmtId="0" fontId="185" fillId="0" borderId="77" applyNumberFormat="0" applyFill="0" applyAlignment="0" applyProtection="0"/>
    <xf numFmtId="0" fontId="115" fillId="32" borderId="68" applyNumberFormat="0" applyFont="0" applyAlignment="0" applyProtection="0"/>
    <xf numFmtId="0" fontId="170" fillId="14" borderId="91" applyNumberFormat="0" applyAlignment="0" applyProtection="0"/>
    <xf numFmtId="0" fontId="198" fillId="33" borderId="62" applyNumberFormat="0" applyAlignment="0" applyProtection="0"/>
    <xf numFmtId="0" fontId="144" fillId="14" borderId="69" applyNumberFormat="0" applyAlignment="0" applyProtection="0"/>
    <xf numFmtId="0" fontId="169" fillId="33" borderId="67" applyNumberFormat="0" applyAlignment="0" applyProtection="0"/>
    <xf numFmtId="0" fontId="83" fillId="32" borderId="75" applyNumberFormat="0" applyFont="0" applyAlignment="0" applyProtection="0"/>
    <xf numFmtId="0" fontId="128" fillId="33" borderId="67" applyNumberFormat="0" applyAlignment="0" applyProtection="0"/>
    <xf numFmtId="0" fontId="115" fillId="32" borderId="61" applyNumberFormat="0" applyFont="0" applyAlignment="0" applyProtection="0"/>
    <xf numFmtId="0" fontId="198" fillId="33" borderId="91" applyNumberFormat="0" applyAlignment="0" applyProtection="0"/>
    <xf numFmtId="250" fontId="22" fillId="0" borderId="57">
      <alignment horizontal="right" vertical="center"/>
    </xf>
    <xf numFmtId="251" fontId="22" fillId="0" borderId="78">
      <alignment horizontal="right" vertical="center"/>
    </xf>
    <xf numFmtId="0" fontId="145" fillId="33" borderId="82" applyNumberFormat="0" applyAlignment="0" applyProtection="0"/>
    <xf numFmtId="0" fontId="184" fillId="33" borderId="91" applyNumberFormat="0" applyAlignment="0" applyProtection="0"/>
    <xf numFmtId="248" fontId="130" fillId="0" borderId="93">
      <alignment horizontal="right" vertical="center"/>
    </xf>
    <xf numFmtId="0" fontId="115" fillId="32" borderId="68" applyNumberFormat="0" applyFont="0" applyAlignment="0" applyProtection="0"/>
    <xf numFmtId="266" fontId="190" fillId="0" borderId="87">
      <alignment horizontal="left" vertical="top"/>
    </xf>
    <xf numFmtId="0" fontId="184" fillId="33" borderId="76" applyNumberFormat="0" applyAlignment="0" applyProtection="0"/>
    <xf numFmtId="0" fontId="128" fillId="24" borderId="74" applyNumberFormat="0" applyAlignment="0" applyProtection="0"/>
    <xf numFmtId="0" fontId="198" fillId="33" borderId="69" applyNumberFormat="0" applyAlignment="0" applyProtection="0"/>
    <xf numFmtId="0" fontId="115" fillId="32" borderId="68" applyNumberFormat="0" applyFont="0" applyAlignment="0" applyProtection="0"/>
    <xf numFmtId="0" fontId="115" fillId="32" borderId="61" applyNumberFormat="0" applyFont="0" applyAlignment="0" applyProtection="0"/>
    <xf numFmtId="266" fontId="190" fillId="0" borderId="80">
      <alignment horizontal="left" vertical="top"/>
    </xf>
    <xf numFmtId="0" fontId="115" fillId="32" borderId="90" applyNumberFormat="0" applyFont="0" applyAlignment="0" applyProtection="0"/>
    <xf numFmtId="0" fontId="115" fillId="32" borderId="90" applyNumberFormat="0" applyFont="0" applyAlignment="0" applyProtection="0"/>
    <xf numFmtId="0" fontId="198" fillId="33" borderId="76" applyNumberFormat="0" applyAlignment="0" applyProtection="0"/>
    <xf numFmtId="0" fontId="128" fillId="33" borderId="82" applyNumberFormat="0" applyAlignment="0" applyProtection="0"/>
    <xf numFmtId="0" fontId="128" fillId="33" borderId="89" applyNumberFormat="0" applyAlignment="0" applyProtection="0"/>
    <xf numFmtId="0" fontId="198" fillId="33" borderId="91" applyNumberFormat="0" applyAlignment="0" applyProtection="0"/>
    <xf numFmtId="0" fontId="153" fillId="33" borderId="69" applyNumberFormat="0" applyAlignment="0" applyProtection="0"/>
    <xf numFmtId="248" fontId="130" fillId="0" borderId="71">
      <alignment horizontal="right" vertical="center"/>
    </xf>
    <xf numFmtId="0" fontId="83" fillId="32" borderId="83" applyNumberFormat="0" applyFont="0" applyAlignment="0" applyProtection="0"/>
    <xf numFmtId="0" fontId="145" fillId="33" borderId="89" applyNumberFormat="0" applyAlignment="0" applyProtection="0"/>
    <xf numFmtId="0" fontId="128" fillId="33" borderId="60" applyNumberFormat="0" applyAlignment="0" applyProtection="0"/>
    <xf numFmtId="0" fontId="128" fillId="33" borderId="67" applyNumberFormat="0" applyAlignment="0" applyProtection="0"/>
    <xf numFmtId="0" fontId="115" fillId="32" borderId="90" applyNumberFormat="0" applyFont="0" applyAlignment="0" applyProtection="0"/>
    <xf numFmtId="0" fontId="198" fillId="33" borderId="91" applyNumberFormat="0" applyAlignment="0" applyProtection="0"/>
    <xf numFmtId="250" fontId="22" fillId="0" borderId="64">
      <alignment horizontal="right" vertical="center"/>
    </xf>
    <xf numFmtId="0" fontId="169" fillId="33" borderId="67" applyNumberFormat="0" applyAlignment="0" applyProtection="0"/>
    <xf numFmtId="0" fontId="83" fillId="32" borderId="75" applyNumberFormat="0" applyFont="0" applyAlignment="0" applyProtection="0"/>
    <xf numFmtId="0" fontId="115" fillId="32" borderId="75" applyNumberFormat="0" applyFont="0" applyAlignment="0" applyProtection="0"/>
    <xf numFmtId="0" fontId="115" fillId="32" borderId="90" applyNumberFormat="0" applyFont="0" applyAlignment="0" applyProtection="0"/>
    <xf numFmtId="0" fontId="128" fillId="33" borderId="82" applyNumberFormat="0" applyAlignment="0" applyProtection="0"/>
    <xf numFmtId="0" fontId="145" fillId="33" borderId="89" applyNumberFormat="0" applyAlignment="0" applyProtection="0"/>
    <xf numFmtId="0" fontId="115" fillId="32" borderId="90" applyNumberFormat="0" applyFont="0" applyAlignment="0" applyProtection="0"/>
    <xf numFmtId="0" fontId="115" fillId="32" borderId="75" applyNumberFormat="0" applyFont="0" applyAlignment="0" applyProtection="0"/>
    <xf numFmtId="0" fontId="184" fillId="33" borderId="76" applyNumberFormat="0" applyAlignment="0" applyProtection="0"/>
    <xf numFmtId="0" fontId="115" fillId="32" borderId="75" applyNumberFormat="0" applyFont="0" applyAlignment="0" applyProtection="0"/>
    <xf numFmtId="252" fontId="22" fillId="0" borderId="78">
      <alignment horizontal="right" vertical="center"/>
    </xf>
    <xf numFmtId="0" fontId="115" fillId="32" borderId="75" applyNumberFormat="0" applyFont="0" applyAlignment="0" applyProtection="0"/>
    <xf numFmtId="0" fontId="128" fillId="33" borderId="74" applyNumberFormat="0" applyAlignment="0" applyProtection="0"/>
    <xf numFmtId="266" fontId="190" fillId="0" borderId="72">
      <alignment horizontal="left" vertical="top"/>
    </xf>
    <xf numFmtId="0" fontId="170" fillId="14" borderId="84" applyNumberFormat="0" applyAlignment="0" applyProtection="0"/>
    <xf numFmtId="0" fontId="169" fillId="33" borderId="89" applyNumberFormat="0" applyAlignment="0" applyProtection="0"/>
    <xf numFmtId="0" fontId="198" fillId="33" borderId="84" applyNumberFormat="0" applyAlignment="0" applyProtection="0"/>
    <xf numFmtId="0" fontId="128" fillId="33" borderId="82" applyNumberFormat="0" applyAlignment="0" applyProtection="0"/>
    <xf numFmtId="0" fontId="115" fillId="32" borderId="83" applyNumberFormat="0" applyFont="0" applyAlignment="0" applyProtection="0"/>
    <xf numFmtId="0" fontId="109" fillId="0" borderId="88">
      <alignment horizontal="left" vertical="center"/>
    </xf>
  </cellStyleXfs>
  <cellXfs count="953">
    <xf numFmtId="0" fontId="0" fillId="0" borderId="0" xfId="0"/>
    <xf numFmtId="0" fontId="21" fillId="0" borderId="0" xfId="4" applyFont="1"/>
    <xf numFmtId="0" fontId="21" fillId="0" borderId="0" xfId="5" applyFont="1"/>
    <xf numFmtId="0" fontId="20" fillId="0" borderId="0" xfId="6" applyFont="1" applyAlignment="1">
      <alignment vertical="center"/>
    </xf>
    <xf numFmtId="0" fontId="21" fillId="0" borderId="0" xfId="8" applyFont="1" applyAlignment="1">
      <alignment horizontal="center"/>
    </xf>
    <xf numFmtId="0" fontId="21" fillId="0" borderId="0" xfId="8" applyFont="1"/>
    <xf numFmtId="0" fontId="21" fillId="2" borderId="0" xfId="6" applyFont="1" applyFill="1" applyAlignment="1">
      <alignment vertical="center"/>
    </xf>
    <xf numFmtId="4" fontId="21" fillId="0" borderId="0" xfId="8" applyNumberFormat="1" applyFont="1" applyAlignment="1">
      <alignment horizontal="center"/>
    </xf>
    <xf numFmtId="0" fontId="21" fillId="0" borderId="0" xfId="8" applyFont="1" applyAlignment="1">
      <alignment horizontal="left"/>
    </xf>
    <xf numFmtId="0" fontId="21" fillId="0" borderId="0" xfId="8" applyFont="1" applyAlignment="1">
      <alignment wrapText="1"/>
    </xf>
    <xf numFmtId="0" fontId="20" fillId="0" borderId="0" xfId="8" applyFont="1" applyAlignment="1">
      <alignment horizontal="center"/>
    </xf>
    <xf numFmtId="176" fontId="26" fillId="0" borderId="0" xfId="8" applyNumberFormat="1" applyFont="1" applyAlignment="1">
      <alignment horizontal="center" wrapText="1"/>
    </xf>
    <xf numFmtId="0" fontId="21" fillId="0" borderId="0" xfId="8" applyFont="1" applyAlignment="1">
      <alignment horizontal="center" vertical="center"/>
    </xf>
    <xf numFmtId="0" fontId="43" fillId="0" borderId="2" xfId="8" applyFont="1" applyBorder="1" applyAlignment="1">
      <alignment horizontal="center" vertical="center" wrapText="1"/>
    </xf>
    <xf numFmtId="0" fontId="19" fillId="0" borderId="0" xfId="4" applyFont="1" applyAlignment="1">
      <alignment vertical="center"/>
    </xf>
    <xf numFmtId="0" fontId="30" fillId="0" borderId="2" xfId="23" applyFont="1" applyBorder="1" applyAlignment="1">
      <alignment vertical="center" wrapText="1"/>
    </xf>
    <xf numFmtId="0" fontId="30" fillId="0" borderId="2" xfId="23" applyFont="1" applyBorder="1" applyAlignment="1">
      <alignment horizontal="center" vertical="center" wrapText="1"/>
    </xf>
    <xf numFmtId="0" fontId="39" fillId="0" borderId="2" xfId="22" applyFont="1" applyBorder="1" applyAlignment="1">
      <alignment horizontal="center" vertical="center"/>
    </xf>
    <xf numFmtId="0" fontId="21" fillId="0" borderId="0" xfId="6" applyFont="1" applyAlignment="1">
      <alignment vertical="center"/>
    </xf>
    <xf numFmtId="0" fontId="21" fillId="0" borderId="0" xfId="8" applyFont="1" applyAlignment="1">
      <alignment horizontal="left" wrapText="1"/>
    </xf>
    <xf numFmtId="180" fontId="30" fillId="0" borderId="2" xfId="29" applyNumberFormat="1" applyFont="1" applyBorder="1" applyAlignment="1">
      <alignment horizontal="center" vertical="center" wrapText="1"/>
    </xf>
    <xf numFmtId="43" fontId="18" fillId="0" borderId="1" xfId="33" applyFont="1" applyFill="1" applyBorder="1" applyAlignment="1">
      <alignment horizontal="center" vertical="center"/>
    </xf>
    <xf numFmtId="3" fontId="48" fillId="0" borderId="0" xfId="30" applyNumberFormat="1" applyFont="1" applyAlignment="1">
      <alignment horizontal="left" vertical="center"/>
    </xf>
    <xf numFmtId="3" fontId="48" fillId="0" borderId="0" xfId="30" applyNumberFormat="1" applyFont="1" applyAlignment="1">
      <alignment horizontal="left" vertical="center" wrapText="1"/>
    </xf>
    <xf numFmtId="43" fontId="48" fillId="0" borderId="0" xfId="33" applyFont="1" applyFill="1" applyBorder="1" applyAlignment="1" applyProtection="1">
      <alignment horizontal="left" vertical="center" wrapText="1"/>
    </xf>
    <xf numFmtId="43" fontId="48" fillId="0" borderId="3" xfId="33" applyFont="1" applyFill="1" applyBorder="1" applyAlignment="1">
      <alignment horizontal="center" vertical="center" wrapText="1"/>
    </xf>
    <xf numFmtId="0" fontId="48" fillId="0" borderId="1" xfId="30" quotePrefix="1" applyFont="1" applyBorder="1" applyAlignment="1">
      <alignment horizontal="center" vertical="center"/>
    </xf>
    <xf numFmtId="43" fontId="48" fillId="0" borderId="1" xfId="33" applyFont="1" applyFill="1" applyBorder="1" applyAlignment="1">
      <alignment vertical="center"/>
    </xf>
    <xf numFmtId="0" fontId="30" fillId="0" borderId="1" xfId="30" applyFont="1" applyBorder="1" applyAlignment="1">
      <alignment horizontal="center" vertical="center"/>
    </xf>
    <xf numFmtId="0" fontId="21" fillId="0" borderId="1" xfId="30" applyFont="1" applyBorder="1" applyAlignment="1">
      <alignment horizontal="center" vertical="center"/>
    </xf>
    <xf numFmtId="0" fontId="47" fillId="0" borderId="0" xfId="30" applyFont="1" applyAlignment="1">
      <alignment vertical="center"/>
    </xf>
    <xf numFmtId="0" fontId="44" fillId="0" borderId="0" xfId="30" applyFont="1"/>
    <xf numFmtId="0" fontId="44" fillId="0" borderId="0" xfId="30" applyFont="1" applyAlignment="1">
      <alignment horizontal="center" wrapText="1"/>
    </xf>
    <xf numFmtId="43" fontId="44" fillId="0" borderId="0" xfId="33" applyFont="1" applyFill="1"/>
    <xf numFmtId="0" fontId="44" fillId="0" borderId="0" xfId="30" applyFont="1" applyAlignment="1">
      <alignment vertical="center"/>
    </xf>
    <xf numFmtId="0" fontId="49" fillId="0" borderId="0" xfId="30"/>
    <xf numFmtId="3" fontId="48" fillId="0" borderId="0" xfId="30" applyNumberFormat="1" applyFont="1" applyAlignment="1" applyProtection="1">
      <alignment vertical="center"/>
      <protection locked="0"/>
    </xf>
    <xf numFmtId="175" fontId="48" fillId="0" borderId="0" xfId="33" applyNumberFormat="1" applyFont="1" applyFill="1" applyAlignment="1" applyProtection="1">
      <alignment horizontal="center" vertical="center"/>
    </xf>
    <xf numFmtId="43" fontId="48" fillId="0" borderId="0" xfId="33" applyFont="1" applyFill="1" applyAlignment="1" applyProtection="1">
      <alignment horizontal="center" vertical="center"/>
    </xf>
    <xf numFmtId="43" fontId="21" fillId="0" borderId="1" xfId="33" applyFont="1" applyFill="1" applyBorder="1" applyAlignment="1">
      <alignment horizontal="center" vertical="center"/>
    </xf>
    <xf numFmtId="43" fontId="20" fillId="0" borderId="1" xfId="33" applyFont="1" applyFill="1" applyBorder="1" applyAlignment="1">
      <alignment horizontal="center" vertical="center"/>
    </xf>
    <xf numFmtId="0" fontId="34" fillId="0" borderId="1" xfId="30" applyFont="1" applyBorder="1" applyAlignment="1">
      <alignment horizontal="center" vertical="center"/>
    </xf>
    <xf numFmtId="43" fontId="30" fillId="0" borderId="0" xfId="33" applyFont="1" applyFill="1" applyAlignment="1">
      <alignment vertical="center"/>
    </xf>
    <xf numFmtId="43" fontId="34" fillId="0" borderId="0" xfId="33" applyFont="1" applyFill="1" applyAlignment="1">
      <alignment vertical="center"/>
    </xf>
    <xf numFmtId="43" fontId="48" fillId="0" borderId="1" xfId="33" applyFont="1" applyFill="1" applyBorder="1" applyAlignment="1">
      <alignment horizontal="center" vertical="center"/>
    </xf>
    <xf numFmtId="43" fontId="18" fillId="0" borderId="0" xfId="33" applyFont="1" applyFill="1" applyBorder="1" applyAlignment="1">
      <alignment horizontal="center" vertical="center"/>
    </xf>
    <xf numFmtId="0" fontId="20" fillId="4" borderId="0" xfId="6" applyFont="1" applyFill="1" applyAlignment="1">
      <alignment horizontal="center" vertical="center"/>
    </xf>
    <xf numFmtId="0" fontId="20" fillId="4" borderId="0" xfId="6" applyFont="1" applyFill="1" applyAlignment="1">
      <alignment vertical="center"/>
    </xf>
    <xf numFmtId="0" fontId="43" fillId="0" borderId="0" xfId="0" applyFont="1" applyAlignment="1">
      <alignment horizontal="left" vertical="center"/>
    </xf>
    <xf numFmtId="2" fontId="19" fillId="4" borderId="1" xfId="6" applyNumberFormat="1" applyFont="1" applyFill="1" applyBorder="1" applyAlignment="1">
      <alignment horizontal="center" vertical="center"/>
    </xf>
    <xf numFmtId="178" fontId="19" fillId="4" borderId="1" xfId="19" applyNumberFormat="1" applyFont="1" applyFill="1" applyBorder="1" applyAlignment="1">
      <alignment horizontal="center" vertical="center" wrapText="1"/>
    </xf>
    <xf numFmtId="2" fontId="19" fillId="4" borderId="1" xfId="19" applyNumberFormat="1" applyFont="1" applyFill="1" applyBorder="1" applyAlignment="1">
      <alignment horizontal="center" vertical="center" wrapText="1"/>
    </xf>
    <xf numFmtId="0" fontId="46" fillId="0" borderId="0" xfId="0" applyFont="1" applyAlignment="1">
      <alignment horizontal="left" vertical="center"/>
    </xf>
    <xf numFmtId="2" fontId="19" fillId="0" borderId="0" xfId="0" applyNumberFormat="1" applyFont="1" applyAlignment="1">
      <alignment horizontal="center" vertical="center"/>
    </xf>
    <xf numFmtId="0" fontId="19" fillId="6" borderId="2" xfId="8" applyFont="1" applyFill="1" applyBorder="1" applyAlignment="1">
      <alignment horizontal="center" vertical="center" wrapText="1"/>
    </xf>
    <xf numFmtId="0" fontId="19" fillId="6" borderId="2" xfId="23" applyFont="1" applyFill="1" applyBorder="1" applyAlignment="1">
      <alignment horizontal="left" vertical="center" wrapText="1"/>
    </xf>
    <xf numFmtId="2" fontId="19" fillId="6" borderId="2" xfId="8" applyNumberFormat="1" applyFont="1" applyFill="1" applyBorder="1" applyAlignment="1">
      <alignment horizontal="center" vertical="center"/>
    </xf>
    <xf numFmtId="0" fontId="19" fillId="6" borderId="2" xfId="8" applyFont="1" applyFill="1" applyBorder="1" applyAlignment="1">
      <alignment horizontal="center" vertical="center"/>
    </xf>
    <xf numFmtId="2" fontId="19" fillId="6" borderId="2" xfId="0" applyNumberFormat="1" applyFont="1" applyFill="1" applyBorder="1" applyAlignment="1">
      <alignment horizontal="center" vertical="center"/>
    </xf>
    <xf numFmtId="0" fontId="19" fillId="6" borderId="0" xfId="0" applyFont="1" applyFill="1" applyAlignment="1">
      <alignment horizontal="left" vertical="center"/>
    </xf>
    <xf numFmtId="0" fontId="34" fillId="6" borderId="2" xfId="23" applyFont="1" applyFill="1" applyBorder="1" applyAlignment="1">
      <alignment horizontal="center" vertical="center" wrapText="1"/>
    </xf>
    <xf numFmtId="0" fontId="34" fillId="6" borderId="2" xfId="23" applyFont="1" applyFill="1" applyBorder="1" applyAlignment="1">
      <alignment vertical="center" wrapText="1"/>
    </xf>
    <xf numFmtId="0" fontId="45" fillId="6" borderId="2" xfId="22" applyFont="1" applyFill="1" applyBorder="1" applyAlignment="1">
      <alignment horizontal="center" vertical="center"/>
    </xf>
    <xf numFmtId="0" fontId="20" fillId="6" borderId="0" xfId="8" applyFont="1" applyFill="1" applyAlignment="1">
      <alignment horizontal="left"/>
    </xf>
    <xf numFmtId="0" fontId="20" fillId="6" borderId="0" xfId="8" applyFont="1" applyFill="1" applyAlignment="1">
      <alignment horizontal="center"/>
    </xf>
    <xf numFmtId="0" fontId="20" fillId="6" borderId="0" xfId="8" applyFont="1" applyFill="1"/>
    <xf numFmtId="0" fontId="20" fillId="6" borderId="0" xfId="6" applyFont="1" applyFill="1" applyAlignment="1">
      <alignment vertical="center"/>
    </xf>
    <xf numFmtId="43" fontId="58" fillId="0" borderId="0" xfId="31" applyNumberFormat="1" applyFont="1" applyAlignment="1">
      <alignment horizontal="center" vertical="center"/>
    </xf>
    <xf numFmtId="0" fontId="30" fillId="0" borderId="0" xfId="30" applyFont="1" applyAlignment="1">
      <alignment horizontal="center" vertical="center"/>
    </xf>
    <xf numFmtId="0" fontId="30" fillId="0" borderId="0" xfId="30" applyFont="1" applyAlignment="1">
      <alignment vertical="center"/>
    </xf>
    <xf numFmtId="0" fontId="30" fillId="0" borderId="0" xfId="30" applyFont="1" applyAlignment="1">
      <alignment vertical="center" wrapText="1"/>
    </xf>
    <xf numFmtId="43" fontId="30" fillId="0" borderId="0" xfId="33" applyFont="1" applyFill="1" applyBorder="1" applyAlignment="1">
      <alignment vertical="center"/>
    </xf>
    <xf numFmtId="43" fontId="34" fillId="0" borderId="0" xfId="33" applyFont="1" applyFill="1" applyBorder="1" applyAlignment="1">
      <alignment vertical="center"/>
    </xf>
    <xf numFmtId="43" fontId="34" fillId="0" borderId="1" xfId="33" applyFont="1" applyFill="1" applyBorder="1" applyAlignment="1">
      <alignment vertical="center" wrapText="1"/>
    </xf>
    <xf numFmtId="0" fontId="18" fillId="0" borderId="1" xfId="30" applyFont="1" applyBorder="1" applyAlignment="1">
      <alignment horizontal="center" vertical="center"/>
    </xf>
    <xf numFmtId="43" fontId="20" fillId="0" borderId="0" xfId="19" applyFont="1" applyFill="1" applyAlignment="1">
      <alignment horizontal="center"/>
    </xf>
    <xf numFmtId="183" fontId="59" fillId="0" borderId="13" xfId="47" applyNumberFormat="1" applyFont="1" applyBorder="1"/>
    <xf numFmtId="183" fontId="24" fillId="0" borderId="14" xfId="47" applyNumberFormat="1" applyBorder="1"/>
    <xf numFmtId="183" fontId="59" fillId="0" borderId="14" xfId="47" applyNumberFormat="1" applyFont="1" applyBorder="1"/>
    <xf numFmtId="183" fontId="24" fillId="0" borderId="15" xfId="47" applyNumberFormat="1" applyBorder="1"/>
    <xf numFmtId="183" fontId="24" fillId="0" borderId="0" xfId="47" applyNumberFormat="1"/>
    <xf numFmtId="0" fontId="55" fillId="0" borderId="0" xfId="18" applyFont="1" applyAlignment="1">
      <alignment vertical="center"/>
    </xf>
    <xf numFmtId="0" fontId="52" fillId="0" borderId="0" xfId="18" applyFont="1" applyAlignment="1">
      <alignment vertical="center"/>
    </xf>
    <xf numFmtId="0" fontId="60" fillId="0" borderId="16" xfId="18" applyFont="1" applyBorder="1" applyAlignment="1">
      <alignment vertical="center"/>
    </xf>
    <xf numFmtId="0" fontId="60" fillId="0" borderId="0" xfId="18" applyFont="1" applyAlignment="1">
      <alignment vertical="center"/>
    </xf>
    <xf numFmtId="183" fontId="50" fillId="0" borderId="16" xfId="47" applyNumberFormat="1" applyFont="1" applyBorder="1" applyAlignment="1">
      <alignment horizontal="center"/>
    </xf>
    <xf numFmtId="183" fontId="50" fillId="0" borderId="0" xfId="47" applyNumberFormat="1" applyFont="1" applyAlignment="1">
      <alignment horizontal="center"/>
    </xf>
    <xf numFmtId="183" fontId="50" fillId="0" borderId="17" xfId="47" applyNumberFormat="1" applyFont="1" applyBorder="1" applyAlignment="1">
      <alignment horizontal="center"/>
    </xf>
    <xf numFmtId="183" fontId="64" fillId="0" borderId="0" xfId="47" applyNumberFormat="1" applyFont="1"/>
    <xf numFmtId="183" fontId="65" fillId="0" borderId="0" xfId="47" applyNumberFormat="1" applyFont="1"/>
    <xf numFmtId="183" fontId="18" fillId="0" borderId="16" xfId="47" applyNumberFormat="1" applyFont="1" applyBorder="1"/>
    <xf numFmtId="183" fontId="18" fillId="0" borderId="0" xfId="47" applyNumberFormat="1" applyFont="1"/>
    <xf numFmtId="183" fontId="66" fillId="0" borderId="0" xfId="47" applyNumberFormat="1" applyFont="1"/>
    <xf numFmtId="183" fontId="18" fillId="0" borderId="17" xfId="47" applyNumberFormat="1" applyFont="1" applyBorder="1"/>
    <xf numFmtId="183" fontId="19" fillId="0" borderId="16" xfId="47" applyNumberFormat="1" applyFont="1" applyBorder="1" applyAlignment="1">
      <alignment vertical="center" wrapText="1"/>
    </xf>
    <xf numFmtId="183" fontId="19" fillId="0" borderId="0" xfId="47" applyNumberFormat="1" applyFont="1" applyAlignment="1">
      <alignment vertical="center"/>
    </xf>
    <xf numFmtId="183" fontId="19" fillId="0" borderId="0" xfId="47" applyNumberFormat="1" applyFont="1" applyAlignment="1">
      <alignment vertical="center" wrapText="1"/>
    </xf>
    <xf numFmtId="183" fontId="19" fillId="0" borderId="17" xfId="47" applyNumberFormat="1" applyFont="1" applyBorder="1" applyAlignment="1">
      <alignment vertical="center" wrapText="1"/>
    </xf>
    <xf numFmtId="183" fontId="68" fillId="0" borderId="0" xfId="47" applyNumberFormat="1" applyFont="1"/>
    <xf numFmtId="183" fontId="19" fillId="0" borderId="16" xfId="47" applyNumberFormat="1" applyFont="1" applyBorder="1" applyAlignment="1">
      <alignment wrapText="1"/>
    </xf>
    <xf numFmtId="183" fontId="19" fillId="0" borderId="0" xfId="47" applyNumberFormat="1" applyFont="1"/>
    <xf numFmtId="183" fontId="19" fillId="0" borderId="0" xfId="47" applyNumberFormat="1" applyFont="1" applyAlignment="1">
      <alignment wrapText="1"/>
    </xf>
    <xf numFmtId="183" fontId="19" fillId="0" borderId="17" xfId="47" applyNumberFormat="1" applyFont="1" applyBorder="1" applyAlignment="1">
      <alignment wrapText="1"/>
    </xf>
    <xf numFmtId="183" fontId="24" fillId="0" borderId="18" xfId="47" applyNumberFormat="1" applyBorder="1"/>
    <xf numFmtId="183" fontId="24" fillId="0" borderId="19" xfId="47" applyNumberFormat="1" applyBorder="1"/>
    <xf numFmtId="183" fontId="24" fillId="0" borderId="20" xfId="47" applyNumberFormat="1" applyBorder="1"/>
    <xf numFmtId="43" fontId="54" fillId="0" borderId="0" xfId="33" applyFont="1" applyFill="1"/>
    <xf numFmtId="43" fontId="20" fillId="4" borderId="1" xfId="19" applyFont="1" applyFill="1" applyBorder="1" applyAlignment="1">
      <alignment horizontal="center" vertical="center" wrapText="1"/>
    </xf>
    <xf numFmtId="0" fontId="19" fillId="0" borderId="2" xfId="8" applyFont="1" applyBorder="1" applyAlignment="1">
      <alignment horizontal="center" vertical="center" wrapText="1"/>
    </xf>
    <xf numFmtId="0" fontId="57" fillId="0" borderId="0" xfId="0" applyFont="1" applyAlignment="1">
      <alignment horizontal="left" vertical="center"/>
    </xf>
    <xf numFmtId="0" fontId="19" fillId="0" borderId="0" xfId="0" applyFont="1" applyAlignment="1">
      <alignment horizontal="left" vertical="center"/>
    </xf>
    <xf numFmtId="0" fontId="20" fillId="3" borderId="4" xfId="6" applyFont="1" applyFill="1" applyBorder="1" applyAlignment="1">
      <alignment horizontal="center" vertical="center"/>
    </xf>
    <xf numFmtId="0" fontId="20" fillId="3" borderId="4" xfId="6" applyFont="1" applyFill="1" applyBorder="1" applyAlignment="1">
      <alignment horizontal="left" vertical="center" wrapText="1"/>
    </xf>
    <xf numFmtId="4" fontId="20" fillId="3" borderId="4" xfId="6" applyNumberFormat="1" applyFont="1" applyFill="1" applyBorder="1" applyAlignment="1">
      <alignment horizontal="center" vertical="center"/>
    </xf>
    <xf numFmtId="43" fontId="20" fillId="3" borderId="4" xfId="19" applyFont="1" applyFill="1" applyBorder="1" applyAlignment="1">
      <alignment horizontal="center" vertical="center" wrapText="1"/>
    </xf>
    <xf numFmtId="175" fontId="34" fillId="3" borderId="4" xfId="19" applyNumberFormat="1" applyFont="1" applyFill="1" applyBorder="1" applyAlignment="1">
      <alignment horizontal="center" vertical="center"/>
    </xf>
    <xf numFmtId="0" fontId="34" fillId="3" borderId="4" xfId="0" applyFont="1" applyFill="1" applyBorder="1" applyAlignment="1">
      <alignment horizontal="center" vertical="center" wrapText="1"/>
    </xf>
    <xf numFmtId="4" fontId="20" fillId="3" borderId="4" xfId="6" applyNumberFormat="1" applyFont="1" applyFill="1" applyBorder="1" applyAlignment="1">
      <alignment horizontal="center" vertical="center" wrapText="1"/>
    </xf>
    <xf numFmtId="0" fontId="20" fillId="3" borderId="0" xfId="6" applyFont="1" applyFill="1" applyAlignment="1">
      <alignment vertical="center"/>
    </xf>
    <xf numFmtId="2" fontId="43" fillId="0" borderId="2" xfId="0" applyNumberFormat="1" applyFont="1" applyBorder="1" applyAlignment="1">
      <alignment horizontal="center" vertical="center"/>
    </xf>
    <xf numFmtId="0" fontId="70" fillId="0" borderId="2" xfId="8" applyFont="1" applyBorder="1" applyAlignment="1">
      <alignment horizontal="center" vertical="center" wrapText="1"/>
    </xf>
    <xf numFmtId="0" fontId="71" fillId="0" borderId="2" xfId="8" applyFont="1" applyBorder="1" applyAlignment="1">
      <alignment horizontal="center" vertical="center" wrapText="1"/>
    </xf>
    <xf numFmtId="175" fontId="34" fillId="4" borderId="1" xfId="19" applyNumberFormat="1" applyFont="1" applyFill="1" applyBorder="1" applyAlignment="1">
      <alignment horizontal="center" vertical="center"/>
    </xf>
    <xf numFmtId="2" fontId="57" fillId="0" borderId="2" xfId="0" applyNumberFormat="1" applyFont="1" applyBorder="1" applyAlignment="1">
      <alignment horizontal="center" vertical="center"/>
    </xf>
    <xf numFmtId="0" fontId="72" fillId="0" borderId="0" xfId="4" applyFont="1" applyAlignment="1">
      <alignment horizontal="left"/>
    </xf>
    <xf numFmtId="0" fontId="72" fillId="0" borderId="0" xfId="4" applyFont="1" applyAlignment="1">
      <alignment horizontal="center"/>
    </xf>
    <xf numFmtId="0" fontId="72" fillId="0" borderId="0" xfId="4" applyFont="1"/>
    <xf numFmtId="0" fontId="43" fillId="0" borderId="0" xfId="4" applyFont="1" applyAlignment="1">
      <alignment horizontal="left"/>
    </xf>
    <xf numFmtId="0" fontId="43" fillId="0" borderId="0" xfId="4" applyFont="1" applyAlignment="1">
      <alignment horizontal="center"/>
    </xf>
    <xf numFmtId="0" fontId="43" fillId="0" borderId="0" xfId="4" applyFont="1"/>
    <xf numFmtId="0" fontId="43" fillId="0" borderId="0" xfId="5" applyFont="1" applyAlignment="1">
      <alignment horizontal="left"/>
    </xf>
    <xf numFmtId="0" fontId="43" fillId="0" borderId="0" xfId="5" applyFont="1" applyAlignment="1">
      <alignment horizontal="center"/>
    </xf>
    <xf numFmtId="0" fontId="43" fillId="0" borderId="0" xfId="5" applyFont="1"/>
    <xf numFmtId="0" fontId="43" fillId="0" borderId="0" xfId="0" applyFont="1" applyAlignment="1">
      <alignment vertical="center"/>
    </xf>
    <xf numFmtId="0" fontId="20" fillId="6" borderId="2" xfId="6" applyFont="1" applyFill="1" applyBorder="1" applyAlignment="1">
      <alignment horizontal="center" vertical="center"/>
    </xf>
    <xf numFmtId="0" fontId="20" fillId="6" borderId="2" xfId="6" applyFont="1" applyFill="1" applyBorder="1" applyAlignment="1">
      <alignment horizontal="left" vertical="center" wrapText="1"/>
    </xf>
    <xf numFmtId="4" fontId="20" fillId="6" borderId="2" xfId="6" applyNumberFormat="1" applyFont="1" applyFill="1" applyBorder="1" applyAlignment="1">
      <alignment horizontal="center" vertical="center"/>
    </xf>
    <xf numFmtId="43" fontId="20" fillId="6" borderId="2" xfId="19" applyFont="1" applyFill="1" applyBorder="1" applyAlignment="1">
      <alignment horizontal="center" vertical="center" wrapText="1"/>
    </xf>
    <xf numFmtId="175" fontId="34" fillId="6" borderId="2" xfId="19" applyNumberFormat="1" applyFont="1" applyFill="1" applyBorder="1" applyAlignment="1">
      <alignment horizontal="center" vertical="center"/>
    </xf>
    <xf numFmtId="0" fontId="34" fillId="6" borderId="2" xfId="0" applyFont="1" applyFill="1" applyBorder="1" applyAlignment="1">
      <alignment horizontal="center" vertical="center" wrapText="1"/>
    </xf>
    <xf numFmtId="4" fontId="20" fillId="6" borderId="2" xfId="6" applyNumberFormat="1" applyFont="1" applyFill="1" applyBorder="1" applyAlignment="1">
      <alignment horizontal="center" vertical="center" wrapText="1"/>
    </xf>
    <xf numFmtId="0" fontId="21" fillId="0" borderId="2" xfId="6" applyFont="1" applyBorder="1" applyAlignment="1">
      <alignment horizontal="center" vertical="center"/>
    </xf>
    <xf numFmtId="0" fontId="21" fillId="0" borderId="2" xfId="6" applyFont="1" applyBorder="1" applyAlignment="1">
      <alignment horizontal="left" vertical="center" wrapText="1"/>
    </xf>
    <xf numFmtId="4" fontId="21" fillId="0" borderId="2" xfId="6" applyNumberFormat="1" applyFont="1" applyBorder="1" applyAlignment="1">
      <alignment horizontal="center" vertical="center"/>
    </xf>
    <xf numFmtId="43" fontId="21" fillId="0" borderId="2" xfId="19" applyFont="1" applyFill="1" applyBorder="1" applyAlignment="1">
      <alignment horizontal="center" vertical="center" wrapText="1"/>
    </xf>
    <xf numFmtId="175" fontId="30" fillId="0" borderId="2" xfId="19" applyNumberFormat="1" applyFont="1" applyFill="1" applyBorder="1" applyAlignment="1">
      <alignment horizontal="center" vertical="center"/>
    </xf>
    <xf numFmtId="0" fontId="30" fillId="0" borderId="2" xfId="0" applyFont="1" applyBorder="1" applyAlignment="1">
      <alignment horizontal="center" vertical="center" wrapText="1"/>
    </xf>
    <xf numFmtId="4" fontId="21" fillId="0" borderId="2" xfId="6" applyNumberFormat="1" applyFont="1" applyBorder="1" applyAlignment="1">
      <alignment horizontal="center" vertical="center" wrapText="1"/>
    </xf>
    <xf numFmtId="175" fontId="30" fillId="6" borderId="2" xfId="19" applyNumberFormat="1" applyFont="1" applyFill="1" applyBorder="1" applyAlignment="1">
      <alignment horizontal="center" vertical="center"/>
    </xf>
    <xf numFmtId="0" fontId="20" fillId="0" borderId="2" xfId="6" applyFont="1" applyBorder="1" applyAlignment="1">
      <alignment horizontal="center" vertical="center"/>
    </xf>
    <xf numFmtId="0" fontId="20" fillId="0" borderId="2" xfId="6" applyFont="1" applyBorder="1" applyAlignment="1">
      <alignment horizontal="left" vertical="center" wrapText="1"/>
    </xf>
    <xf numFmtId="4" fontId="20" fillId="0" borderId="2" xfId="6" applyNumberFormat="1" applyFont="1" applyBorder="1" applyAlignment="1">
      <alignment horizontal="center" vertical="center"/>
    </xf>
    <xf numFmtId="43" fontId="20" fillId="0" borderId="2" xfId="19" applyFont="1" applyFill="1" applyBorder="1" applyAlignment="1">
      <alignment horizontal="center" vertical="center" wrapText="1"/>
    </xf>
    <xf numFmtId="175" fontId="34" fillId="0" borderId="2" xfId="19" applyNumberFormat="1" applyFont="1" applyFill="1" applyBorder="1" applyAlignment="1">
      <alignment horizontal="center" vertical="center"/>
    </xf>
    <xf numFmtId="0" fontId="34" fillId="0" borderId="2" xfId="0" applyFont="1" applyBorder="1" applyAlignment="1">
      <alignment horizontal="center" vertical="center" wrapText="1"/>
    </xf>
    <xf numFmtId="4" fontId="20" fillId="0" borderId="2" xfId="6" applyNumberFormat="1" applyFont="1" applyBorder="1" applyAlignment="1">
      <alignment horizontal="center" vertical="center" wrapText="1"/>
    </xf>
    <xf numFmtId="0" fontId="20" fillId="3" borderId="2" xfId="6" applyFont="1" applyFill="1" applyBorder="1" applyAlignment="1">
      <alignment horizontal="center" vertical="center"/>
    </xf>
    <xf numFmtId="0" fontId="20" fillId="2" borderId="1" xfId="0" applyFont="1" applyFill="1" applyBorder="1" applyAlignment="1">
      <alignment horizontal="center" vertical="center" wrapText="1"/>
    </xf>
    <xf numFmtId="0" fontId="0" fillId="3" borderId="0" xfId="0" applyFill="1"/>
    <xf numFmtId="0" fontId="74" fillId="0" borderId="2" xfId="50" applyFill="1" applyBorder="1" applyAlignment="1">
      <alignment horizontal="center" vertical="center" wrapText="1"/>
    </xf>
    <xf numFmtId="0" fontId="20" fillId="3" borderId="2" xfId="0" applyFont="1" applyFill="1" applyBorder="1" applyAlignment="1">
      <alignment horizontal="center" vertical="center"/>
    </xf>
    <xf numFmtId="0" fontId="20" fillId="3" borderId="2" xfId="0" applyFont="1" applyFill="1" applyBorder="1" applyAlignment="1">
      <alignment horizontal="left" vertical="center"/>
    </xf>
    <xf numFmtId="0" fontId="0" fillId="3" borderId="22" xfId="0" applyFill="1" applyBorder="1"/>
    <xf numFmtId="0" fontId="0" fillId="3" borderId="22" xfId="0" applyFill="1" applyBorder="1" applyAlignment="1">
      <alignment horizontal="center"/>
    </xf>
    <xf numFmtId="0" fontId="21" fillId="3" borderId="22" xfId="0" applyFont="1" applyFill="1" applyBorder="1" applyAlignment="1">
      <alignment horizontal="center" vertical="center" wrapText="1"/>
    </xf>
    <xf numFmtId="0" fontId="0" fillId="3" borderId="2" xfId="0" applyFill="1" applyBorder="1"/>
    <xf numFmtId="0" fontId="0" fillId="3" borderId="2" xfId="0" applyFill="1" applyBorder="1" applyAlignment="1">
      <alignment horizontal="center"/>
    </xf>
    <xf numFmtId="0" fontId="21" fillId="3" borderId="2" xfId="0" applyFont="1" applyFill="1" applyBorder="1" applyAlignment="1">
      <alignment horizontal="center" vertical="center" wrapText="1"/>
    </xf>
    <xf numFmtId="0" fontId="21" fillId="0" borderId="2" xfId="0" applyFont="1" applyBorder="1" applyAlignment="1">
      <alignment horizontal="center" vertical="center"/>
    </xf>
    <xf numFmtId="0" fontId="73" fillId="0" borderId="2" xfId="0" applyFont="1" applyBorder="1" applyAlignment="1">
      <alignment vertical="center" wrapText="1"/>
    </xf>
    <xf numFmtId="3" fontId="73" fillId="0" borderId="2" xfId="0" applyNumberFormat="1" applyFont="1" applyBorder="1" applyAlignment="1">
      <alignment horizontal="right" vertical="center" wrapText="1"/>
    </xf>
    <xf numFmtId="0" fontId="21" fillId="0" borderId="2" xfId="0" quotePrefix="1" applyFont="1" applyBorder="1" applyAlignment="1">
      <alignment horizontal="center" vertical="center"/>
    </xf>
    <xf numFmtId="3" fontId="73" fillId="0" borderId="2" xfId="0" applyNumberFormat="1" applyFont="1" applyBorder="1" applyAlignment="1">
      <alignment vertical="center" wrapText="1"/>
    </xf>
    <xf numFmtId="0" fontId="73" fillId="0" borderId="2" xfId="0" applyFont="1" applyBorder="1" applyAlignment="1">
      <alignment horizontal="center" vertical="center" wrapText="1"/>
    </xf>
    <xf numFmtId="0" fontId="75" fillId="0" borderId="2" xfId="50" applyFont="1" applyFill="1" applyBorder="1" applyAlignment="1">
      <alignment vertical="center" wrapText="1"/>
    </xf>
    <xf numFmtId="0" fontId="75" fillId="0" borderId="2" xfId="50" applyFont="1" applyFill="1" applyBorder="1" applyAlignment="1">
      <alignment horizontal="center" vertical="center" wrapText="1"/>
    </xf>
    <xf numFmtId="0" fontId="76" fillId="0" borderId="2" xfId="0" applyFont="1" applyBorder="1" applyAlignment="1">
      <alignment vertical="center" wrapText="1"/>
    </xf>
    <xf numFmtId="3" fontId="76" fillId="0" borderId="2" xfId="0" applyNumberFormat="1" applyFont="1" applyBorder="1" applyAlignment="1">
      <alignment horizontal="right" vertical="center" wrapText="1"/>
    </xf>
    <xf numFmtId="0" fontId="74" fillId="0" borderId="2" xfId="50" applyFill="1" applyBorder="1" applyAlignment="1">
      <alignment vertical="center" wrapText="1"/>
    </xf>
    <xf numFmtId="0" fontId="28" fillId="0" borderId="2" xfId="0" quotePrefix="1" applyFont="1" applyBorder="1" applyAlignment="1">
      <alignment vertical="center" wrapText="1"/>
    </xf>
    <xf numFmtId="0" fontId="20" fillId="3" borderId="1" xfId="0" applyFont="1" applyFill="1" applyBorder="1" applyAlignment="1">
      <alignment horizontal="center" vertical="center"/>
    </xf>
    <xf numFmtId="0" fontId="20" fillId="3" borderId="1" xfId="0" applyFont="1" applyFill="1" applyBorder="1" applyAlignment="1">
      <alignment horizontal="left" vertical="center"/>
    </xf>
    <xf numFmtId="178" fontId="20" fillId="3" borderId="1" xfId="19" applyNumberFormat="1" applyFont="1" applyFill="1" applyBorder="1" applyAlignment="1">
      <alignment horizontal="center" vertical="center"/>
    </xf>
    <xf numFmtId="175" fontId="20" fillId="3" borderId="1" xfId="19" applyNumberFormat="1" applyFont="1" applyFill="1" applyBorder="1" applyAlignment="1">
      <alignment horizontal="center" vertical="center"/>
    </xf>
    <xf numFmtId="14" fontId="21" fillId="3" borderId="1" xfId="0" quotePrefix="1" applyNumberFormat="1" applyFont="1" applyFill="1" applyBorder="1" applyAlignment="1">
      <alignment horizontal="center" vertical="center" wrapText="1"/>
    </xf>
    <xf numFmtId="0" fontId="20" fillId="2" borderId="0" xfId="0" applyFont="1" applyFill="1" applyAlignment="1">
      <alignment vertical="center"/>
    </xf>
    <xf numFmtId="14" fontId="20" fillId="3" borderId="1" xfId="0" applyNumberFormat="1" applyFont="1" applyFill="1" applyBorder="1" applyAlignment="1">
      <alignment horizontal="center" vertical="center" wrapText="1"/>
    </xf>
    <xf numFmtId="0" fontId="20" fillId="0" borderId="0" xfId="0" applyFont="1"/>
    <xf numFmtId="0" fontId="20" fillId="3" borderId="0" xfId="0" applyFont="1" applyFill="1"/>
    <xf numFmtId="184" fontId="0" fillId="0" borderId="0" xfId="0" applyNumberFormat="1"/>
    <xf numFmtId="0" fontId="0" fillId="0" borderId="0" xfId="0" applyAlignment="1">
      <alignment horizontal="center"/>
    </xf>
    <xf numFmtId="0" fontId="21" fillId="0" borderId="0" xfId="0" applyFont="1" applyAlignment="1">
      <alignment horizontal="center"/>
    </xf>
    <xf numFmtId="3" fontId="73" fillId="0" borderId="0" xfId="0" applyNumberFormat="1" applyFont="1" applyAlignment="1">
      <alignment horizontal="right" vertical="center" wrapText="1"/>
    </xf>
    <xf numFmtId="0" fontId="44" fillId="0" borderId="2" xfId="0" applyFont="1" applyBorder="1" applyAlignment="1">
      <alignment horizontal="center" vertical="center"/>
    </xf>
    <xf numFmtId="0" fontId="20" fillId="0" borderId="2" xfId="0" applyFont="1" applyBorder="1" applyAlignment="1">
      <alignment horizontal="center" vertical="center"/>
    </xf>
    <xf numFmtId="0" fontId="77" fillId="0" borderId="2" xfId="0" applyFont="1" applyBorder="1" applyAlignment="1">
      <alignment vertical="center" wrapText="1"/>
    </xf>
    <xf numFmtId="0" fontId="20" fillId="0" borderId="2" xfId="0" quotePrefix="1" applyFont="1" applyBorder="1" applyAlignment="1">
      <alignment horizontal="center" vertical="center"/>
    </xf>
    <xf numFmtId="0" fontId="78" fillId="0" borderId="2" xfId="50" applyFont="1" applyFill="1" applyBorder="1" applyAlignment="1">
      <alignment vertical="center" wrapText="1"/>
    </xf>
    <xf numFmtId="0" fontId="79" fillId="0" borderId="0" xfId="0" applyFont="1"/>
    <xf numFmtId="0" fontId="21" fillId="0" borderId="24" xfId="0" quotePrefix="1" applyFont="1" applyBorder="1" applyAlignment="1">
      <alignment horizontal="center" vertical="center"/>
    </xf>
    <xf numFmtId="4" fontId="21" fillId="0" borderId="2" xfId="19" applyNumberFormat="1" applyFont="1" applyFill="1" applyBorder="1" applyAlignment="1">
      <alignment horizontal="center" vertical="center"/>
    </xf>
    <xf numFmtId="3" fontId="0" fillId="3" borderId="2" xfId="0" applyNumberFormat="1" applyFill="1" applyBorder="1"/>
    <xf numFmtId="3" fontId="0" fillId="3" borderId="22" xfId="0" applyNumberFormat="1" applyFill="1" applyBorder="1"/>
    <xf numFmtId="4" fontId="0" fillId="3" borderId="2" xfId="0" applyNumberFormat="1" applyFill="1" applyBorder="1" applyAlignment="1">
      <alignment horizontal="center"/>
    </xf>
    <xf numFmtId="4" fontId="0" fillId="3" borderId="22" xfId="0" applyNumberFormat="1" applyFill="1" applyBorder="1" applyAlignment="1">
      <alignment horizontal="center"/>
    </xf>
    <xf numFmtId="4" fontId="77" fillId="0" borderId="2" xfId="19" applyNumberFormat="1" applyFont="1" applyFill="1" applyBorder="1" applyAlignment="1">
      <alignment horizontal="center" vertical="center" wrapText="1"/>
    </xf>
    <xf numFmtId="4" fontId="73" fillId="0" borderId="2" xfId="19" applyNumberFormat="1" applyFont="1" applyFill="1" applyBorder="1" applyAlignment="1">
      <alignment horizontal="center" vertical="center" wrapText="1"/>
    </xf>
    <xf numFmtId="4" fontId="76" fillId="0" borderId="2" xfId="19" applyNumberFormat="1" applyFont="1" applyFill="1" applyBorder="1" applyAlignment="1">
      <alignment horizontal="center" vertical="center" wrapText="1"/>
    </xf>
    <xf numFmtId="4" fontId="73" fillId="0" borderId="2" xfId="0" applyNumberFormat="1" applyFont="1" applyBorder="1" applyAlignment="1">
      <alignment horizontal="center" vertical="center" wrapText="1"/>
    </xf>
    <xf numFmtId="3" fontId="77" fillId="0" borderId="2" xfId="0" applyNumberFormat="1" applyFont="1" applyBorder="1" applyAlignment="1">
      <alignment horizontal="right" vertical="center" wrapText="1"/>
    </xf>
    <xf numFmtId="3" fontId="73" fillId="0" borderId="2" xfId="19" applyNumberFormat="1" applyFont="1" applyFill="1" applyBorder="1" applyAlignment="1">
      <alignment horizontal="right" vertical="center" wrapText="1"/>
    </xf>
    <xf numFmtId="4" fontId="34" fillId="6" borderId="2" xfId="23" applyNumberFormat="1" applyFont="1" applyFill="1" applyBorder="1" applyAlignment="1">
      <alignment horizontal="center" vertical="center" wrapText="1"/>
    </xf>
    <xf numFmtId="4" fontId="30" fillId="0" borderId="2" xfId="23" applyNumberFormat="1" applyFont="1" applyBorder="1" applyAlignment="1">
      <alignment horizontal="center" vertical="center" wrapText="1"/>
    </xf>
    <xf numFmtId="4" fontId="21" fillId="0" borderId="0" xfId="8" applyNumberFormat="1" applyFont="1" applyAlignment="1">
      <alignment horizontal="center" vertical="center"/>
    </xf>
    <xf numFmtId="43" fontId="34" fillId="6" borderId="2" xfId="19" applyFont="1" applyFill="1" applyBorder="1" applyAlignment="1">
      <alignment horizontal="center" vertical="center" wrapText="1"/>
    </xf>
    <xf numFmtId="43" fontId="30" fillId="0" borderId="2" xfId="19" applyFont="1" applyBorder="1" applyAlignment="1">
      <alignment horizontal="center" vertical="center" wrapText="1"/>
    </xf>
    <xf numFmtId="43" fontId="30" fillId="0" borderId="2" xfId="19" applyFont="1" applyFill="1" applyBorder="1" applyAlignment="1">
      <alignment horizontal="center" vertical="center" wrapText="1"/>
    </xf>
    <xf numFmtId="43" fontId="21" fillId="0" borderId="0" xfId="19" applyFont="1" applyFill="1" applyAlignment="1">
      <alignment horizontal="center"/>
    </xf>
    <xf numFmtId="180" fontId="30" fillId="0" borderId="2" xfId="29" applyNumberFormat="1" applyFont="1" applyFill="1" applyBorder="1" applyAlignment="1">
      <alignment horizontal="center" vertical="center" wrapText="1"/>
    </xf>
    <xf numFmtId="0" fontId="21" fillId="0" borderId="25" xfId="0" quotePrefix="1" applyFont="1" applyBorder="1" applyAlignment="1">
      <alignment horizontal="center" vertical="center"/>
    </xf>
    <xf numFmtId="0" fontId="21" fillId="0" borderId="23" xfId="0" quotePrefix="1" applyFont="1" applyBorder="1" applyAlignment="1">
      <alignment horizontal="center" vertical="center"/>
    </xf>
    <xf numFmtId="0" fontId="70" fillId="0" borderId="2" xfId="23" applyFont="1" applyBorder="1" applyAlignment="1">
      <alignment horizontal="left" vertical="center" wrapText="1"/>
    </xf>
    <xf numFmtId="0" fontId="19" fillId="0" borderId="23" xfId="0" quotePrefix="1" applyFont="1" applyBorder="1" applyAlignment="1">
      <alignment horizontal="left" vertical="center" wrapText="1"/>
    </xf>
    <xf numFmtId="0" fontId="74" fillId="0" borderId="24" xfId="50" applyFill="1" applyBorder="1" applyAlignment="1">
      <alignment vertical="center" wrapText="1"/>
    </xf>
    <xf numFmtId="0" fontId="21" fillId="0" borderId="2" xfId="0" applyFont="1" applyBorder="1" applyAlignment="1">
      <alignment horizontal="center" vertical="center" wrapText="1"/>
    </xf>
    <xf numFmtId="0" fontId="21" fillId="0" borderId="22" xfId="0" quotePrefix="1" applyFont="1" applyBorder="1" applyAlignment="1">
      <alignment horizontal="center" vertical="center"/>
    </xf>
    <xf numFmtId="0" fontId="21" fillId="0" borderId="1" xfId="30" quotePrefix="1" applyFont="1" applyBorder="1" applyAlignment="1">
      <alignment vertical="center" wrapText="1"/>
    </xf>
    <xf numFmtId="0" fontId="21" fillId="0" borderId="8" xfId="1251" applyFont="1" applyBorder="1" applyAlignment="1">
      <alignment vertical="center"/>
    </xf>
    <xf numFmtId="0" fontId="48" fillId="0" borderId="0" xfId="1250" applyFont="1" applyAlignment="1">
      <alignment vertical="center"/>
    </xf>
    <xf numFmtId="43" fontId="20" fillId="0" borderId="5" xfId="33" applyFont="1" applyFill="1" applyBorder="1" applyAlignment="1">
      <alignment vertical="center"/>
    </xf>
    <xf numFmtId="43" fontId="20" fillId="0" borderId="7" xfId="33" applyFont="1" applyFill="1" applyBorder="1" applyAlignment="1">
      <alignment vertical="center"/>
    </xf>
    <xf numFmtId="43" fontId="20" fillId="0" borderId="6" xfId="33" applyFont="1" applyFill="1" applyBorder="1" applyAlignment="1">
      <alignment vertical="center"/>
    </xf>
    <xf numFmtId="43" fontId="34" fillId="0" borderId="1" xfId="1253" applyFont="1" applyFill="1" applyBorder="1" applyAlignment="1">
      <alignment horizontal="center" vertical="center"/>
    </xf>
    <xf numFmtId="43" fontId="51" fillId="0" borderId="0" xfId="33" applyFont="1" applyFill="1"/>
    <xf numFmtId="0" fontId="34" fillId="0" borderId="1" xfId="30" applyFont="1" applyBorder="1" applyAlignment="1">
      <alignment horizontal="center" vertical="center" wrapText="1"/>
    </xf>
    <xf numFmtId="43" fontId="34" fillId="0" borderId="6" xfId="30" applyNumberFormat="1" applyFont="1" applyBorder="1" applyAlignment="1">
      <alignment horizontal="center" vertical="center"/>
    </xf>
    <xf numFmtId="0" fontId="48" fillId="0" borderId="0" xfId="1724" applyFont="1" applyAlignment="1">
      <alignment vertical="center"/>
    </xf>
    <xf numFmtId="0" fontId="48" fillId="0" borderId="0" xfId="1724" applyFont="1" applyAlignment="1" applyProtection="1">
      <alignment horizontal="left" vertical="center"/>
      <protection locked="0"/>
    </xf>
    <xf numFmtId="0" fontId="48" fillId="0" borderId="0" xfId="1724" applyFont="1" applyAlignment="1">
      <alignment horizontal="left" vertical="center"/>
    </xf>
    <xf numFmtId="0" fontId="18" fillId="0" borderId="5" xfId="30" applyFont="1" applyBorder="1" applyAlignment="1">
      <alignment vertical="center"/>
    </xf>
    <xf numFmtId="0" fontId="18" fillId="0" borderId="7" xfId="30" applyFont="1" applyBorder="1" applyAlignment="1">
      <alignment vertical="center"/>
    </xf>
    <xf numFmtId="0" fontId="18" fillId="0" borderId="0" xfId="30" applyFont="1" applyAlignment="1">
      <alignment horizontal="left" vertical="center"/>
    </xf>
    <xf numFmtId="43" fontId="48" fillId="0" borderId="0" xfId="33" applyFont="1" applyFill="1" applyBorder="1" applyAlignment="1" applyProtection="1">
      <alignment horizontal="right" vertical="center"/>
    </xf>
    <xf numFmtId="43" fontId="48" fillId="0" borderId="0" xfId="33" applyFont="1" applyFill="1" applyBorder="1" applyAlignment="1">
      <alignment horizontal="center" vertical="center" wrapText="1"/>
    </xf>
    <xf numFmtId="0" fontId="21" fillId="0" borderId="1" xfId="0" applyFont="1" applyBorder="1" applyAlignment="1">
      <alignment horizontal="center" vertical="center"/>
    </xf>
    <xf numFmtId="0" fontId="18" fillId="0" borderId="1" xfId="30" applyFont="1" applyBorder="1" applyAlignment="1">
      <alignment horizontal="left" vertical="center"/>
    </xf>
    <xf numFmtId="178" fontId="19" fillId="6" borderId="2" xfId="0" applyNumberFormat="1" applyFont="1" applyFill="1" applyBorder="1" applyAlignment="1">
      <alignment horizontal="center" vertical="center"/>
    </xf>
    <xf numFmtId="178" fontId="43" fillId="0" borderId="2" xfId="0" applyNumberFormat="1" applyFont="1" applyBorder="1" applyAlignment="1">
      <alignment horizontal="center" vertical="center"/>
    </xf>
    <xf numFmtId="0" fontId="18" fillId="0" borderId="1" xfId="1725" applyFont="1" applyBorder="1" applyAlignment="1">
      <alignment horizontal="left" vertical="center"/>
    </xf>
    <xf numFmtId="0" fontId="18" fillId="0" borderId="5" xfId="1725" applyFont="1" applyBorder="1" applyAlignment="1">
      <alignment vertical="center"/>
    </xf>
    <xf numFmtId="0" fontId="18" fillId="0" borderId="6" xfId="1725" applyFont="1" applyBorder="1" applyAlignment="1">
      <alignment vertical="center"/>
    </xf>
    <xf numFmtId="0" fontId="18" fillId="0" borderId="7" xfId="1725" applyFont="1" applyBorder="1" applyAlignment="1">
      <alignment vertical="center"/>
    </xf>
    <xf numFmtId="0" fontId="58" fillId="0" borderId="1" xfId="30" applyFont="1" applyBorder="1" applyAlignment="1">
      <alignment horizontal="right" vertical="center"/>
    </xf>
    <xf numFmtId="43" fontId="18" fillId="0" borderId="1" xfId="33" applyFont="1" applyFill="1" applyBorder="1" applyAlignment="1" applyProtection="1">
      <alignment horizontal="right" vertical="center"/>
    </xf>
    <xf numFmtId="0" fontId="19" fillId="39" borderId="1" xfId="3032" applyFont="1" applyFill="1" applyBorder="1" applyAlignment="1">
      <alignment horizontal="center" vertical="center" wrapText="1"/>
    </xf>
    <xf numFmtId="1" fontId="19" fillId="39" borderId="1" xfId="3032" applyNumberFormat="1" applyFont="1" applyFill="1" applyBorder="1" applyAlignment="1">
      <alignment horizontal="center" vertical="center" wrapText="1"/>
    </xf>
    <xf numFmtId="0" fontId="18" fillId="0" borderId="1" xfId="3032" applyFont="1" applyBorder="1" applyAlignment="1">
      <alignment horizontal="center" vertical="center" wrapText="1"/>
    </xf>
    <xf numFmtId="0" fontId="18" fillId="2" borderId="1" xfId="3032" applyFont="1" applyFill="1" applyBorder="1" applyAlignment="1">
      <alignment horizontal="left" vertical="center" wrapText="1"/>
    </xf>
    <xf numFmtId="0" fontId="219" fillId="0" borderId="1" xfId="3032" applyFont="1" applyBorder="1" applyAlignment="1">
      <alignment horizontal="center" vertical="center" wrapText="1"/>
    </xf>
    <xf numFmtId="0" fontId="220" fillId="0" borderId="1" xfId="3032" applyFont="1" applyBorder="1" applyAlignment="1">
      <alignment horizontal="center" vertical="center" wrapText="1"/>
    </xf>
    <xf numFmtId="0" fontId="221" fillId="0" borderId="1" xfId="3032" applyFont="1" applyBorder="1" applyAlignment="1">
      <alignment horizontal="center" vertical="center" wrapText="1"/>
    </xf>
    <xf numFmtId="0" fontId="21" fillId="0" borderId="5" xfId="30" quotePrefix="1" applyFont="1" applyBorder="1" applyAlignment="1">
      <alignment vertical="center" wrapText="1"/>
    </xf>
    <xf numFmtId="43" fontId="21" fillId="0" borderId="7" xfId="33" applyFont="1" applyFill="1" applyBorder="1" applyAlignment="1">
      <alignment horizontal="center" vertical="center"/>
    </xf>
    <xf numFmtId="43" fontId="21" fillId="0" borderId="6" xfId="33" applyFont="1" applyFill="1" applyBorder="1" applyAlignment="1">
      <alignment horizontal="center" vertical="center"/>
    </xf>
    <xf numFmtId="43" fontId="20" fillId="0" borderId="1" xfId="33" applyFont="1" applyFill="1" applyBorder="1" applyAlignment="1">
      <alignment vertical="center" wrapText="1"/>
    </xf>
    <xf numFmtId="0" fontId="21" fillId="0" borderId="0" xfId="0" applyFont="1" applyAlignment="1">
      <alignment vertical="center"/>
    </xf>
    <xf numFmtId="0" fontId="19" fillId="0" borderId="1" xfId="30" quotePrefix="1" applyFont="1" applyBorder="1" applyAlignment="1">
      <alignment horizontal="center" vertical="center"/>
    </xf>
    <xf numFmtId="0" fontId="222" fillId="0" borderId="0" xfId="0" applyFont="1"/>
    <xf numFmtId="0" fontId="200" fillId="0" borderId="0" xfId="0" applyFont="1"/>
    <xf numFmtId="43" fontId="48" fillId="0" borderId="1" xfId="33" applyFont="1" applyFill="1" applyBorder="1" applyAlignment="1" applyProtection="1">
      <alignment horizontal="left" vertical="center" wrapText="1"/>
    </xf>
    <xf numFmtId="179" fontId="43" fillId="0" borderId="1" xfId="8" applyNumberFormat="1" applyFont="1" applyBorder="1" applyAlignment="1">
      <alignment horizontal="center" vertical="center"/>
    </xf>
    <xf numFmtId="0" fontId="46" fillId="0" borderId="2" xfId="23" applyFont="1" applyBorder="1" applyAlignment="1">
      <alignment horizontal="right" vertical="center" wrapText="1"/>
    </xf>
    <xf numFmtId="0" fontId="46" fillId="0" borderId="2" xfId="8" applyFont="1" applyBorder="1" applyAlignment="1">
      <alignment horizontal="center" vertical="center" wrapText="1"/>
    </xf>
    <xf numFmtId="2" fontId="46" fillId="0" borderId="2" xfId="8" applyNumberFormat="1" applyFont="1" applyBorder="1" applyAlignment="1">
      <alignment horizontal="center" vertical="center"/>
    </xf>
    <xf numFmtId="179" fontId="46" fillId="0" borderId="2" xfId="8" applyNumberFormat="1" applyFont="1" applyBorder="1" applyAlignment="1">
      <alignment horizontal="center" vertical="center"/>
    </xf>
    <xf numFmtId="179" fontId="46" fillId="0" borderId="2" xfId="0" applyNumberFormat="1" applyFont="1" applyBorder="1" applyAlignment="1">
      <alignment horizontal="center" vertical="center"/>
    </xf>
    <xf numFmtId="176" fontId="46" fillId="3" borderId="2" xfId="8" applyNumberFormat="1" applyFont="1" applyFill="1" applyBorder="1" applyAlignment="1">
      <alignment horizontal="center" vertical="center" wrapText="1"/>
    </xf>
    <xf numFmtId="0" fontId="43" fillId="0" borderId="0" xfId="8" applyFont="1" applyAlignment="1">
      <alignment horizontal="center" vertical="center"/>
    </xf>
    <xf numFmtId="0" fontId="43" fillId="0" borderId="2" xfId="23" applyFont="1" applyBorder="1" applyAlignment="1">
      <alignment horizontal="left" vertical="center" wrapText="1"/>
    </xf>
    <xf numFmtId="2" fontId="19" fillId="0" borderId="2" xfId="0" applyNumberFormat="1" applyFont="1" applyBorder="1" applyAlignment="1">
      <alignment horizontal="center" vertical="center"/>
    </xf>
    <xf numFmtId="179" fontId="43" fillId="0" borderId="2" xfId="8" applyNumberFormat="1" applyFont="1" applyBorder="1" applyAlignment="1">
      <alignment horizontal="center" vertical="center"/>
    </xf>
    <xf numFmtId="2" fontId="43" fillId="0" borderId="2" xfId="8" applyNumberFormat="1" applyFont="1" applyBorder="1" applyAlignment="1">
      <alignment horizontal="center" vertical="center"/>
    </xf>
    <xf numFmtId="0" fontId="19" fillId="0" borderId="0" xfId="23" applyFont="1" applyAlignment="1">
      <alignment horizontal="center" vertical="center" wrapText="1"/>
    </xf>
    <xf numFmtId="3" fontId="19" fillId="0" borderId="0" xfId="0" applyNumberFormat="1" applyFont="1" applyAlignment="1">
      <alignment horizontal="center" vertical="center"/>
    </xf>
    <xf numFmtId="2" fontId="19" fillId="0" borderId="2" xfId="8" applyNumberFormat="1" applyFont="1" applyBorder="1" applyAlignment="1">
      <alignment horizontal="center" vertical="center"/>
    </xf>
    <xf numFmtId="179" fontId="19" fillId="0" borderId="2" xfId="8" applyNumberFormat="1" applyFont="1" applyBorder="1" applyAlignment="1">
      <alignment horizontal="center" vertical="center"/>
    </xf>
    <xf numFmtId="2" fontId="43" fillId="0" borderId="0" xfId="8" applyNumberFormat="1" applyFont="1" applyAlignment="1">
      <alignment horizontal="center" vertical="center"/>
    </xf>
    <xf numFmtId="179" fontId="43" fillId="0" borderId="2" xfId="0" applyNumberFormat="1" applyFont="1" applyBorder="1" applyAlignment="1">
      <alignment horizontal="center" vertical="center"/>
    </xf>
    <xf numFmtId="179" fontId="19" fillId="0" borderId="2" xfId="0" applyNumberFormat="1" applyFont="1" applyBorder="1" applyAlignment="1">
      <alignment horizontal="center" vertical="center"/>
    </xf>
    <xf numFmtId="0" fontId="43" fillId="0" borderId="0" xfId="23" applyFont="1" applyAlignment="1">
      <alignment horizontal="left" vertical="center" wrapText="1"/>
    </xf>
    <xf numFmtId="0" fontId="19" fillId="0" borderId="2" xfId="23" applyFont="1" applyBorder="1" applyAlignment="1">
      <alignment horizontal="left" vertical="center" wrapText="1"/>
    </xf>
    <xf numFmtId="2" fontId="43" fillId="0" borderId="0" xfId="0" applyNumberFormat="1" applyFont="1" applyAlignment="1">
      <alignment horizontal="center" vertical="center"/>
    </xf>
    <xf numFmtId="176" fontId="46" fillId="0" borderId="2" xfId="8" applyNumberFormat="1" applyFont="1" applyBorder="1" applyAlignment="1">
      <alignment horizontal="center" vertical="center" wrapText="1"/>
    </xf>
    <xf numFmtId="176" fontId="57" fillId="0" borderId="2" xfId="8" applyNumberFormat="1" applyFont="1" applyBorder="1" applyAlignment="1">
      <alignment horizontal="center" vertical="center" wrapText="1"/>
    </xf>
    <xf numFmtId="0" fontId="30" fillId="0" borderId="0" xfId="21" applyFont="1" applyAlignment="1">
      <alignment horizontal="center"/>
    </xf>
    <xf numFmtId="0" fontId="39" fillId="0" borderId="0" xfId="22" applyFont="1" applyAlignment="1">
      <alignment horizontal="center" vertical="center"/>
    </xf>
    <xf numFmtId="0" fontId="34" fillId="0" borderId="0" xfId="23" applyFont="1" applyAlignment="1">
      <alignment horizontal="center" vertical="center" wrapText="1"/>
    </xf>
    <xf numFmtId="177" fontId="41" fillId="0" borderId="0" xfId="25" applyFont="1" applyAlignment="1">
      <alignment horizontal="center"/>
    </xf>
    <xf numFmtId="3" fontId="41" fillId="0" borderId="0" xfId="23" applyNumberFormat="1" applyFont="1" applyAlignment="1">
      <alignment vertical="center"/>
    </xf>
    <xf numFmtId="0" fontId="30" fillId="0" borderId="0" xfId="23" applyFont="1" applyAlignment="1">
      <alignment vertical="center" wrapText="1"/>
    </xf>
    <xf numFmtId="0" fontId="30" fillId="0" borderId="0" xfId="23" applyFont="1" applyAlignment="1">
      <alignment horizontal="center" vertical="center" wrapText="1"/>
    </xf>
    <xf numFmtId="3" fontId="41" fillId="0" borderId="0" xfId="23" applyNumberFormat="1" applyFont="1" applyAlignment="1">
      <alignment horizontal="center" vertical="center"/>
    </xf>
    <xf numFmtId="4" fontId="30" fillId="0" borderId="0" xfId="23" applyNumberFormat="1" applyFont="1" applyAlignment="1">
      <alignment horizontal="center" vertical="center" wrapText="1"/>
    </xf>
    <xf numFmtId="4" fontId="41" fillId="0" borderId="0" xfId="23" applyNumberFormat="1" applyFont="1" applyAlignment="1">
      <alignment vertical="center"/>
    </xf>
    <xf numFmtId="43" fontId="30" fillId="0" borderId="0" xfId="19" applyFont="1" applyAlignment="1">
      <alignment horizontal="center" vertical="center" wrapText="1"/>
    </xf>
    <xf numFmtId="43" fontId="41" fillId="0" borderId="0" xfId="19" applyFont="1" applyFill="1" applyAlignment="1">
      <alignment horizontal="center" vertical="center"/>
    </xf>
    <xf numFmtId="3" fontId="34" fillId="0" borderId="0" xfId="23" applyNumberFormat="1" applyFont="1" applyAlignment="1">
      <alignment vertical="center"/>
    </xf>
    <xf numFmtId="0" fontId="30" fillId="0" borderId="0" xfId="22" applyFont="1" applyAlignment="1">
      <alignment vertical="center"/>
    </xf>
    <xf numFmtId="175" fontId="30" fillId="0" borderId="0" xfId="19" applyNumberFormat="1" applyFont="1" applyBorder="1" applyAlignment="1">
      <alignment vertical="center" wrapText="1"/>
    </xf>
    <xf numFmtId="175" fontId="30" fillId="0" borderId="0" xfId="19" applyNumberFormat="1" applyFont="1" applyBorder="1" applyAlignment="1">
      <alignment vertical="center"/>
    </xf>
    <xf numFmtId="175" fontId="37" fillId="0" borderId="0" xfId="19" applyNumberFormat="1" applyFont="1" applyBorder="1" applyAlignment="1">
      <alignment vertical="center"/>
    </xf>
    <xf numFmtId="0" fontId="36" fillId="0" borderId="0" xfId="21" applyFont="1" applyAlignment="1">
      <alignment horizontal="left"/>
    </xf>
    <xf numFmtId="175" fontId="34" fillId="0" borderId="0" xfId="19" applyNumberFormat="1" applyFont="1" applyFill="1" applyBorder="1" applyAlignment="1">
      <alignment horizontal="center" wrapText="1"/>
    </xf>
    <xf numFmtId="0" fontId="34" fillId="0" borderId="0" xfId="21" applyFont="1" applyAlignment="1">
      <alignment horizontal="center" wrapText="1"/>
    </xf>
    <xf numFmtId="175" fontId="30" fillId="0" borderId="0" xfId="19" applyNumberFormat="1" applyFont="1" applyFill="1" applyAlignment="1"/>
    <xf numFmtId="3" fontId="34" fillId="0" borderId="0" xfId="23" applyNumberFormat="1" applyFont="1" applyAlignment="1">
      <alignment horizontal="center" vertical="center"/>
    </xf>
    <xf numFmtId="0" fontId="30" fillId="0" borderId="0" xfId="22" applyFont="1" applyAlignment="1">
      <alignment horizontal="left" vertical="center"/>
    </xf>
    <xf numFmtId="175" fontId="34" fillId="0" borderId="0" xfId="23" applyNumberFormat="1" applyFont="1" applyAlignment="1">
      <alignment horizontal="center" vertical="center" wrapText="1"/>
    </xf>
    <xf numFmtId="43" fontId="34" fillId="0" borderId="0" xfId="19" applyFont="1" applyFill="1" applyBorder="1" applyAlignment="1">
      <alignment horizontal="center" wrapText="1"/>
    </xf>
    <xf numFmtId="43" fontId="34" fillId="0" borderId="0" xfId="19" applyFont="1" applyBorder="1" applyAlignment="1">
      <alignment vertical="center"/>
    </xf>
    <xf numFmtId="175" fontId="30" fillId="0" borderId="0" xfId="19" applyNumberFormat="1" applyFont="1" applyBorder="1" applyAlignment="1">
      <alignment horizontal="center" vertical="center"/>
    </xf>
    <xf numFmtId="0" fontId="19" fillId="0" borderId="0" xfId="8" applyFont="1" applyAlignment="1">
      <alignment horizontal="center" vertical="center"/>
    </xf>
    <xf numFmtId="176" fontId="19" fillId="6" borderId="2" xfId="8" applyNumberFormat="1" applyFont="1" applyFill="1" applyBorder="1" applyAlignment="1">
      <alignment horizontal="center" vertical="center" wrapText="1"/>
    </xf>
    <xf numFmtId="176" fontId="43" fillId="0" borderId="2" xfId="8" applyNumberFormat="1" applyFont="1" applyBorder="1" applyAlignment="1">
      <alignment horizontal="center" vertical="center" wrapText="1"/>
    </xf>
    <xf numFmtId="176" fontId="19" fillId="0" borderId="2" xfId="8" applyNumberFormat="1" applyFont="1" applyBorder="1" applyAlignment="1">
      <alignment horizontal="center" vertical="center" wrapText="1"/>
    </xf>
    <xf numFmtId="2" fontId="46" fillId="0" borderId="2" xfId="0" applyNumberFormat="1" applyFont="1" applyBorder="1" applyAlignment="1">
      <alignment horizontal="center" vertical="center"/>
    </xf>
    <xf numFmtId="0" fontId="19" fillId="0" borderId="2" xfId="8" applyFont="1" applyBorder="1" applyAlignment="1">
      <alignment horizontal="left" vertical="center" wrapText="1"/>
    </xf>
    <xf numFmtId="179" fontId="19" fillId="0" borderId="2" xfId="8" applyNumberFormat="1" applyFont="1" applyBorder="1" applyAlignment="1">
      <alignment horizontal="left" vertical="center"/>
    </xf>
    <xf numFmtId="2" fontId="19" fillId="0" borderId="2" xfId="8" applyNumberFormat="1" applyFont="1" applyBorder="1" applyAlignment="1">
      <alignment horizontal="left" vertical="center"/>
    </xf>
    <xf numFmtId="179" fontId="19" fillId="0" borderId="2" xfId="0" applyNumberFormat="1" applyFont="1" applyBorder="1" applyAlignment="1">
      <alignment horizontal="left" vertical="center"/>
    </xf>
    <xf numFmtId="2" fontId="19" fillId="0" borderId="2" xfId="0" applyNumberFormat="1" applyFont="1" applyBorder="1" applyAlignment="1">
      <alignment horizontal="left" vertical="center"/>
    </xf>
    <xf numFmtId="0" fontId="69" fillId="0" borderId="2" xfId="23" applyFont="1" applyBorder="1" applyAlignment="1">
      <alignment horizontal="left" vertical="center" wrapText="1"/>
    </xf>
    <xf numFmtId="0" fontId="69" fillId="0" borderId="2" xfId="8" applyFont="1" applyBorder="1" applyAlignment="1">
      <alignment horizontal="left" vertical="center" wrapText="1"/>
    </xf>
    <xf numFmtId="0" fontId="57" fillId="0" borderId="2" xfId="23" applyFont="1" applyBorder="1" applyAlignment="1">
      <alignment horizontal="right" vertical="center" wrapText="1"/>
    </xf>
    <xf numFmtId="0" fontId="57" fillId="0" borderId="2" xfId="8" applyFont="1" applyBorder="1" applyAlignment="1">
      <alignment horizontal="center" vertical="center" wrapText="1"/>
    </xf>
    <xf numFmtId="179" fontId="57" fillId="0" borderId="2" xfId="8" applyNumberFormat="1" applyFont="1" applyBorder="1" applyAlignment="1">
      <alignment horizontal="center" vertical="center"/>
    </xf>
    <xf numFmtId="2" fontId="57" fillId="0" borderId="2" xfId="8" applyNumberFormat="1" applyFont="1" applyBorder="1" applyAlignment="1">
      <alignment horizontal="center" vertical="center"/>
    </xf>
    <xf numFmtId="179" fontId="57" fillId="0" borderId="2" xfId="0" applyNumberFormat="1" applyFont="1" applyBorder="1" applyAlignment="1">
      <alignment horizontal="center" vertical="center"/>
    </xf>
    <xf numFmtId="0" fontId="19" fillId="4" borderId="1" xfId="6" applyFont="1" applyFill="1" applyBorder="1" applyAlignment="1">
      <alignment horizontal="center" vertical="center"/>
    </xf>
    <xf numFmtId="0" fontId="43" fillId="0" borderId="23" xfId="0" quotePrefix="1" applyFont="1" applyBorder="1" applyAlignment="1">
      <alignment horizontal="left" vertical="center" wrapText="1"/>
    </xf>
    <xf numFmtId="0" fontId="43" fillId="4" borderId="0" xfId="0" applyFont="1" applyFill="1" applyAlignment="1">
      <alignment vertical="center"/>
    </xf>
    <xf numFmtId="0" fontId="43" fillId="0" borderId="23" xfId="0" quotePrefix="1" applyFont="1" applyBorder="1" applyAlignment="1">
      <alignment horizontal="right" vertical="center" wrapText="1"/>
    </xf>
    <xf numFmtId="0" fontId="43" fillId="0" borderId="2" xfId="0" quotePrefix="1" applyFont="1" applyBorder="1" applyAlignment="1">
      <alignment horizontal="right" vertical="center" wrapText="1"/>
    </xf>
    <xf numFmtId="176" fontId="43" fillId="0" borderId="0" xfId="8" applyNumberFormat="1" applyFont="1" applyAlignment="1">
      <alignment horizontal="center" vertical="center" wrapText="1"/>
    </xf>
    <xf numFmtId="0" fontId="43" fillId="0" borderId="0" xfId="0" applyFont="1" applyAlignment="1">
      <alignment horizontal="center" vertical="center"/>
    </xf>
    <xf numFmtId="178" fontId="43" fillId="0" borderId="0" xfId="0" applyNumberFormat="1" applyFont="1" applyAlignment="1">
      <alignment horizontal="center" vertical="center"/>
    </xf>
    <xf numFmtId="0" fontId="2" fillId="0" borderId="0" xfId="3650"/>
    <xf numFmtId="0" fontId="19" fillId="0" borderId="0" xfId="3654" applyFont="1" applyProtection="1">
      <protection locked="0"/>
    </xf>
    <xf numFmtId="0" fontId="20" fillId="0" borderId="2" xfId="3654" applyFont="1" applyBorder="1" applyAlignment="1" applyProtection="1">
      <alignment vertical="center" textRotation="90" wrapText="1"/>
      <protection locked="0"/>
    </xf>
    <xf numFmtId="0" fontId="43" fillId="0" borderId="2" xfId="3654" applyBorder="1" applyAlignment="1" applyProtection="1">
      <alignment horizontal="center" vertical="center"/>
      <protection locked="0"/>
    </xf>
    <xf numFmtId="0" fontId="18" fillId="0" borderId="9" xfId="3654" applyFont="1" applyBorder="1" applyAlignment="1">
      <alignment horizontal="left"/>
    </xf>
    <xf numFmtId="0" fontId="18" fillId="0" borderId="22" xfId="3654" applyFont="1" applyBorder="1" applyAlignment="1">
      <alignment horizontal="centerContinuous" vertical="top"/>
    </xf>
    <xf numFmtId="0" fontId="18" fillId="0" borderId="22" xfId="3654" applyFont="1" applyBorder="1" applyAlignment="1">
      <alignment horizontal="center" vertical="center"/>
    </xf>
    <xf numFmtId="0" fontId="18" fillId="0" borderId="52" xfId="3654" applyFont="1" applyBorder="1"/>
    <xf numFmtId="280" fontId="223" fillId="0" borderId="2" xfId="3654" applyNumberFormat="1" applyFont="1" applyBorder="1" applyAlignment="1">
      <alignment horizontal="center" vertical="center"/>
    </xf>
    <xf numFmtId="175" fontId="224" fillId="0" borderId="2" xfId="3655" applyNumberFormat="1" applyFont="1" applyFill="1" applyBorder="1" applyAlignment="1">
      <alignment horizontal="right" vertical="center"/>
    </xf>
    <xf numFmtId="175" fontId="225" fillId="0" borderId="2" xfId="3655" applyNumberFormat="1" applyFont="1" applyFill="1" applyBorder="1" applyAlignment="1">
      <alignment horizontal="center" vertical="center"/>
    </xf>
    <xf numFmtId="0" fontId="225" fillId="0" borderId="2" xfId="3654" applyFont="1" applyBorder="1" applyAlignment="1">
      <alignment horizontal="center" vertical="center"/>
    </xf>
    <xf numFmtId="0" fontId="224" fillId="0" borderId="2" xfId="3654" applyFont="1" applyBorder="1" applyAlignment="1">
      <alignment horizontal="center" vertical="center"/>
    </xf>
    <xf numFmtId="43" fontId="225" fillId="0" borderId="2" xfId="3655" applyFont="1" applyFill="1" applyBorder="1" applyAlignment="1">
      <alignment horizontal="right" vertical="center"/>
    </xf>
    <xf numFmtId="178" fontId="225" fillId="0" borderId="2" xfId="3655" applyNumberFormat="1" applyFont="1" applyFill="1" applyBorder="1" applyAlignment="1">
      <alignment horizontal="right" vertical="center"/>
    </xf>
    <xf numFmtId="179" fontId="225" fillId="0" borderId="2" xfId="3654" applyNumberFormat="1" applyFont="1" applyBorder="1" applyAlignment="1">
      <alignment horizontal="right" vertical="center"/>
    </xf>
    <xf numFmtId="0" fontId="43" fillId="0" borderId="2" xfId="3654" applyBorder="1" applyAlignment="1" applyProtection="1">
      <alignment horizontal="center" vertical="center" wrapText="1"/>
      <protection locked="0"/>
    </xf>
    <xf numFmtId="0" fontId="18" fillId="0" borderId="12" xfId="3654" applyFont="1" applyBorder="1" applyAlignment="1">
      <alignment horizontal="left"/>
    </xf>
    <xf numFmtId="0" fontId="18" fillId="0" borderId="8" xfId="3654" applyFont="1" applyBorder="1" applyAlignment="1">
      <alignment horizontal="centerContinuous" vertical="top"/>
    </xf>
    <xf numFmtId="0" fontId="18" fillId="0" borderId="8" xfId="3654" applyFont="1" applyBorder="1" applyAlignment="1">
      <alignment horizontal="center" vertical="center"/>
    </xf>
    <xf numFmtId="0" fontId="18" fillId="0" borderId="11" xfId="3654" applyFont="1" applyBorder="1"/>
    <xf numFmtId="0" fontId="20" fillId="0" borderId="53" xfId="3654" applyFont="1" applyBorder="1" applyAlignment="1" applyProtection="1">
      <alignment vertical="center" textRotation="90" wrapText="1"/>
      <protection locked="0"/>
    </xf>
    <xf numFmtId="0" fontId="43" fillId="0" borderId="53" xfId="3654" applyBorder="1" applyAlignment="1" applyProtection="1">
      <alignment horizontal="center" vertical="center" wrapText="1"/>
      <protection locked="0"/>
    </xf>
    <xf numFmtId="0" fontId="125" fillId="0" borderId="54" xfId="3654" applyFont="1" applyBorder="1"/>
    <xf numFmtId="0" fontId="125" fillId="0" borderId="55" xfId="3654" applyFont="1" applyBorder="1" applyAlignment="1">
      <alignment horizontal="centerContinuous" vertical="top"/>
    </xf>
    <xf numFmtId="0" fontId="125" fillId="0" borderId="55" xfId="3654" applyFont="1" applyBorder="1" applyAlignment="1">
      <alignment horizontal="center" vertical="center"/>
    </xf>
    <xf numFmtId="0" fontId="125" fillId="0" borderId="56" xfId="3654" applyFont="1" applyBorder="1"/>
    <xf numFmtId="280" fontId="223" fillId="0" borderId="53" xfId="3654" applyNumberFormat="1" applyFont="1" applyBorder="1" applyAlignment="1">
      <alignment horizontal="center" vertical="center"/>
    </xf>
    <xf numFmtId="175" fontId="224" fillId="0" borderId="53" xfId="3655" applyNumberFormat="1" applyFont="1" applyFill="1" applyBorder="1" applyAlignment="1">
      <alignment horizontal="right" vertical="center"/>
    </xf>
    <xf numFmtId="175" fontId="225" fillId="0" borderId="53" xfId="3655" applyNumberFormat="1" applyFont="1" applyFill="1" applyBorder="1" applyAlignment="1">
      <alignment horizontal="center" vertical="center"/>
    </xf>
    <xf numFmtId="0" fontId="225" fillId="0" borderId="53" xfId="3654" applyFont="1" applyBorder="1" applyAlignment="1">
      <alignment horizontal="center" vertical="center"/>
    </xf>
    <xf numFmtId="0" fontId="224" fillId="0" borderId="53" xfId="3654" applyFont="1" applyBorder="1" applyAlignment="1">
      <alignment horizontal="center" vertical="center"/>
    </xf>
    <xf numFmtId="43" fontId="225" fillId="0" borderId="53" xfId="3655" applyFont="1" applyFill="1" applyBorder="1" applyAlignment="1">
      <alignment horizontal="right" vertical="center"/>
    </xf>
    <xf numFmtId="178" fontId="225" fillId="0" borderId="53" xfId="3655" applyNumberFormat="1" applyFont="1" applyFill="1" applyBorder="1" applyAlignment="1">
      <alignment horizontal="right" vertical="center"/>
    </xf>
    <xf numFmtId="179" fontId="225" fillId="0" borderId="53" xfId="3654" applyNumberFormat="1" applyFont="1" applyBorder="1" applyAlignment="1">
      <alignment horizontal="right" vertical="center"/>
    </xf>
    <xf numFmtId="280" fontId="223" fillId="0" borderId="1" xfId="3654" applyNumberFormat="1" applyFont="1" applyBorder="1" applyAlignment="1">
      <alignment horizontal="left" vertical="center"/>
    </xf>
    <xf numFmtId="0" fontId="226" fillId="0" borderId="0" xfId="3650" applyFont="1"/>
    <xf numFmtId="0" fontId="54" fillId="0" borderId="0" xfId="3650" applyFont="1"/>
    <xf numFmtId="0" fontId="2" fillId="0" borderId="0" xfId="3650" applyAlignment="1">
      <alignment horizontal="center" vertical="center"/>
    </xf>
    <xf numFmtId="0" fontId="2" fillId="0" borderId="0" xfId="3650" applyAlignment="1">
      <alignment horizontal="center"/>
    </xf>
    <xf numFmtId="181" fontId="69" fillId="0" borderId="0" xfId="46" applyFont="1" applyAlignment="1">
      <alignment horizontal="right" vertical="center"/>
    </xf>
    <xf numFmtId="184" fontId="69" fillId="0" borderId="0" xfId="46" applyNumberFormat="1" applyFont="1" applyAlignment="1">
      <alignment vertical="center"/>
    </xf>
    <xf numFmtId="184" fontId="69" fillId="0" borderId="0" xfId="46" applyNumberFormat="1" applyFont="1" applyAlignment="1">
      <alignment horizontal="center" vertical="center"/>
    </xf>
    <xf numFmtId="0" fontId="70" fillId="0" borderId="0" xfId="3650" applyFont="1"/>
    <xf numFmtId="0" fontId="21" fillId="0" borderId="1" xfId="30" applyFont="1" applyBorder="1" applyAlignment="1">
      <alignment horizontal="center" vertical="center" wrapText="1"/>
    </xf>
    <xf numFmtId="0" fontId="21" fillId="0" borderId="7" xfId="30" applyFont="1" applyBorder="1" applyAlignment="1">
      <alignment horizontal="center" vertical="center"/>
    </xf>
    <xf numFmtId="0" fontId="43" fillId="2" borderId="2" xfId="8" applyFont="1" applyFill="1" applyBorder="1" applyAlignment="1">
      <alignment horizontal="center" vertical="center" wrapText="1"/>
    </xf>
    <xf numFmtId="2" fontId="19" fillId="2" borderId="2" xfId="0" applyNumberFormat="1" applyFont="1" applyFill="1" applyBorder="1" applyAlignment="1">
      <alignment horizontal="center" vertical="center"/>
    </xf>
    <xf numFmtId="0" fontId="46" fillId="2" borderId="0" xfId="0" applyFont="1" applyFill="1" applyAlignment="1">
      <alignment horizontal="left" vertical="center"/>
    </xf>
    <xf numFmtId="0" fontId="227" fillId="0" borderId="1" xfId="3032" applyFont="1" applyBorder="1" applyAlignment="1">
      <alignment horizontal="center" vertical="center" wrapText="1"/>
    </xf>
    <xf numFmtId="0" fontId="228" fillId="0" borderId="1" xfId="3032" applyFont="1" applyBorder="1" applyAlignment="1">
      <alignment horizontal="center" vertical="center" wrapText="1"/>
    </xf>
    <xf numFmtId="175" fontId="34" fillId="4" borderId="1" xfId="19" applyNumberFormat="1" applyFont="1" applyFill="1" applyBorder="1" applyAlignment="1">
      <alignment horizontal="center" vertical="center" wrapText="1"/>
    </xf>
    <xf numFmtId="0" fontId="26" fillId="0" borderId="2" xfId="0" applyFont="1" applyBorder="1" applyAlignment="1">
      <alignment horizontal="center" vertical="center"/>
    </xf>
    <xf numFmtId="0" fontId="229" fillId="0" borderId="2" xfId="0" applyFont="1" applyBorder="1" applyAlignment="1">
      <alignment vertical="center" wrapText="1"/>
    </xf>
    <xf numFmtId="4" fontId="229" fillId="0" borderId="2" xfId="0" applyNumberFormat="1" applyFont="1" applyBorder="1" applyAlignment="1">
      <alignment horizontal="center" vertical="center" wrapText="1"/>
    </xf>
    <xf numFmtId="3" fontId="229" fillId="0" borderId="2" xfId="0" applyNumberFormat="1" applyFont="1" applyBorder="1" applyAlignment="1">
      <alignment horizontal="right" vertical="center" wrapText="1"/>
    </xf>
    <xf numFmtId="0" fontId="230" fillId="0" borderId="0" xfId="0" applyFont="1"/>
    <xf numFmtId="0" fontId="229" fillId="0" borderId="2" xfId="0" applyFont="1" applyBorder="1" applyAlignment="1">
      <alignment horizontal="center" vertical="center" wrapText="1"/>
    </xf>
    <xf numFmtId="3" fontId="229" fillId="0" borderId="2" xfId="0" applyNumberFormat="1" applyFont="1" applyBorder="1" applyAlignment="1">
      <alignment vertical="center" wrapText="1"/>
    </xf>
    <xf numFmtId="0" fontId="231" fillId="0" borderId="2" xfId="50" applyFont="1" applyFill="1" applyBorder="1" applyAlignment="1">
      <alignment vertical="center" wrapText="1"/>
    </xf>
    <xf numFmtId="0" fontId="26" fillId="0" borderId="24" xfId="0" quotePrefix="1" applyFont="1" applyBorder="1" applyAlignment="1">
      <alignment horizontal="center" vertical="center"/>
    </xf>
    <xf numFmtId="0" fontId="46" fillId="2" borderId="2" xfId="23" applyFont="1" applyFill="1" applyBorder="1" applyAlignment="1">
      <alignment horizontal="right" vertical="center" wrapText="1"/>
    </xf>
    <xf numFmtId="0" fontId="0" fillId="0" borderId="0" xfId="0" applyFill="1"/>
    <xf numFmtId="0" fontId="0" fillId="0" borderId="0" xfId="0" applyFont="1"/>
    <xf numFmtId="43" fontId="48" fillId="0" borderId="95" xfId="33" applyFont="1" applyFill="1" applyBorder="1" applyAlignment="1">
      <alignment horizontal="center" vertical="center"/>
    </xf>
    <xf numFmtId="43" fontId="48" fillId="0" borderId="95" xfId="33" applyFont="1" applyFill="1" applyBorder="1" applyAlignment="1">
      <alignment vertical="center"/>
    </xf>
    <xf numFmtId="43" fontId="20" fillId="0" borderId="95" xfId="33" applyFont="1" applyFill="1" applyBorder="1" applyAlignment="1">
      <alignment horizontal="center" vertical="center"/>
    </xf>
    <xf numFmtId="43" fontId="21" fillId="0" borderId="95" xfId="33" applyFont="1" applyFill="1" applyBorder="1" applyAlignment="1">
      <alignment horizontal="center" vertical="center"/>
    </xf>
    <xf numFmtId="4" fontId="78" fillId="0" borderId="2" xfId="50" applyNumberFormat="1" applyFont="1" applyFill="1" applyBorder="1" applyAlignment="1">
      <alignment vertical="center" wrapText="1"/>
    </xf>
    <xf numFmtId="0" fontId="21" fillId="3" borderId="0" xfId="8" applyFont="1" applyFill="1"/>
    <xf numFmtId="290" fontId="20" fillId="4" borderId="1" xfId="6" applyNumberFormat="1" applyFont="1" applyFill="1" applyBorder="1" applyAlignment="1">
      <alignment horizontal="center" vertical="center" wrapText="1"/>
    </xf>
    <xf numFmtId="290" fontId="20" fillId="3" borderId="4" xfId="6" applyNumberFormat="1" applyFont="1" applyFill="1" applyBorder="1" applyAlignment="1">
      <alignment horizontal="center" vertical="center"/>
    </xf>
    <xf numFmtId="290" fontId="20" fillId="6" borderId="2" xfId="6" applyNumberFormat="1" applyFont="1" applyFill="1" applyBorder="1" applyAlignment="1">
      <alignment horizontal="center" vertical="center"/>
    </xf>
    <xf numFmtId="290" fontId="21" fillId="0" borderId="2" xfId="6" applyNumberFormat="1" applyFont="1" applyBorder="1" applyAlignment="1">
      <alignment horizontal="center" vertical="center"/>
    </xf>
    <xf numFmtId="290" fontId="20" fillId="0" borderId="2" xfId="6" applyNumberFormat="1" applyFont="1" applyBorder="1" applyAlignment="1">
      <alignment horizontal="center" vertical="center"/>
    </xf>
    <xf numFmtId="290" fontId="34" fillId="0" borderId="0" xfId="21" applyNumberFormat="1" applyFont="1" applyAlignment="1">
      <alignment horizontal="center" wrapText="1"/>
    </xf>
    <xf numFmtId="290" fontId="30" fillId="0" borderId="0" xfId="22" applyNumberFormat="1" applyFont="1" applyAlignment="1">
      <alignment vertical="center"/>
    </xf>
    <xf numFmtId="290" fontId="34" fillId="0" borderId="0" xfId="23" applyNumberFormat="1" applyFont="1" applyAlignment="1">
      <alignment horizontal="center" vertical="center"/>
    </xf>
    <xf numFmtId="290" fontId="21" fillId="0" borderId="0" xfId="8" applyNumberFormat="1" applyFont="1" applyAlignment="1">
      <alignment horizontal="center"/>
    </xf>
    <xf numFmtId="175" fontId="20" fillId="0" borderId="1" xfId="19" applyNumberFormat="1" applyFont="1" applyFill="1" applyBorder="1" applyAlignment="1">
      <alignment horizontal="center" vertical="center"/>
    </xf>
    <xf numFmtId="0" fontId="34" fillId="0" borderId="1" xfId="0" applyFont="1" applyFill="1" applyBorder="1" applyAlignment="1">
      <alignment horizontal="center" vertical="center"/>
    </xf>
    <xf numFmtId="0" fontId="34" fillId="0" borderId="1" xfId="0" applyFont="1" applyFill="1" applyBorder="1" applyAlignment="1">
      <alignment horizontal="left" vertical="center" wrapText="1"/>
    </xf>
    <xf numFmtId="290" fontId="34" fillId="0" borderId="1" xfId="0" applyNumberFormat="1" applyFont="1" applyFill="1" applyBorder="1" applyAlignment="1">
      <alignment horizontal="center" vertical="center"/>
    </xf>
    <xf numFmtId="43" fontId="34" fillId="0" borderId="1" xfId="19" applyFont="1" applyFill="1" applyBorder="1" applyAlignment="1">
      <alignment horizontal="center" vertical="center"/>
    </xf>
    <xf numFmtId="175" fontId="34" fillId="0" borderId="1" xfId="19" applyNumberFormat="1" applyFont="1" applyFill="1" applyBorder="1" applyAlignment="1">
      <alignment horizontal="center" vertical="center"/>
    </xf>
    <xf numFmtId="0" fontId="34" fillId="0" borderId="1" xfId="0" applyFont="1" applyFill="1" applyBorder="1" applyAlignment="1">
      <alignment vertical="center" wrapText="1"/>
    </xf>
    <xf numFmtId="175" fontId="28" fillId="0" borderId="1" xfId="0" applyNumberFormat="1" applyFont="1" applyFill="1" applyBorder="1" applyAlignment="1">
      <alignment horizontal="center" vertical="center" wrapText="1"/>
    </xf>
    <xf numFmtId="182" fontId="34" fillId="0" borderId="1" xfId="0" applyNumberFormat="1" applyFont="1" applyFill="1" applyBorder="1" applyAlignment="1">
      <alignment horizontal="center" vertical="center"/>
    </xf>
    <xf numFmtId="175" fontId="34" fillId="0" borderId="1" xfId="19" applyNumberFormat="1" applyFont="1" applyFill="1" applyBorder="1" applyAlignment="1">
      <alignment horizontal="right" vertical="center"/>
    </xf>
    <xf numFmtId="0" fontId="34" fillId="3" borderId="1" xfId="0" applyFont="1" applyFill="1" applyBorder="1" applyAlignment="1">
      <alignment horizontal="center" vertical="center"/>
    </xf>
    <xf numFmtId="0" fontId="34" fillId="3" borderId="1" xfId="0" applyFont="1" applyFill="1" applyBorder="1" applyAlignment="1">
      <alignment horizontal="left" vertical="center" wrapText="1"/>
    </xf>
    <xf numFmtId="290" fontId="34" fillId="3" borderId="1" xfId="0" applyNumberFormat="1" applyFont="1" applyFill="1" applyBorder="1" applyAlignment="1">
      <alignment horizontal="center" vertical="center"/>
    </xf>
    <xf numFmtId="43" fontId="34" fillId="3" borderId="1" xfId="19" applyFont="1" applyFill="1" applyBorder="1" applyAlignment="1">
      <alignment horizontal="center" vertical="center"/>
    </xf>
    <xf numFmtId="175" fontId="34" fillId="3" borderId="1" xfId="19" applyNumberFormat="1" applyFont="1" applyFill="1" applyBorder="1" applyAlignment="1">
      <alignment horizontal="center" vertical="center"/>
    </xf>
    <xf numFmtId="0" fontId="34" fillId="3" borderId="1" xfId="0" applyFont="1" applyFill="1" applyBorder="1" applyAlignment="1">
      <alignment vertical="center" wrapText="1"/>
    </xf>
    <xf numFmtId="175" fontId="28" fillId="3" borderId="1" xfId="0" applyNumberFormat="1" applyFont="1" applyFill="1" applyBorder="1" applyAlignment="1">
      <alignment horizontal="center" vertical="center" wrapText="1"/>
    </xf>
    <xf numFmtId="182" fontId="34" fillId="3" borderId="1" xfId="0" applyNumberFormat="1" applyFont="1" applyFill="1" applyBorder="1" applyAlignment="1">
      <alignment horizontal="center" vertical="center"/>
    </xf>
    <xf numFmtId="0" fontId="34" fillId="0" borderId="0" xfId="23" applyFont="1" applyAlignment="1">
      <alignment horizontal="left" vertical="center"/>
    </xf>
    <xf numFmtId="179" fontId="69" fillId="3" borderId="1" xfId="3650" applyNumberFormat="1" applyFont="1" applyFill="1" applyBorder="1"/>
    <xf numFmtId="43" fontId="69" fillId="0" borderId="0" xfId="19" applyFont="1" applyFill="1" applyAlignment="1">
      <alignment horizontal="left" vertical="center"/>
    </xf>
    <xf numFmtId="43" fontId="34" fillId="0" borderId="0" xfId="19" applyFont="1" applyFill="1" applyAlignment="1">
      <alignment horizontal="center" vertical="center"/>
    </xf>
    <xf numFmtId="43" fontId="34" fillId="0" borderId="0" xfId="19" applyFont="1" applyFill="1" applyAlignment="1">
      <alignment horizontal="left" vertical="center"/>
    </xf>
    <xf numFmtId="176" fontId="46" fillId="0" borderId="0" xfId="8" applyNumberFormat="1" applyFont="1" applyBorder="1" applyAlignment="1">
      <alignment horizontal="left" vertical="center"/>
    </xf>
    <xf numFmtId="0" fontId="18" fillId="0" borderId="1" xfId="1725" applyFont="1" applyBorder="1" applyAlignment="1">
      <alignment horizontal="left" vertical="center"/>
    </xf>
    <xf numFmtId="0" fontId="18" fillId="0" borderId="6" xfId="30" applyFont="1" applyBorder="1" applyAlignment="1">
      <alignment horizontal="left" vertical="center"/>
    </xf>
    <xf numFmtId="0" fontId="20" fillId="3" borderId="57" xfId="3654" applyFont="1" applyFill="1" applyBorder="1" applyAlignment="1">
      <alignment vertical="center"/>
    </xf>
    <xf numFmtId="0" fontId="48" fillId="3" borderId="88" xfId="3654" applyFont="1" applyFill="1" applyBorder="1" applyAlignment="1">
      <alignment horizontal="center" vertical="center"/>
    </xf>
    <xf numFmtId="0" fontId="48" fillId="3" borderId="88" xfId="3654" applyFont="1" applyFill="1" applyBorder="1" applyAlignment="1">
      <alignment vertical="center"/>
    </xf>
    <xf numFmtId="43" fontId="48" fillId="3" borderId="96" xfId="19" applyFont="1" applyFill="1" applyBorder="1" applyAlignment="1">
      <alignment vertical="center"/>
    </xf>
    <xf numFmtId="0" fontId="20" fillId="0" borderId="87" xfId="3654" applyFont="1" applyBorder="1" applyAlignment="1" applyProtection="1">
      <alignment vertical="center" textRotation="90" wrapText="1"/>
      <protection locked="0"/>
    </xf>
    <xf numFmtId="0" fontId="43" fillId="0" borderId="87" xfId="3654" applyBorder="1" applyAlignment="1" applyProtection="1">
      <alignment horizontal="center" vertical="center"/>
      <protection locked="0"/>
    </xf>
    <xf numFmtId="0" fontId="18" fillId="0" borderId="97" xfId="3654" applyFont="1" applyBorder="1" applyAlignment="1">
      <alignment horizontal="left"/>
    </xf>
    <xf numFmtId="0" fontId="18" fillId="0" borderId="98" xfId="3654" applyFont="1" applyBorder="1" applyAlignment="1">
      <alignment horizontal="centerContinuous" vertical="top"/>
    </xf>
    <xf numFmtId="0" fontId="18" fillId="0" borderId="98" xfId="3654" applyFont="1" applyBorder="1" applyAlignment="1">
      <alignment horizontal="center" vertical="center"/>
    </xf>
    <xf numFmtId="0" fontId="18" fillId="0" borderId="99" xfId="3654" applyFont="1" applyBorder="1"/>
    <xf numFmtId="280" fontId="223" fillId="0" borderId="87" xfId="3654" applyNumberFormat="1" applyFont="1" applyBorder="1" applyAlignment="1">
      <alignment horizontal="center" vertical="center"/>
    </xf>
    <xf numFmtId="175" fontId="224" fillId="0" borderId="87" xfId="3655" applyNumberFormat="1" applyFont="1" applyFill="1" applyBorder="1" applyAlignment="1">
      <alignment horizontal="right" vertical="center"/>
    </xf>
    <xf numFmtId="175" fontId="225" fillId="0" borderId="87" xfId="3655" applyNumberFormat="1" applyFont="1" applyFill="1" applyBorder="1" applyAlignment="1">
      <alignment horizontal="center" vertical="center"/>
    </xf>
    <xf numFmtId="0" fontId="225" fillId="0" borderId="87" xfId="3654" applyFont="1" applyBorder="1" applyAlignment="1">
      <alignment horizontal="center" vertical="center"/>
    </xf>
    <xf numFmtId="0" fontId="224" fillId="0" borderId="87" xfId="3654" applyFont="1" applyBorder="1" applyAlignment="1">
      <alignment horizontal="center" vertical="center"/>
    </xf>
    <xf numFmtId="43" fontId="225" fillId="0" borderId="87" xfId="3655" applyFont="1" applyFill="1" applyBorder="1" applyAlignment="1">
      <alignment horizontal="right" vertical="center"/>
    </xf>
    <xf numFmtId="178" fontId="225" fillId="0" borderId="87" xfId="3655" applyNumberFormat="1" applyFont="1" applyFill="1" applyBorder="1" applyAlignment="1">
      <alignment horizontal="right" vertical="center"/>
    </xf>
    <xf numFmtId="179" fontId="225" fillId="0" borderId="87" xfId="3654" applyNumberFormat="1" applyFont="1" applyBorder="1" applyAlignment="1">
      <alignment horizontal="right" vertical="center"/>
    </xf>
    <xf numFmtId="0" fontId="20" fillId="0" borderId="79" xfId="3654" applyFont="1" applyBorder="1" applyAlignment="1" applyProtection="1">
      <alignment vertical="center" textRotation="90" wrapText="1"/>
      <protection locked="0"/>
    </xf>
    <xf numFmtId="0" fontId="43" fillId="0" borderId="79" xfId="3654" applyBorder="1" applyAlignment="1" applyProtection="1">
      <alignment horizontal="center" vertical="center" wrapText="1"/>
      <protection locked="0"/>
    </xf>
    <xf numFmtId="280" fontId="223" fillId="0" borderId="79" xfId="3654" applyNumberFormat="1" applyFont="1" applyBorder="1" applyAlignment="1">
      <alignment horizontal="center" vertical="center"/>
    </xf>
    <xf numFmtId="175" fontId="224" fillId="0" borderId="79" xfId="3655" applyNumberFormat="1" applyFont="1" applyFill="1" applyBorder="1" applyAlignment="1">
      <alignment horizontal="right" vertical="center"/>
    </xf>
    <xf numFmtId="175" fontId="225" fillId="0" borderId="79" xfId="3655" applyNumberFormat="1" applyFont="1" applyFill="1" applyBorder="1" applyAlignment="1">
      <alignment horizontal="center" vertical="center"/>
    </xf>
    <xf numFmtId="0" fontId="225" fillId="0" borderId="79" xfId="3654" applyFont="1" applyBorder="1" applyAlignment="1">
      <alignment horizontal="center" vertical="center"/>
    </xf>
    <xf numFmtId="0" fontId="224" fillId="0" borderId="79" xfId="3654" applyFont="1" applyBorder="1" applyAlignment="1">
      <alignment horizontal="center" vertical="center"/>
    </xf>
    <xf numFmtId="43" fontId="225" fillId="0" borderId="79" xfId="3655" applyFont="1" applyFill="1" applyBorder="1" applyAlignment="1">
      <alignment horizontal="right" vertical="center"/>
    </xf>
    <xf numFmtId="178" fontId="225" fillId="0" borderId="79" xfId="3655" applyNumberFormat="1" applyFont="1" applyFill="1" applyBorder="1" applyAlignment="1">
      <alignment horizontal="right" vertical="center"/>
    </xf>
    <xf numFmtId="179" fontId="225" fillId="0" borderId="79" xfId="3654" applyNumberFormat="1" applyFont="1" applyBorder="1" applyAlignment="1">
      <alignment horizontal="right" vertical="center"/>
    </xf>
    <xf numFmtId="0" fontId="48" fillId="3" borderId="58" xfId="3654" applyFont="1" applyFill="1" applyBorder="1" applyAlignment="1">
      <alignment horizontal="center" vertical="center"/>
    </xf>
    <xf numFmtId="0" fontId="48" fillId="3" borderId="58" xfId="3654" applyFont="1" applyFill="1" applyBorder="1" applyAlignment="1">
      <alignment vertical="center"/>
    </xf>
    <xf numFmtId="280" fontId="223" fillId="0" borderId="79" xfId="3654" applyNumberFormat="1" applyFont="1" applyBorder="1" applyAlignment="1">
      <alignment horizontal="left" vertical="center"/>
    </xf>
    <xf numFmtId="179" fontId="224" fillId="0" borderId="79" xfId="3654" applyNumberFormat="1" applyFont="1" applyBorder="1" applyAlignment="1">
      <alignment horizontal="right" vertical="center"/>
    </xf>
    <xf numFmtId="0" fontId="242" fillId="0" borderId="0" xfId="31" applyFont="1"/>
    <xf numFmtId="0" fontId="18" fillId="0" borderId="0" xfId="30" applyFont="1"/>
    <xf numFmtId="0" fontId="48" fillId="0" borderId="1" xfId="30" applyFont="1" applyBorder="1" applyAlignment="1">
      <alignment horizontal="center" vertical="center"/>
    </xf>
    <xf numFmtId="0" fontId="48" fillId="0" borderId="1" xfId="30" applyFont="1" applyBorder="1" applyAlignment="1">
      <alignment horizontal="center" vertical="center" wrapText="1"/>
    </xf>
    <xf numFmtId="43" fontId="48" fillId="0" borderId="1" xfId="33" applyFont="1" applyFill="1" applyBorder="1" applyAlignment="1">
      <alignment horizontal="center" vertical="center" wrapText="1"/>
    </xf>
    <xf numFmtId="43" fontId="48" fillId="0" borderId="95" xfId="33" applyFont="1" applyFill="1" applyBorder="1" applyAlignment="1">
      <alignment horizontal="center" vertical="center" wrapText="1"/>
    </xf>
    <xf numFmtId="43" fontId="0" fillId="0" borderId="0" xfId="0" applyNumberFormat="1" applyFont="1"/>
    <xf numFmtId="2" fontId="43" fillId="0" borderId="1" xfId="8" applyNumberFormat="1" applyFont="1" applyBorder="1" applyAlignment="1">
      <alignment vertical="center" wrapText="1"/>
    </xf>
    <xf numFmtId="2" fontId="43" fillId="0" borderId="1" xfId="33" applyNumberFormat="1" applyFont="1" applyFill="1" applyBorder="1" applyAlignment="1">
      <alignment vertical="center" wrapText="1"/>
    </xf>
    <xf numFmtId="43" fontId="18" fillId="0" borderId="95" xfId="33" applyFont="1" applyFill="1" applyBorder="1" applyAlignment="1">
      <alignment horizontal="center" vertical="center" wrapText="1"/>
    </xf>
    <xf numFmtId="43" fontId="43" fillId="0" borderId="1" xfId="33" applyFont="1" applyFill="1" applyBorder="1" applyAlignment="1">
      <alignment horizontal="center" vertical="center"/>
    </xf>
    <xf numFmtId="43" fontId="242" fillId="0" borderId="0" xfId="31" applyNumberFormat="1" applyFont="1"/>
    <xf numFmtId="0" fontId="18" fillId="0" borderId="0" xfId="30" applyFont="1" applyAlignment="1">
      <alignment horizontal="center" vertical="center"/>
    </xf>
    <xf numFmtId="43" fontId="48" fillId="0" borderId="0" xfId="33" applyFont="1" applyFill="1" applyBorder="1" applyAlignment="1">
      <alignment horizontal="center" vertical="center"/>
    </xf>
    <xf numFmtId="0" fontId="120" fillId="0" borderId="0" xfId="1726" applyFont="1"/>
    <xf numFmtId="43" fontId="120" fillId="0" borderId="0" xfId="33" applyFont="1" applyFill="1"/>
    <xf numFmtId="0" fontId="120" fillId="0" borderId="0" xfId="1726" applyFont="1" applyAlignment="1">
      <alignment horizontal="center"/>
    </xf>
    <xf numFmtId="0" fontId="48" fillId="0" borderId="1" xfId="30" applyFont="1" applyBorder="1" applyAlignment="1">
      <alignment horizontal="left" vertical="center"/>
    </xf>
    <xf numFmtId="43" fontId="120" fillId="0" borderId="0" xfId="1726" applyNumberFormat="1" applyFont="1"/>
    <xf numFmtId="0" fontId="48" fillId="0" borderId="0" xfId="30" quotePrefix="1" applyFont="1" applyAlignment="1">
      <alignment horizontal="center" vertical="center"/>
    </xf>
    <xf numFmtId="0" fontId="48" fillId="0" borderId="0" xfId="30" applyFont="1" applyAlignment="1">
      <alignment horizontal="left" vertical="center"/>
    </xf>
    <xf numFmtId="43" fontId="18" fillId="0" borderId="0" xfId="33" applyFont="1" applyFill="1" applyBorder="1" applyAlignment="1">
      <alignment vertical="center"/>
    </xf>
    <xf numFmtId="43" fontId="48" fillId="0" borderId="0" xfId="33" applyFont="1" applyFill="1" applyBorder="1" applyAlignment="1">
      <alignment vertical="center"/>
    </xf>
    <xf numFmtId="0" fontId="242" fillId="0" borderId="0" xfId="31" applyFont="1" applyAlignment="1">
      <alignment horizontal="center"/>
    </xf>
    <xf numFmtId="0" fontId="48" fillId="0" borderId="0" xfId="30" applyFont="1" applyAlignment="1">
      <alignment vertical="center"/>
    </xf>
    <xf numFmtId="0" fontId="48" fillId="0" borderId="0" xfId="30" applyFont="1" applyAlignment="1">
      <alignment horizontal="center" vertical="center"/>
    </xf>
    <xf numFmtId="43" fontId="19" fillId="0" borderId="1" xfId="33" applyFont="1" applyFill="1" applyBorder="1" applyAlignment="1">
      <alignment vertical="center" wrapText="1"/>
    </xf>
    <xf numFmtId="43" fontId="19" fillId="0" borderId="1" xfId="33" applyFont="1" applyFill="1" applyBorder="1" applyAlignment="1">
      <alignment vertical="center"/>
    </xf>
    <xf numFmtId="43" fontId="18" fillId="0" borderId="1" xfId="33" applyFont="1" applyFill="1" applyBorder="1" applyAlignment="1">
      <alignment horizontal="center" vertical="center" wrapText="1"/>
    </xf>
    <xf numFmtId="43" fontId="46" fillId="0" borderId="1" xfId="48" applyFont="1" applyFill="1" applyBorder="1" applyAlignment="1">
      <alignment horizontal="right" vertical="center" wrapText="1"/>
    </xf>
    <xf numFmtId="0" fontId="242" fillId="0" borderId="0" xfId="31" applyFont="1" applyBorder="1"/>
    <xf numFmtId="0" fontId="2" fillId="4" borderId="0" xfId="3650" applyFill="1"/>
    <xf numFmtId="0" fontId="20" fillId="40" borderId="1" xfId="3654" applyFont="1" applyFill="1" applyBorder="1" applyAlignment="1">
      <alignment horizontal="center" vertical="center" wrapText="1"/>
    </xf>
    <xf numFmtId="0" fontId="20" fillId="40" borderId="1" xfId="3654" applyFont="1" applyFill="1" applyBorder="1" applyAlignment="1">
      <alignment horizontal="center" vertical="center"/>
    </xf>
    <xf numFmtId="0" fontId="20" fillId="41" borderId="1" xfId="6" applyFont="1" applyFill="1" applyBorder="1" applyAlignment="1">
      <alignment vertical="center"/>
    </xf>
    <xf numFmtId="0" fontId="20" fillId="41" borderId="100" xfId="6" applyNumberFormat="1" applyFont="1" applyFill="1" applyBorder="1" applyAlignment="1">
      <alignment horizontal="center" vertical="center" wrapText="1"/>
    </xf>
    <xf numFmtId="0" fontId="20" fillId="3" borderId="2" xfId="6" applyFont="1" applyFill="1" applyBorder="1" applyAlignment="1">
      <alignment vertical="center"/>
    </xf>
    <xf numFmtId="0" fontId="20" fillId="6" borderId="2" xfId="6" applyFont="1" applyFill="1" applyBorder="1" applyAlignment="1">
      <alignment vertical="center"/>
    </xf>
    <xf numFmtId="0" fontId="21" fillId="0" borderId="2" xfId="6" applyFont="1" applyBorder="1" applyAlignment="1">
      <alignment vertical="center"/>
    </xf>
    <xf numFmtId="0" fontId="20" fillId="0" borderId="2" xfId="6" applyFont="1" applyBorder="1" applyAlignment="1">
      <alignment vertical="center"/>
    </xf>
    <xf numFmtId="0" fontId="21" fillId="0" borderId="2" xfId="6" applyFont="1" applyFill="1" applyBorder="1" applyAlignment="1">
      <alignment vertical="center"/>
    </xf>
    <xf numFmtId="0" fontId="26" fillId="0" borderId="2" xfId="6" applyFont="1" applyBorder="1" applyAlignment="1">
      <alignment horizontal="center" vertical="center"/>
    </xf>
    <xf numFmtId="0" fontId="26" fillId="0" borderId="2" xfId="6" applyFont="1" applyBorder="1" applyAlignment="1">
      <alignment horizontal="left" vertical="center" wrapText="1"/>
    </xf>
    <xf numFmtId="4" fontId="26" fillId="0" borderId="2" xfId="6" applyNumberFormat="1" applyFont="1" applyBorder="1" applyAlignment="1">
      <alignment horizontal="center" vertical="center"/>
    </xf>
    <xf numFmtId="290" fontId="26" fillId="0" borderId="2" xfId="6" applyNumberFormat="1" applyFont="1" applyBorder="1" applyAlignment="1">
      <alignment horizontal="center" vertical="center"/>
    </xf>
    <xf numFmtId="43" fontId="26" fillId="0" borderId="2" xfId="19" applyFont="1" applyFill="1" applyBorder="1" applyAlignment="1">
      <alignment horizontal="center" vertical="center" wrapText="1"/>
    </xf>
    <xf numFmtId="175" fontId="26" fillId="0" borderId="2" xfId="19" applyNumberFormat="1" applyFont="1" applyFill="1" applyBorder="1" applyAlignment="1">
      <alignment horizontal="center" vertical="center"/>
    </xf>
    <xf numFmtId="0" fontId="26" fillId="0" borderId="2" xfId="0" applyFont="1" applyBorder="1" applyAlignment="1">
      <alignment horizontal="center" vertical="center" wrapText="1"/>
    </xf>
    <xf numFmtId="4" fontId="26" fillId="0" borderId="2" xfId="6" applyNumberFormat="1" applyFont="1" applyBorder="1" applyAlignment="1">
      <alignment horizontal="center" vertical="center" wrapText="1"/>
    </xf>
    <xf numFmtId="0" fontId="26" fillId="0" borderId="2" xfId="6" applyFont="1" applyBorder="1" applyAlignment="1">
      <alignment vertical="center"/>
    </xf>
    <xf numFmtId="0" fontId="26" fillId="0" borderId="0" xfId="6" applyFont="1" applyAlignment="1">
      <alignment vertical="center"/>
    </xf>
    <xf numFmtId="2" fontId="26" fillId="0" borderId="2" xfId="17" applyNumberFormat="1" applyFont="1" applyFill="1" applyBorder="1" applyAlignment="1">
      <alignment horizontal="center" vertical="center"/>
    </xf>
    <xf numFmtId="0" fontId="18" fillId="0" borderId="2" xfId="0" applyFont="1" applyBorder="1" applyAlignment="1">
      <alignment horizontal="center" vertical="center"/>
    </xf>
    <xf numFmtId="4" fontId="76" fillId="0" borderId="2" xfId="0" applyNumberFormat="1" applyFont="1" applyBorder="1" applyAlignment="1">
      <alignment horizontal="center" vertical="center" wrapText="1"/>
    </xf>
    <xf numFmtId="0" fontId="243" fillId="0" borderId="2" xfId="5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30" fillId="3" borderId="22" xfId="0" applyFont="1" applyFill="1" applyBorder="1"/>
    <xf numFmtId="4" fontId="230" fillId="3" borderId="2" xfId="0" applyNumberFormat="1" applyFont="1" applyFill="1" applyBorder="1" applyAlignment="1">
      <alignment horizontal="center"/>
    </xf>
    <xf numFmtId="4" fontId="229" fillId="0" borderId="2" xfId="19" applyNumberFormat="1" applyFont="1" applyFill="1" applyBorder="1" applyAlignment="1">
      <alignment horizontal="center" vertical="center" wrapText="1"/>
    </xf>
    <xf numFmtId="4" fontId="230" fillId="3" borderId="22" xfId="0" applyNumberFormat="1" applyFont="1" applyFill="1" applyBorder="1" applyAlignment="1">
      <alignment horizontal="center"/>
    </xf>
    <xf numFmtId="4" fontId="244" fillId="0" borderId="2" xfId="19" applyNumberFormat="1" applyFont="1" applyFill="1" applyBorder="1" applyAlignment="1">
      <alignment horizontal="center" vertical="center" wrapText="1"/>
    </xf>
    <xf numFmtId="4" fontId="26" fillId="0" borderId="2" xfId="19" applyNumberFormat="1" applyFont="1" applyFill="1" applyBorder="1" applyAlignment="1">
      <alignment horizontal="center" vertical="center"/>
    </xf>
    <xf numFmtId="178" fontId="28" fillId="3" borderId="1" xfId="19" applyNumberFormat="1" applyFont="1" applyFill="1" applyBorder="1" applyAlignment="1">
      <alignment horizontal="center" vertical="center"/>
    </xf>
    <xf numFmtId="0" fontId="21" fillId="3" borderId="22" xfId="0" applyFont="1" applyFill="1" applyBorder="1" applyAlignment="1">
      <alignment vertical="center"/>
    </xf>
    <xf numFmtId="0" fontId="21" fillId="0" borderId="2" xfId="0" applyFont="1" applyBorder="1" applyAlignment="1">
      <alignment vertical="center"/>
    </xf>
    <xf numFmtId="0" fontId="21" fillId="3" borderId="2" xfId="0" applyFont="1" applyFill="1" applyBorder="1" applyAlignment="1">
      <alignment vertical="center"/>
    </xf>
    <xf numFmtId="0" fontId="20" fillId="0" borderId="2" xfId="0" applyFont="1" applyBorder="1" applyAlignment="1">
      <alignment vertical="center"/>
    </xf>
    <xf numFmtId="0" fontId="26" fillId="0" borderId="2" xfId="0" applyFont="1" applyBorder="1" applyAlignment="1">
      <alignment vertical="center"/>
    </xf>
    <xf numFmtId="0" fontId="246" fillId="0" borderId="2" xfId="50" applyFont="1" applyFill="1" applyBorder="1" applyAlignment="1">
      <alignment vertical="center" wrapText="1"/>
    </xf>
    <xf numFmtId="0" fontId="21" fillId="0" borderId="2" xfId="0" applyFont="1" applyFill="1" applyBorder="1" applyAlignment="1">
      <alignment horizontal="center" vertical="center"/>
    </xf>
    <xf numFmtId="0" fontId="73" fillId="0" borderId="2" xfId="0" applyFont="1" applyFill="1" applyBorder="1" applyAlignment="1">
      <alignment vertical="center" wrapText="1"/>
    </xf>
    <xf numFmtId="0" fontId="73" fillId="0" borderId="2" xfId="0" applyFont="1" applyFill="1" applyBorder="1" applyAlignment="1">
      <alignment horizontal="center" vertical="center" wrapText="1"/>
    </xf>
    <xf numFmtId="4" fontId="73" fillId="0" borderId="2" xfId="0" applyNumberFormat="1" applyFont="1" applyFill="1" applyBorder="1" applyAlignment="1">
      <alignment horizontal="center" vertical="center" wrapText="1"/>
    </xf>
    <xf numFmtId="4" fontId="229" fillId="0" borderId="2" xfId="0" applyNumberFormat="1" applyFont="1" applyFill="1" applyBorder="1" applyAlignment="1">
      <alignment horizontal="center" vertical="center" wrapText="1"/>
    </xf>
    <xf numFmtId="3" fontId="73" fillId="0" borderId="2" xfId="0" applyNumberFormat="1" applyFont="1" applyFill="1" applyBorder="1" applyAlignment="1">
      <alignment horizontal="right" vertical="center" wrapText="1"/>
    </xf>
    <xf numFmtId="0" fontId="21" fillId="0" borderId="25" xfId="0" quotePrefix="1" applyFont="1" applyFill="1" applyBorder="1" applyAlignment="1">
      <alignment horizontal="center" vertical="center"/>
    </xf>
    <xf numFmtId="0" fontId="21" fillId="0" borderId="2" xfId="0" applyFont="1" applyFill="1" applyBorder="1" applyAlignment="1">
      <alignment vertical="center"/>
    </xf>
    <xf numFmtId="2" fontId="26" fillId="0" borderId="2" xfId="6" applyNumberFormat="1" applyFont="1" applyBorder="1" applyAlignment="1">
      <alignment horizontal="center" vertical="center"/>
    </xf>
    <xf numFmtId="0" fontId="21" fillId="3" borderId="2" xfId="6" applyNumberFormat="1" applyFont="1" applyFill="1" applyBorder="1" applyAlignment="1">
      <alignment horizontal="center" vertical="center"/>
    </xf>
    <xf numFmtId="0" fontId="44" fillId="0" borderId="2" xfId="0" applyFont="1" applyFill="1" applyBorder="1" applyAlignment="1">
      <alignment horizontal="center" vertical="center"/>
    </xf>
    <xf numFmtId="0" fontId="21" fillId="0" borderId="2" xfId="0" quotePrefix="1" applyFont="1" applyFill="1" applyBorder="1" applyAlignment="1">
      <alignment horizontal="center" vertical="center"/>
    </xf>
    <xf numFmtId="4" fontId="0" fillId="0" borderId="0" xfId="0" applyNumberFormat="1"/>
    <xf numFmtId="0" fontId="21" fillId="0" borderId="0" xfId="1740" applyFont="1" applyBorder="1" applyAlignment="1">
      <alignment horizontal="left" vertical="center" wrapText="1"/>
    </xf>
    <xf numFmtId="0" fontId="26" fillId="0" borderId="0" xfId="1740" applyFont="1" applyAlignment="1">
      <alignment vertical="center" wrapText="1"/>
    </xf>
    <xf numFmtId="0" fontId="248" fillId="0" borderId="0" xfId="1740" applyFont="1" applyAlignment="1">
      <alignment vertical="center" wrapText="1"/>
    </xf>
    <xf numFmtId="0" fontId="45" fillId="0" borderId="0" xfId="1740" applyFont="1" applyAlignment="1">
      <alignment vertical="center" wrapText="1"/>
    </xf>
    <xf numFmtId="0" fontId="39" fillId="0" borderId="0" xfId="1740" applyFont="1" applyAlignment="1">
      <alignment vertical="center" wrapText="1"/>
    </xf>
    <xf numFmtId="0" fontId="39" fillId="0" borderId="0" xfId="1740" applyFont="1" applyAlignment="1">
      <alignment horizontal="right" vertical="center" wrapText="1"/>
    </xf>
    <xf numFmtId="0" fontId="21" fillId="0" borderId="102" xfId="0" applyFont="1" applyBorder="1" applyAlignment="1">
      <alignment horizontal="center" vertical="center" wrapText="1"/>
    </xf>
    <xf numFmtId="291" fontId="21" fillId="0" borderId="102" xfId="960" applyNumberFormat="1" applyFont="1" applyBorder="1" applyAlignment="1">
      <alignment horizontal="center" vertical="center" wrapText="1" readingOrder="1"/>
    </xf>
    <xf numFmtId="291" fontId="21" fillId="0" borderId="102" xfId="57" applyNumberFormat="1" applyFont="1" applyBorder="1" applyAlignment="1">
      <alignment horizontal="center" vertical="center" wrapText="1"/>
    </xf>
    <xf numFmtId="0" fontId="21" fillId="0" borderId="102" xfId="0" applyFont="1" applyBorder="1" applyAlignment="1">
      <alignment horizontal="left" vertical="center" wrapText="1"/>
    </xf>
    <xf numFmtId="0" fontId="21" fillId="0" borderId="0" xfId="1740" applyFont="1" applyAlignment="1">
      <alignment vertical="center" wrapText="1"/>
    </xf>
    <xf numFmtId="0" fontId="39" fillId="0" borderId="0" xfId="1740" applyFont="1" applyAlignment="1">
      <alignment horizontal="center" vertical="center" wrapText="1"/>
    </xf>
    <xf numFmtId="0" fontId="247" fillId="0" borderId="0" xfId="1740" applyFont="1" applyAlignment="1">
      <alignment vertical="center" wrapText="1"/>
    </xf>
    <xf numFmtId="0" fontId="21" fillId="0" borderId="0" xfId="57" applyFont="1" applyAlignment="1">
      <alignment horizontal="center" vertical="center" wrapText="1"/>
    </xf>
    <xf numFmtId="0" fontId="21" fillId="0" borderId="0" xfId="57" applyFont="1" applyAlignment="1">
      <alignment vertical="center" wrapText="1"/>
    </xf>
    <xf numFmtId="0" fontId="21" fillId="0" borderId="0" xfId="57" applyFont="1" applyAlignment="1">
      <alignment horizontal="right" vertical="center" wrapText="1"/>
    </xf>
    <xf numFmtId="0" fontId="30" fillId="0" borderId="0" xfId="1740" applyFont="1" applyAlignment="1">
      <alignment vertical="center" wrapText="1"/>
    </xf>
    <xf numFmtId="0" fontId="30" fillId="0" borderId="0" xfId="1740" applyFont="1" applyAlignment="1">
      <alignment horizontal="right" vertical="center" wrapText="1"/>
    </xf>
    <xf numFmtId="1" fontId="30" fillId="0" borderId="0" xfId="1740" applyNumberFormat="1" applyFont="1" applyAlignment="1">
      <alignment horizontal="left" vertical="center" wrapText="1"/>
    </xf>
    <xf numFmtId="1" fontId="30" fillId="0" borderId="0" xfId="1740" applyNumberFormat="1" applyFont="1" applyAlignment="1">
      <alignment horizontal="center" vertical="center" wrapText="1"/>
    </xf>
    <xf numFmtId="0" fontId="21" fillId="42" borderId="0" xfId="1740" applyFont="1" applyFill="1" applyAlignment="1">
      <alignment vertical="center" wrapText="1"/>
    </xf>
    <xf numFmtId="0" fontId="21" fillId="3" borderId="0" xfId="1740" applyFont="1" applyFill="1" applyAlignment="1">
      <alignment vertical="center" wrapText="1"/>
    </xf>
    <xf numFmtId="0" fontId="21" fillId="0" borderId="102" xfId="57" applyFont="1" applyBorder="1" applyAlignment="1">
      <alignment horizontal="center" vertical="center" wrapText="1"/>
    </xf>
    <xf numFmtId="2" fontId="21" fillId="0" borderId="102" xfId="0" applyNumberFormat="1" applyFont="1" applyBorder="1" applyAlignment="1">
      <alignment horizontal="center" vertical="center" wrapText="1"/>
    </xf>
    <xf numFmtId="2" fontId="21" fillId="2" borderId="102" xfId="0" applyNumberFormat="1" applyFont="1" applyFill="1" applyBorder="1" applyAlignment="1">
      <alignment horizontal="center" vertical="center" wrapText="1"/>
    </xf>
    <xf numFmtId="0" fontId="21" fillId="2" borderId="102" xfId="0" applyFont="1" applyFill="1" applyBorder="1" applyAlignment="1">
      <alignment horizontal="left" vertical="center" wrapText="1"/>
    </xf>
    <xf numFmtId="0" fontId="21" fillId="2" borderId="102" xfId="0" applyFont="1" applyFill="1" applyBorder="1" applyAlignment="1">
      <alignment horizontal="center" vertical="center" wrapText="1"/>
    </xf>
    <xf numFmtId="0" fontId="30" fillId="0" borderId="0" xfId="1740" applyFont="1" applyBorder="1" applyAlignment="1">
      <alignment vertical="center" wrapText="1"/>
    </xf>
    <xf numFmtId="0" fontId="21" fillId="0" borderId="0" xfId="1740" applyFont="1" applyAlignment="1">
      <alignment horizontal="right" vertical="center" wrapText="1"/>
    </xf>
    <xf numFmtId="4" fontId="21" fillId="0" borderId="102" xfId="1736" applyNumberFormat="1" applyFont="1" applyFill="1" applyBorder="1" applyAlignment="1">
      <alignment horizontal="left" vertical="center" wrapText="1"/>
    </xf>
    <xf numFmtId="0" fontId="21" fillId="0" borderId="102" xfId="2" applyFont="1" applyBorder="1" applyAlignment="1">
      <alignment horizontal="left" vertical="center" wrapText="1" readingOrder="1"/>
    </xf>
    <xf numFmtId="0" fontId="21" fillId="0" borderId="102" xfId="57" applyFont="1" applyBorder="1" applyAlignment="1">
      <alignment horizontal="left" vertical="center" wrapText="1"/>
    </xf>
    <xf numFmtId="0" fontId="20" fillId="3" borderId="102" xfId="57" applyFont="1" applyFill="1" applyBorder="1" applyAlignment="1">
      <alignment horizontal="center" vertical="center" wrapText="1"/>
    </xf>
    <xf numFmtId="0" fontId="20" fillId="3" borderId="102" xfId="57" applyFont="1" applyFill="1" applyBorder="1" applyAlignment="1">
      <alignment horizontal="left" vertical="center" wrapText="1"/>
    </xf>
    <xf numFmtId="0" fontId="20" fillId="3" borderId="102" xfId="57" applyFont="1" applyFill="1" applyBorder="1" applyAlignment="1">
      <alignment horizontal="right" vertical="center" wrapText="1"/>
    </xf>
    <xf numFmtId="0" fontId="21" fillId="0" borderId="102" xfId="1740" applyFont="1" applyFill="1" applyBorder="1" applyAlignment="1">
      <alignment horizontal="center" vertical="center" wrapText="1"/>
    </xf>
    <xf numFmtId="0" fontId="21" fillId="0" borderId="102" xfId="1740" applyFont="1" applyFill="1" applyBorder="1" applyAlignment="1">
      <alignment horizontal="left" vertical="center" wrapText="1"/>
    </xf>
    <xf numFmtId="0" fontId="21" fillId="0" borderId="102" xfId="1740" applyFont="1" applyFill="1" applyBorder="1" applyAlignment="1">
      <alignment horizontal="right" vertical="center" wrapText="1"/>
    </xf>
    <xf numFmtId="0" fontId="21" fillId="0" borderId="102" xfId="1740" applyFont="1" applyBorder="1" applyAlignment="1">
      <alignment horizontal="center" vertical="center" wrapText="1"/>
    </xf>
    <xf numFmtId="0" fontId="245" fillId="0" borderId="102" xfId="1740" applyFont="1" applyFill="1" applyBorder="1" applyAlignment="1">
      <alignment vertical="center" wrapText="1"/>
    </xf>
    <xf numFmtId="175" fontId="21" fillId="0" borderId="102" xfId="735" applyNumberFormat="1" applyFont="1" applyFill="1" applyBorder="1" applyAlignment="1">
      <alignment horizontal="right" vertical="center" wrapText="1"/>
    </xf>
    <xf numFmtId="0" fontId="21" fillId="0" borderId="102" xfId="1740" quotePrefix="1" applyFont="1" applyFill="1" applyBorder="1" applyAlignment="1">
      <alignment horizontal="left" vertical="center" wrapText="1"/>
    </xf>
    <xf numFmtId="0" fontId="21" fillId="2" borderId="102" xfId="1740" applyFont="1" applyFill="1" applyBorder="1" applyAlignment="1">
      <alignment horizontal="center" vertical="center" wrapText="1"/>
    </xf>
    <xf numFmtId="0" fontId="21" fillId="2" borderId="102" xfId="1740" applyFont="1" applyFill="1" applyBorder="1" applyAlignment="1">
      <alignment horizontal="right" vertical="center" wrapText="1"/>
    </xf>
    <xf numFmtId="2" fontId="21" fillId="0" borderId="102" xfId="1740" applyNumberFormat="1" applyFont="1" applyFill="1" applyBorder="1" applyAlignment="1">
      <alignment horizontal="right" vertical="center" wrapText="1"/>
    </xf>
    <xf numFmtId="175" fontId="21" fillId="0" borderId="102" xfId="735" applyNumberFormat="1" applyFont="1" applyFill="1" applyBorder="1" applyAlignment="1">
      <alignment horizontal="center" vertical="center" wrapText="1"/>
    </xf>
    <xf numFmtId="0" fontId="21" fillId="0" borderId="102" xfId="6" applyNumberFormat="1" applyFont="1" applyFill="1" applyBorder="1" applyAlignment="1">
      <alignment horizontal="left" vertical="center" wrapText="1"/>
    </xf>
    <xf numFmtId="3" fontId="21" fillId="0" borderId="102" xfId="1740" applyNumberFormat="1" applyFont="1" applyFill="1" applyBorder="1" applyAlignment="1">
      <alignment horizontal="center" vertical="center" wrapText="1"/>
    </xf>
    <xf numFmtId="0" fontId="20" fillId="42" borderId="102" xfId="57" applyFont="1" applyFill="1" applyBorder="1" applyAlignment="1">
      <alignment horizontal="center" vertical="center" wrapText="1"/>
    </xf>
    <xf numFmtId="0" fontId="20" fillId="42" borderId="102" xfId="57" applyFont="1" applyFill="1" applyBorder="1" applyAlignment="1">
      <alignment horizontal="left" vertical="center" wrapText="1"/>
    </xf>
    <xf numFmtId="0" fontId="20" fillId="42" borderId="102" xfId="57" applyFont="1" applyFill="1" applyBorder="1" applyAlignment="1">
      <alignment horizontal="right" vertical="center" wrapText="1"/>
    </xf>
    <xf numFmtId="0" fontId="90" fillId="0" borderId="102" xfId="2" applyFont="1" applyBorder="1" applyAlignment="1">
      <alignment vertical="center" wrapText="1" readingOrder="1"/>
    </xf>
    <xf numFmtId="291" fontId="90" fillId="0" borderId="102" xfId="960" applyNumberFormat="1" applyFont="1" applyBorder="1" applyAlignment="1">
      <alignment horizontal="center" vertical="center" wrapText="1" readingOrder="1"/>
    </xf>
    <xf numFmtId="0" fontId="90" fillId="0" borderId="102" xfId="960" applyFont="1" applyBorder="1" applyAlignment="1">
      <alignment vertical="center" wrapText="1" readingOrder="1"/>
    </xf>
    <xf numFmtId="0" fontId="21" fillId="0" borderId="102" xfId="6" applyFont="1" applyBorder="1" applyAlignment="1">
      <alignment horizontal="left" vertical="center" wrapText="1"/>
    </xf>
    <xf numFmtId="291" fontId="21" fillId="0" borderId="102" xfId="0" applyNumberFormat="1" applyFont="1" applyBorder="1" applyAlignment="1">
      <alignment horizontal="center" vertical="center" wrapText="1"/>
    </xf>
    <xf numFmtId="0" fontId="21" fillId="0" borderId="102" xfId="2" applyFont="1" applyBorder="1" applyAlignment="1">
      <alignment vertical="center" wrapText="1" readingOrder="1"/>
    </xf>
    <xf numFmtId="2" fontId="21" fillId="0" borderId="102" xfId="0" applyNumberFormat="1" applyFont="1" applyBorder="1" applyAlignment="1">
      <alignment horizontal="left" vertical="center" wrapText="1"/>
    </xf>
    <xf numFmtId="3" fontId="21" fillId="0" borderId="102" xfId="0" applyNumberFormat="1" applyFont="1" applyBorder="1" applyAlignment="1">
      <alignment horizontal="center" vertical="center" wrapText="1"/>
    </xf>
    <xf numFmtId="4" fontId="21" fillId="0" borderId="102" xfId="1745" applyNumberFormat="1" applyFont="1" applyFill="1" applyBorder="1" applyAlignment="1">
      <alignment horizontal="center" vertical="center" wrapText="1"/>
    </xf>
    <xf numFmtId="0" fontId="21" fillId="0" borderId="102" xfId="0" applyFont="1" applyBorder="1" applyAlignment="1">
      <alignment vertical="center" wrapText="1"/>
    </xf>
    <xf numFmtId="0" fontId="90" fillId="0" borderId="102" xfId="0" applyFont="1" applyBorder="1" applyAlignment="1">
      <alignment horizontal="center" vertical="center" wrapText="1"/>
    </xf>
    <xf numFmtId="0" fontId="20" fillId="0" borderId="102" xfId="57" applyFont="1" applyBorder="1" applyAlignment="1">
      <alignment horizontal="center" vertical="center" wrapText="1"/>
    </xf>
    <xf numFmtId="4" fontId="21" fillId="0" borderId="102" xfId="960" applyNumberFormat="1" applyFont="1" applyBorder="1" applyAlignment="1">
      <alignment horizontal="center" vertical="center" wrapText="1" readingOrder="1"/>
    </xf>
    <xf numFmtId="292" fontId="90" fillId="0" borderId="102" xfId="960" applyNumberFormat="1" applyFont="1" applyBorder="1" applyAlignment="1">
      <alignment horizontal="center" vertical="center" wrapText="1" readingOrder="1"/>
    </xf>
    <xf numFmtId="0" fontId="21" fillId="0" borderId="102" xfId="2" applyFont="1" applyBorder="1" applyAlignment="1">
      <alignment horizontal="center" vertical="center" wrapText="1" readingOrder="1"/>
    </xf>
    <xf numFmtId="0" fontId="20" fillId="42" borderId="101" xfId="57" applyFont="1" applyFill="1" applyBorder="1" applyAlignment="1">
      <alignment horizontal="center" vertical="center" wrapText="1"/>
    </xf>
    <xf numFmtId="0" fontId="20" fillId="42" borderId="101" xfId="57" applyFont="1" applyFill="1" applyBorder="1" applyAlignment="1">
      <alignment horizontal="left" vertical="center" wrapText="1"/>
    </xf>
    <xf numFmtId="0" fontId="20" fillId="42" borderId="101" xfId="57" applyFont="1" applyFill="1" applyBorder="1" applyAlignment="1">
      <alignment horizontal="right" vertical="center" wrapText="1"/>
    </xf>
    <xf numFmtId="0" fontId="21" fillId="0" borderId="104" xfId="57" applyFont="1" applyBorder="1" applyAlignment="1">
      <alignment horizontal="center" vertical="center" wrapText="1"/>
    </xf>
    <xf numFmtId="0" fontId="21" fillId="2" borderId="104" xfId="0" applyFont="1" applyFill="1" applyBorder="1" applyAlignment="1">
      <alignment horizontal="left" vertical="center" wrapText="1"/>
    </xf>
    <xf numFmtId="0" fontId="21" fillId="2" borderId="104" xfId="0" applyFont="1" applyFill="1" applyBorder="1" applyAlignment="1">
      <alignment horizontal="center" vertical="center" wrapText="1"/>
    </xf>
    <xf numFmtId="0" fontId="21" fillId="0" borderId="104" xfId="0" applyFont="1" applyBorder="1" applyAlignment="1">
      <alignment horizontal="center" vertical="center" wrapText="1"/>
    </xf>
    <xf numFmtId="0" fontId="20" fillId="42" borderId="105" xfId="57" applyFont="1" applyFill="1" applyBorder="1" applyAlignment="1">
      <alignment horizontal="center" vertical="center" wrapText="1"/>
    </xf>
    <xf numFmtId="0" fontId="20" fillId="3" borderId="103" xfId="57" applyFont="1" applyFill="1" applyBorder="1" applyAlignment="1">
      <alignment horizontal="center" vertical="center" wrapText="1"/>
    </xf>
    <xf numFmtId="0" fontId="21" fillId="0" borderId="103" xfId="1740" applyFont="1" applyFill="1" applyBorder="1" applyAlignment="1">
      <alignment horizontal="center" vertical="center" wrapText="1"/>
    </xf>
    <xf numFmtId="0" fontId="21" fillId="0" borderId="103" xfId="57" applyFont="1" applyFill="1" applyBorder="1" applyAlignment="1">
      <alignment vertical="center" wrapText="1"/>
    </xf>
    <xf numFmtId="0" fontId="21" fillId="0" borderId="103" xfId="57" applyFont="1" applyBorder="1" applyAlignment="1">
      <alignment vertical="center" wrapText="1"/>
    </xf>
    <xf numFmtId="0" fontId="20" fillId="42" borderId="103" xfId="57" applyFont="1" applyFill="1" applyBorder="1" applyAlignment="1">
      <alignment horizontal="center" vertical="center" wrapText="1"/>
    </xf>
    <xf numFmtId="0" fontId="21" fillId="0" borderId="103" xfId="57" applyFont="1" applyBorder="1" applyAlignment="1">
      <alignment horizontal="center" vertical="center" wrapText="1"/>
    </xf>
    <xf numFmtId="0" fontId="53" fillId="0" borderId="103" xfId="57" applyFont="1" applyBorder="1" applyAlignment="1">
      <alignment vertical="center" wrapText="1"/>
    </xf>
    <xf numFmtId="0" fontId="21" fillId="0" borderId="103" xfId="0" applyFont="1" applyBorder="1" applyAlignment="1">
      <alignment horizontal="center" vertical="center" wrapText="1"/>
    </xf>
    <xf numFmtId="0" fontId="90" fillId="0" borderId="103" xfId="0" applyFont="1" applyBorder="1" applyAlignment="1">
      <alignment horizontal="center" vertical="center" wrapText="1"/>
    </xf>
    <xf numFmtId="0" fontId="20" fillId="0" borderId="103" xfId="57" applyFont="1" applyBorder="1" applyAlignment="1">
      <alignment vertical="center" wrapText="1"/>
    </xf>
    <xf numFmtId="0" fontId="20" fillId="0" borderId="106" xfId="57" applyFont="1" applyBorder="1" applyAlignment="1">
      <alignment vertical="center" wrapText="1"/>
    </xf>
    <xf numFmtId="0" fontId="21" fillId="0" borderId="1" xfId="1740" applyFont="1" applyBorder="1" applyAlignment="1">
      <alignment vertical="center" wrapText="1"/>
    </xf>
    <xf numFmtId="0" fontId="21" fillId="0" borderId="0" xfId="1740" applyFont="1" applyBorder="1" applyAlignment="1">
      <alignment vertical="center" wrapText="1"/>
    </xf>
    <xf numFmtId="0" fontId="26" fillId="0" borderId="102" xfId="6" applyFont="1" applyBorder="1" applyAlignment="1">
      <alignment horizontal="center" vertical="center"/>
    </xf>
    <xf numFmtId="0" fontId="26" fillId="0" borderId="102" xfId="6" applyFont="1" applyBorder="1" applyAlignment="1">
      <alignment horizontal="left" vertical="center" wrapText="1"/>
    </xf>
    <xf numFmtId="4" fontId="26" fillId="0" borderId="102" xfId="6" applyNumberFormat="1" applyFont="1" applyBorder="1" applyAlignment="1">
      <alignment horizontal="center" vertical="center"/>
    </xf>
    <xf numFmtId="290" fontId="26" fillId="0" borderId="102" xfId="6" applyNumberFormat="1" applyFont="1" applyBorder="1" applyAlignment="1">
      <alignment horizontal="center" vertical="center"/>
    </xf>
    <xf numFmtId="43" fontId="26" fillId="0" borderId="102" xfId="19" applyFont="1" applyFill="1" applyBorder="1" applyAlignment="1">
      <alignment horizontal="center" vertical="center" wrapText="1"/>
    </xf>
    <xf numFmtId="175" fontId="26" fillId="0" borderId="102" xfId="19" applyNumberFormat="1" applyFont="1" applyFill="1" applyBorder="1" applyAlignment="1">
      <alignment horizontal="center" vertical="center"/>
    </xf>
    <xf numFmtId="0" fontId="26" fillId="0" borderId="102" xfId="0" applyFont="1" applyBorder="1" applyAlignment="1">
      <alignment horizontal="center" vertical="center" wrapText="1"/>
    </xf>
    <xf numFmtId="4" fontId="26" fillId="0" borderId="102" xfId="6" applyNumberFormat="1" applyFont="1" applyBorder="1" applyAlignment="1">
      <alignment horizontal="center" vertical="center" wrapText="1"/>
    </xf>
    <xf numFmtId="0" fontId="26" fillId="0" borderId="102" xfId="6" applyFont="1" applyBorder="1" applyAlignment="1">
      <alignment vertical="center"/>
    </xf>
    <xf numFmtId="0" fontId="26" fillId="3" borderId="0" xfId="1740" applyFont="1" applyFill="1" applyAlignment="1">
      <alignment vertical="center" wrapText="1"/>
    </xf>
    <xf numFmtId="0" fontId="26" fillId="0" borderId="0" xfId="0" applyFont="1" applyAlignment="1">
      <alignment vertical="center" wrapText="1"/>
    </xf>
    <xf numFmtId="0" fontId="21" fillId="0" borderId="0" xfId="0" applyFont="1" applyAlignment="1">
      <alignment vertical="center" wrapText="1"/>
    </xf>
    <xf numFmtId="0" fontId="26" fillId="0" borderId="0" xfId="0" applyFont="1" applyFill="1" applyAlignment="1">
      <alignment vertical="center" wrapText="1"/>
    </xf>
    <xf numFmtId="2" fontId="26" fillId="0" borderId="2" xfId="0" applyNumberFormat="1" applyFont="1" applyFill="1" applyBorder="1" applyAlignment="1">
      <alignment horizontal="center" vertical="center"/>
    </xf>
    <xf numFmtId="2" fontId="21" fillId="6" borderId="2" xfId="6" applyNumberFormat="1" applyFont="1" applyFill="1" applyBorder="1" applyAlignment="1">
      <alignment horizontal="center" vertical="center"/>
    </xf>
    <xf numFmtId="2" fontId="21" fillId="0" borderId="2" xfId="6" applyNumberFormat="1" applyFont="1" applyBorder="1" applyAlignment="1">
      <alignment horizontal="center" vertical="center"/>
    </xf>
    <xf numFmtId="2" fontId="26" fillId="0" borderId="2" xfId="6" applyNumberFormat="1" applyFont="1" applyFill="1" applyBorder="1" applyAlignment="1">
      <alignment horizontal="center" vertical="center"/>
    </xf>
    <xf numFmtId="2" fontId="26" fillId="0" borderId="102" xfId="6" applyNumberFormat="1" applyFont="1" applyBorder="1" applyAlignment="1">
      <alignment horizontal="center" vertical="center"/>
    </xf>
    <xf numFmtId="0" fontId="21" fillId="0" borderId="2" xfId="6" applyFont="1" applyBorder="1" applyAlignment="1">
      <alignment vertical="center" wrapText="1"/>
    </xf>
    <xf numFmtId="0" fontId="21" fillId="0" borderId="0" xfId="4" applyFont="1" applyAlignment="1">
      <alignment vertical="center"/>
    </xf>
    <xf numFmtId="0" fontId="21" fillId="0" borderId="0" xfId="5" applyFont="1" applyAlignment="1">
      <alignment vertical="center"/>
    </xf>
    <xf numFmtId="0" fontId="21" fillId="3" borderId="0" xfId="8" applyFont="1" applyFill="1" applyAlignment="1">
      <alignment vertical="center"/>
    </xf>
    <xf numFmtId="0" fontId="21" fillId="0" borderId="0" xfId="8" applyFont="1" applyFill="1" applyAlignment="1">
      <alignment vertical="center"/>
    </xf>
    <xf numFmtId="0" fontId="21" fillId="0" borderId="0" xfId="8" applyFont="1" applyAlignment="1">
      <alignment vertical="center"/>
    </xf>
    <xf numFmtId="0" fontId="34" fillId="0" borderId="0" xfId="1740" applyFont="1" applyAlignment="1">
      <alignment horizontal="center" vertical="center" wrapText="1"/>
    </xf>
    <xf numFmtId="0" fontId="30" fillId="0" borderId="0" xfId="1740" applyFont="1" applyAlignment="1">
      <alignment horizontal="center" vertical="center" wrapText="1"/>
    </xf>
    <xf numFmtId="0" fontId="45" fillId="0" borderId="0" xfId="1740" applyFont="1" applyAlignment="1">
      <alignment horizontal="right" vertical="center" wrapText="1"/>
    </xf>
    <xf numFmtId="0" fontId="21" fillId="0" borderId="102" xfId="1740" applyFont="1" applyFill="1" applyBorder="1" applyAlignment="1">
      <alignment vertical="center" wrapText="1"/>
    </xf>
    <xf numFmtId="293" fontId="21" fillId="0" borderId="102" xfId="1740" applyNumberFormat="1" applyFont="1" applyFill="1" applyBorder="1" applyAlignment="1">
      <alignment horizontal="right" vertical="center" wrapText="1"/>
    </xf>
    <xf numFmtId="0" fontId="21" fillId="0" borderId="0" xfId="1740" applyFont="1" applyFill="1" applyAlignment="1">
      <alignment vertical="center" wrapText="1"/>
    </xf>
    <xf numFmtId="175" fontId="34" fillId="4" borderId="1" xfId="19" applyNumberFormat="1" applyFont="1" applyFill="1" applyBorder="1" applyAlignment="1">
      <alignment horizontal="center" vertical="center"/>
    </xf>
    <xf numFmtId="43" fontId="20" fillId="4" borderId="1" xfId="19" applyFont="1" applyFill="1" applyBorder="1" applyAlignment="1">
      <alignment horizontal="center" vertical="center" wrapText="1"/>
    </xf>
    <xf numFmtId="0" fontId="21" fillId="0" borderId="0" xfId="1740" applyFont="1" applyBorder="1" applyAlignment="1">
      <alignment horizontal="center" vertical="center" wrapText="1"/>
    </xf>
    <xf numFmtId="0" fontId="28" fillId="0" borderId="0" xfId="1740" applyFont="1" applyBorder="1" applyAlignment="1">
      <alignment horizontal="center" vertical="center" wrapText="1"/>
    </xf>
    <xf numFmtId="0" fontId="20" fillId="8" borderId="0" xfId="1740" applyNumberFormat="1" applyFont="1" applyFill="1" applyBorder="1" applyAlignment="1">
      <alignment horizontal="center" vertical="center" wrapText="1"/>
    </xf>
    <xf numFmtId="0" fontId="20" fillId="0" borderId="0" xfId="0" applyFont="1" applyAlignment="1">
      <alignment vertical="center" wrapText="1"/>
    </xf>
    <xf numFmtId="0" fontId="21" fillId="3" borderId="0" xfId="8" applyNumberFormat="1" applyFont="1" applyFill="1" applyAlignment="1">
      <alignment horizontal="center" vertical="center"/>
    </xf>
    <xf numFmtId="0" fontId="21" fillId="0" borderId="0" xfId="8" applyNumberFormat="1" applyFont="1" applyFill="1" applyAlignment="1">
      <alignment horizontal="center" vertical="center"/>
    </xf>
    <xf numFmtId="0" fontId="36" fillId="0" borderId="0" xfId="21" applyFont="1" applyAlignment="1">
      <alignment horizontal="left" vertical="center"/>
    </xf>
    <xf numFmtId="0" fontId="34" fillId="0" borderId="0" xfId="21" applyFont="1" applyAlignment="1">
      <alignment horizontal="center" vertical="center" wrapText="1"/>
    </xf>
    <xf numFmtId="290" fontId="34" fillId="0" borderId="0" xfId="21" applyNumberFormat="1" applyFont="1" applyAlignment="1">
      <alignment horizontal="center" vertical="center" wrapText="1"/>
    </xf>
    <xf numFmtId="43" fontId="34" fillId="0" borderId="0" xfId="19" applyFont="1" applyFill="1" applyBorder="1" applyAlignment="1">
      <alignment horizontal="center" vertical="center" wrapText="1"/>
    </xf>
    <xf numFmtId="175" fontId="34" fillId="0" borderId="0" xfId="19" applyNumberFormat="1" applyFont="1" applyFill="1" applyBorder="1" applyAlignment="1">
      <alignment horizontal="center" vertical="center" wrapText="1"/>
    </xf>
    <xf numFmtId="175" fontId="30" fillId="0" borderId="0" xfId="19" applyNumberFormat="1" applyFont="1" applyFill="1" applyAlignment="1">
      <alignment vertical="center"/>
    </xf>
    <xf numFmtId="0" fontId="21" fillId="0" borderId="0" xfId="8" applyNumberFormat="1" applyFont="1" applyAlignment="1">
      <alignment horizontal="center" vertical="center"/>
    </xf>
    <xf numFmtId="0" fontId="20" fillId="0" borderId="0" xfId="8" applyFont="1" applyAlignment="1">
      <alignment horizontal="center" vertical="center"/>
    </xf>
    <xf numFmtId="0" fontId="21" fillId="0" borderId="0" xfId="8" applyFont="1" applyAlignment="1">
      <alignment horizontal="left" vertical="center" wrapText="1"/>
    </xf>
    <xf numFmtId="290" fontId="21" fillId="0" borderId="0" xfId="8" applyNumberFormat="1" applyFont="1" applyAlignment="1">
      <alignment horizontal="center" vertical="center"/>
    </xf>
    <xf numFmtId="43" fontId="20" fillId="0" borderId="0" xfId="19" applyFont="1" applyFill="1" applyAlignment="1">
      <alignment horizontal="center" vertical="center"/>
    </xf>
    <xf numFmtId="0" fontId="21" fillId="0" borderId="0" xfId="8" applyFont="1" applyAlignment="1">
      <alignment vertical="center" wrapText="1"/>
    </xf>
    <xf numFmtId="176" fontId="26" fillId="0" borderId="0" xfId="8" applyNumberFormat="1" applyFont="1" applyAlignment="1">
      <alignment horizontal="center" vertical="center" wrapText="1"/>
    </xf>
    <xf numFmtId="0" fontId="21" fillId="0" borderId="2" xfId="6" applyFont="1" applyBorder="1" applyAlignment="1">
      <alignment horizontal="center" vertical="center" wrapText="1"/>
    </xf>
    <xf numFmtId="0" fontId="21" fillId="2" borderId="2" xfId="6" applyFont="1" applyFill="1" applyBorder="1" applyAlignment="1">
      <alignment horizontal="center" vertical="center"/>
    </xf>
    <xf numFmtId="0" fontId="21" fillId="3" borderId="0" xfId="8" applyFont="1" applyFill="1" applyAlignment="1">
      <alignment horizontal="center" vertical="center"/>
    </xf>
    <xf numFmtId="0" fontId="21" fillId="0" borderId="0" xfId="8" applyFont="1" applyFill="1" applyAlignment="1">
      <alignment horizontal="center" vertical="center"/>
    </xf>
    <xf numFmtId="0" fontId="21" fillId="0" borderId="102" xfId="6" applyFont="1" applyBorder="1" applyAlignment="1">
      <alignment vertical="center"/>
    </xf>
    <xf numFmtId="0" fontId="21" fillId="0" borderId="2" xfId="6" applyFont="1" applyFill="1" applyBorder="1" applyAlignment="1">
      <alignment vertical="center" wrapText="1"/>
    </xf>
    <xf numFmtId="4" fontId="21" fillId="0" borderId="102" xfId="960" applyNumberFormat="1" applyFont="1" applyFill="1" applyBorder="1" applyAlignment="1">
      <alignment horizontal="center" vertical="center" wrapText="1" readingOrder="1"/>
    </xf>
    <xf numFmtId="291" fontId="21" fillId="0" borderId="102" xfId="960" applyNumberFormat="1" applyFont="1" applyFill="1" applyBorder="1" applyAlignment="1">
      <alignment horizontal="center" vertical="center" wrapText="1" readingOrder="1"/>
    </xf>
    <xf numFmtId="0" fontId="21" fillId="0" borderId="102" xfId="0" applyFont="1" applyFill="1" applyBorder="1" applyAlignment="1">
      <alignment horizontal="center" vertical="center" wrapText="1"/>
    </xf>
    <xf numFmtId="0" fontId="90" fillId="0" borderId="102" xfId="960" applyFont="1" applyFill="1" applyBorder="1" applyAlignment="1">
      <alignment vertical="center" wrapText="1" readingOrder="1"/>
    </xf>
    <xf numFmtId="291" fontId="90" fillId="0" borderId="102" xfId="960" applyNumberFormat="1" applyFont="1" applyFill="1" applyBorder="1" applyAlignment="1">
      <alignment horizontal="center" vertical="center" wrapText="1" readingOrder="1"/>
    </xf>
    <xf numFmtId="0" fontId="21" fillId="0" borderId="0" xfId="0" applyFont="1" applyFill="1" applyAlignment="1">
      <alignment vertical="center" wrapText="1"/>
    </xf>
    <xf numFmtId="0" fontId="21" fillId="0" borderId="102" xfId="0" applyFont="1" applyFill="1" applyBorder="1" applyAlignment="1">
      <alignment vertical="center" wrapText="1"/>
    </xf>
    <xf numFmtId="0" fontId="26" fillId="0" borderId="0" xfId="1740" applyFont="1" applyFill="1" applyAlignment="1">
      <alignment vertical="center" wrapText="1"/>
    </xf>
    <xf numFmtId="174" fontId="21" fillId="0" borderId="102" xfId="1740" applyNumberFormat="1" applyFont="1" applyFill="1" applyBorder="1" applyAlignment="1">
      <alignment horizontal="center" vertical="center" wrapText="1"/>
    </xf>
    <xf numFmtId="0" fontId="21" fillId="0" borderId="1" xfId="1740" applyFont="1" applyFill="1" applyBorder="1" applyAlignment="1">
      <alignment vertical="center" wrapText="1"/>
    </xf>
    <xf numFmtId="43" fontId="21" fillId="0" borderId="102" xfId="735" applyNumberFormat="1" applyFont="1" applyFill="1" applyBorder="1" applyAlignment="1">
      <alignment horizontal="right" vertical="center" wrapText="1"/>
    </xf>
    <xf numFmtId="0" fontId="28" fillId="3" borderId="102" xfId="57" applyFont="1" applyFill="1" applyBorder="1" applyAlignment="1">
      <alignment horizontal="left" vertical="center" wrapText="1"/>
    </xf>
    <xf numFmtId="0" fontId="21" fillId="0" borderId="102" xfId="57" applyFont="1" applyFill="1" applyBorder="1" applyAlignment="1">
      <alignment horizontal="center" vertical="center" wrapText="1"/>
    </xf>
    <xf numFmtId="0" fontId="21" fillId="0" borderId="102" xfId="2" applyFont="1" applyFill="1" applyBorder="1" applyAlignment="1">
      <alignment vertical="center" wrapText="1" readingOrder="1"/>
    </xf>
    <xf numFmtId="0" fontId="90" fillId="0" borderId="103" xfId="0" applyFont="1" applyFill="1" applyBorder="1" applyAlignment="1">
      <alignment horizontal="center" vertical="center" wrapText="1"/>
    </xf>
    <xf numFmtId="0" fontId="21" fillId="0" borderId="102" xfId="2" applyFont="1" applyFill="1" applyBorder="1" applyAlignment="1">
      <alignment horizontal="left" vertical="center" wrapText="1" readingOrder="1"/>
    </xf>
    <xf numFmtId="0" fontId="20" fillId="0" borderId="0" xfId="0" applyFont="1" applyFill="1" applyAlignment="1">
      <alignment vertical="center" wrapText="1"/>
    </xf>
    <xf numFmtId="0" fontId="21" fillId="0" borderId="102" xfId="57" applyFont="1" applyFill="1" applyBorder="1" applyAlignment="1">
      <alignment horizontal="left" vertical="center" wrapText="1"/>
    </xf>
    <xf numFmtId="291" fontId="21" fillId="0" borderId="102" xfId="57" applyNumberFormat="1" applyFont="1" applyFill="1" applyBorder="1" applyAlignment="1">
      <alignment horizontal="center" vertical="center" wrapText="1"/>
    </xf>
    <xf numFmtId="3" fontId="21" fillId="0" borderId="102" xfId="3011" applyNumberFormat="1" applyFont="1" applyFill="1" applyBorder="1" applyAlignment="1">
      <alignment vertical="center" wrapText="1"/>
    </xf>
    <xf numFmtId="3" fontId="21" fillId="0" borderId="102" xfId="3011" applyNumberFormat="1" applyFont="1" applyFill="1" applyBorder="1" applyAlignment="1">
      <alignment horizontal="center" vertical="center" wrapText="1"/>
    </xf>
    <xf numFmtId="3" fontId="21" fillId="0" borderId="102" xfId="1745" applyNumberFormat="1" applyFont="1" applyFill="1" applyBorder="1" applyAlignment="1">
      <alignment horizontal="center" vertical="center" wrapText="1"/>
    </xf>
    <xf numFmtId="0" fontId="21" fillId="0" borderId="103" xfId="0" applyFont="1" applyFill="1" applyBorder="1" applyAlignment="1">
      <alignment horizontal="center" vertical="center" wrapText="1"/>
    </xf>
    <xf numFmtId="0" fontId="19" fillId="3" borderId="0" xfId="1740" applyFont="1" applyFill="1" applyAlignment="1">
      <alignment vertical="center"/>
    </xf>
    <xf numFmtId="0" fontId="21" fillId="3" borderId="0" xfId="1740" applyFont="1" applyFill="1" applyAlignment="1">
      <alignment horizontal="right" vertical="center" wrapText="1"/>
    </xf>
    <xf numFmtId="0" fontId="28" fillId="0" borderId="0" xfId="1740" applyFont="1" applyAlignment="1">
      <alignment vertical="center" wrapText="1"/>
    </xf>
    <xf numFmtId="0" fontId="20" fillId="43" borderId="1" xfId="57" applyFont="1" applyFill="1" applyBorder="1" applyAlignment="1">
      <alignment horizontal="center" vertical="center" wrapText="1"/>
    </xf>
    <xf numFmtId="0" fontId="20" fillId="43" borderId="5" xfId="57" applyFont="1" applyFill="1" applyBorder="1" applyAlignment="1">
      <alignment horizontal="center" vertical="center" wrapText="1"/>
    </xf>
    <xf numFmtId="0" fontId="20" fillId="43" borderId="4" xfId="57" applyFont="1" applyFill="1" applyBorder="1" applyAlignment="1">
      <alignment horizontal="center" vertical="center" wrapText="1"/>
    </xf>
    <xf numFmtId="0" fontId="20" fillId="43" borderId="10" xfId="57" applyFont="1" applyFill="1" applyBorder="1" applyAlignment="1">
      <alignment horizontal="center" vertical="center" wrapText="1"/>
    </xf>
    <xf numFmtId="0" fontId="21" fillId="43" borderId="1" xfId="57" applyFont="1" applyFill="1" applyBorder="1" applyAlignment="1">
      <alignment horizontal="center" vertical="center" wrapText="1"/>
    </xf>
    <xf numFmtId="0" fontId="26" fillId="0" borderId="0" xfId="1740" applyFont="1" applyAlignment="1">
      <alignment horizontal="left" vertical="center"/>
    </xf>
    <xf numFmtId="0" fontId="247" fillId="8" borderId="0" xfId="1740" applyNumberFormat="1" applyFont="1" applyFill="1" applyAlignment="1">
      <alignment horizontal="right" vertical="center"/>
    </xf>
    <xf numFmtId="0" fontId="28" fillId="42" borderId="0" xfId="1740" applyFont="1" applyFill="1" applyAlignment="1">
      <alignment horizontal="center" vertical="center" wrapText="1"/>
    </xf>
    <xf numFmtId="0" fontId="21" fillId="0" borderId="1" xfId="1740" applyFont="1" applyFill="1" applyBorder="1" applyAlignment="1">
      <alignment horizontal="right" vertical="center" wrapText="1"/>
    </xf>
    <xf numFmtId="2" fontId="21" fillId="0" borderId="1" xfId="1740" applyNumberFormat="1" applyFont="1" applyFill="1" applyBorder="1" applyAlignment="1">
      <alignment horizontal="right" vertical="center" wrapText="1"/>
    </xf>
    <xf numFmtId="0" fontId="76" fillId="0" borderId="2" xfId="0" applyFont="1" applyFill="1" applyBorder="1" applyAlignment="1">
      <alignment vertical="center" wrapText="1"/>
    </xf>
    <xf numFmtId="0" fontId="76" fillId="0" borderId="2" xfId="0" applyFont="1" applyFill="1" applyBorder="1" applyAlignment="1">
      <alignment horizontal="center" vertical="center" wrapText="1"/>
    </xf>
    <xf numFmtId="4" fontId="76" fillId="0" borderId="2" xfId="0" applyNumberFormat="1" applyFont="1" applyFill="1" applyBorder="1" applyAlignment="1">
      <alignment horizontal="center" vertical="center" wrapText="1"/>
    </xf>
    <xf numFmtId="3" fontId="76" fillId="0" borderId="2" xfId="0" applyNumberFormat="1" applyFont="1" applyFill="1" applyBorder="1" applyAlignment="1">
      <alignment horizontal="right" vertical="center" wrapText="1"/>
    </xf>
    <xf numFmtId="0" fontId="0" fillId="0" borderId="0" xfId="0" applyFont="1" applyFill="1"/>
    <xf numFmtId="0" fontId="76" fillId="0" borderId="2" xfId="0" applyFont="1" applyBorder="1" applyAlignment="1">
      <alignment horizontal="center" vertical="center" wrapText="1"/>
    </xf>
    <xf numFmtId="43" fontId="20" fillId="3" borderId="100" xfId="19" applyFont="1" applyFill="1" applyBorder="1" applyAlignment="1">
      <alignment horizontal="center" vertical="center" wrapText="1"/>
    </xf>
    <xf numFmtId="43" fontId="20" fillId="6" borderId="102" xfId="19" applyFont="1" applyFill="1" applyBorder="1" applyAlignment="1">
      <alignment horizontal="center" vertical="center" wrapText="1"/>
    </xf>
    <xf numFmtId="43" fontId="21" fillId="0" borderId="102" xfId="19" applyFont="1" applyFill="1" applyBorder="1" applyAlignment="1">
      <alignment horizontal="center" vertical="center" wrapText="1"/>
    </xf>
    <xf numFmtId="43" fontId="20" fillId="0" borderId="102" xfId="19" applyFont="1" applyFill="1" applyBorder="1" applyAlignment="1">
      <alignment horizontal="center" vertical="center" wrapText="1"/>
    </xf>
    <xf numFmtId="175" fontId="34" fillId="3" borderId="100" xfId="19" applyNumberFormat="1" applyFont="1" applyFill="1" applyBorder="1" applyAlignment="1">
      <alignment horizontal="center" vertical="center"/>
    </xf>
    <xf numFmtId="175" fontId="34" fillId="6" borderId="102" xfId="19" applyNumberFormat="1" applyFont="1" applyFill="1" applyBorder="1" applyAlignment="1">
      <alignment horizontal="center" vertical="center"/>
    </xf>
    <xf numFmtId="175" fontId="30" fillId="0" borderId="102" xfId="19" applyNumberFormat="1" applyFont="1" applyFill="1" applyBorder="1" applyAlignment="1">
      <alignment horizontal="center" vertical="center"/>
    </xf>
    <xf numFmtId="175" fontId="34" fillId="0" borderId="102" xfId="19" applyNumberFormat="1" applyFont="1" applyFill="1" applyBorder="1" applyAlignment="1">
      <alignment horizontal="center" vertical="center"/>
    </xf>
    <xf numFmtId="0" fontId="46" fillId="3" borderId="102" xfId="8" applyFont="1" applyFill="1" applyBorder="1" applyAlignment="1">
      <alignment horizontal="center" vertical="center" wrapText="1"/>
    </xf>
    <xf numFmtId="0" fontId="46" fillId="3" borderId="102" xfId="23" applyFont="1" applyFill="1" applyBorder="1" applyAlignment="1">
      <alignment horizontal="right" vertical="center" wrapText="1"/>
    </xf>
    <xf numFmtId="179" fontId="46" fillId="3" borderId="102" xfId="8" applyNumberFormat="1" applyFont="1" applyFill="1" applyBorder="1" applyAlignment="1">
      <alignment horizontal="center" vertical="center"/>
    </xf>
    <xf numFmtId="2" fontId="46" fillId="3" borderId="102" xfId="8" applyNumberFormat="1" applyFont="1" applyFill="1" applyBorder="1" applyAlignment="1">
      <alignment horizontal="center" vertical="center"/>
    </xf>
    <xf numFmtId="179" fontId="46" fillId="3" borderId="102" xfId="0" applyNumberFormat="1" applyFont="1" applyFill="1" applyBorder="1" applyAlignment="1">
      <alignment horizontal="center" vertical="center"/>
    </xf>
    <xf numFmtId="2" fontId="46" fillId="3" borderId="102" xfId="0" applyNumberFormat="1" applyFont="1" applyFill="1" applyBorder="1" applyAlignment="1">
      <alignment horizontal="center" vertical="center"/>
    </xf>
    <xf numFmtId="176" fontId="46" fillId="3" borderId="102" xfId="8" applyNumberFormat="1" applyFont="1" applyFill="1" applyBorder="1" applyAlignment="1">
      <alignment horizontal="center" vertical="center" wrapText="1"/>
    </xf>
    <xf numFmtId="0" fontId="46" fillId="3" borderId="0" xfId="0" applyFont="1" applyFill="1" applyAlignment="1">
      <alignment horizontal="left" vertical="center"/>
    </xf>
    <xf numFmtId="0" fontId="46" fillId="3" borderId="2" xfId="8" applyFont="1" applyFill="1" applyBorder="1" applyAlignment="1">
      <alignment horizontal="center" vertical="center" wrapText="1"/>
    </xf>
    <xf numFmtId="0" fontId="46" fillId="3" borderId="2" xfId="23" applyFont="1" applyFill="1" applyBorder="1" applyAlignment="1">
      <alignment horizontal="right" vertical="center" wrapText="1"/>
    </xf>
    <xf numFmtId="179" fontId="46" fillId="3" borderId="2" xfId="8" applyNumberFormat="1" applyFont="1" applyFill="1" applyBorder="1" applyAlignment="1">
      <alignment horizontal="center" vertical="center"/>
    </xf>
    <xf numFmtId="2" fontId="46" fillId="3" borderId="2" xfId="8" applyNumberFormat="1" applyFont="1" applyFill="1" applyBorder="1" applyAlignment="1">
      <alignment horizontal="center" vertical="center"/>
    </xf>
    <xf numFmtId="179" fontId="46" fillId="3" borderId="2" xfId="0" applyNumberFormat="1" applyFont="1" applyFill="1" applyBorder="1" applyAlignment="1">
      <alignment horizontal="center" vertical="center"/>
    </xf>
    <xf numFmtId="2" fontId="46" fillId="3" borderId="2" xfId="0" applyNumberFormat="1" applyFont="1" applyFill="1" applyBorder="1" applyAlignment="1">
      <alignment horizontal="center" vertical="center"/>
    </xf>
    <xf numFmtId="0" fontId="46" fillId="2" borderId="2" xfId="8" applyFont="1" applyFill="1" applyBorder="1" applyAlignment="1">
      <alignment horizontal="center" vertical="center" wrapText="1"/>
    </xf>
    <xf numFmtId="0" fontId="19" fillId="2" borderId="2" xfId="23" applyFont="1" applyFill="1" applyBorder="1" applyAlignment="1">
      <alignment horizontal="left" vertical="center" wrapText="1"/>
    </xf>
    <xf numFmtId="179" fontId="46" fillId="2" borderId="2" xfId="8" applyNumberFormat="1" applyFont="1" applyFill="1" applyBorder="1" applyAlignment="1">
      <alignment horizontal="center" vertical="center"/>
    </xf>
    <xf numFmtId="2" fontId="46" fillId="2" borderId="2" xfId="8" applyNumberFormat="1" applyFont="1" applyFill="1" applyBorder="1" applyAlignment="1">
      <alignment horizontal="center" vertical="center"/>
    </xf>
    <xf numFmtId="179" fontId="46" fillId="2" borderId="2" xfId="0" applyNumberFormat="1" applyFont="1" applyFill="1" applyBorder="1" applyAlignment="1">
      <alignment horizontal="center" vertical="center"/>
    </xf>
    <xf numFmtId="2" fontId="57" fillId="2" borderId="2" xfId="0" applyNumberFormat="1" applyFont="1" applyFill="1" applyBorder="1" applyAlignment="1">
      <alignment horizontal="center" vertical="center"/>
    </xf>
    <xf numFmtId="176" fontId="46" fillId="2" borderId="2" xfId="8" applyNumberFormat="1" applyFont="1" applyFill="1" applyBorder="1" applyAlignment="1">
      <alignment horizontal="center" vertical="center" wrapText="1"/>
    </xf>
    <xf numFmtId="0" fontId="57" fillId="2" borderId="2" xfId="23" applyFont="1" applyFill="1" applyBorder="1" applyAlignment="1">
      <alignment horizontal="right" vertical="center" wrapText="1"/>
    </xf>
    <xf numFmtId="175" fontId="34" fillId="4" borderId="1" xfId="19" applyNumberFormat="1" applyFont="1" applyFill="1" applyBorder="1" applyAlignment="1">
      <alignment horizontal="center" vertical="center"/>
    </xf>
    <xf numFmtId="43" fontId="20" fillId="4" borderId="1" xfId="19" applyFont="1" applyFill="1" applyBorder="1" applyAlignment="1">
      <alignment horizontal="center" vertical="center" wrapText="1"/>
    </xf>
    <xf numFmtId="0" fontId="21" fillId="2" borderId="2" xfId="6" applyFont="1" applyFill="1" applyBorder="1" applyAlignment="1">
      <alignment horizontal="left" vertical="center" wrapText="1"/>
    </xf>
    <xf numFmtId="4" fontId="21" fillId="2" borderId="2" xfId="6" applyNumberFormat="1" applyFont="1" applyFill="1" applyBorder="1" applyAlignment="1">
      <alignment horizontal="center" vertical="center"/>
    </xf>
    <xf numFmtId="290" fontId="21" fillId="2" borderId="2" xfId="6" applyNumberFormat="1" applyFont="1" applyFill="1" applyBorder="1" applyAlignment="1">
      <alignment horizontal="center" vertical="center"/>
    </xf>
    <xf numFmtId="43" fontId="21" fillId="2" borderId="2" xfId="19" applyFont="1" applyFill="1" applyBorder="1" applyAlignment="1">
      <alignment horizontal="center" vertical="center" wrapText="1"/>
    </xf>
    <xf numFmtId="175" fontId="30" fillId="2" borderId="2" xfId="19" applyNumberFormat="1" applyFont="1" applyFill="1" applyBorder="1" applyAlignment="1">
      <alignment horizontal="center" vertical="center"/>
    </xf>
    <xf numFmtId="175" fontId="30" fillId="2" borderId="102" xfId="19" applyNumberFormat="1" applyFont="1" applyFill="1" applyBorder="1" applyAlignment="1">
      <alignment horizontal="center" vertical="center"/>
    </xf>
    <xf numFmtId="0" fontId="30" fillId="2" borderId="2" xfId="0" applyFont="1" applyFill="1" applyBorder="1" applyAlignment="1">
      <alignment horizontal="center" vertical="center" wrapText="1"/>
    </xf>
    <xf numFmtId="4" fontId="21" fillId="2" borderId="2" xfId="6" applyNumberFormat="1" applyFont="1" applyFill="1" applyBorder="1" applyAlignment="1">
      <alignment horizontal="center" vertical="center" wrapText="1"/>
    </xf>
    <xf numFmtId="0" fontId="21" fillId="42" borderId="100" xfId="1740" applyNumberFormat="1" applyFont="1" applyFill="1" applyBorder="1" applyAlignment="1">
      <alignment horizontal="center" vertical="center" wrapText="1"/>
    </xf>
    <xf numFmtId="0" fontId="21" fillId="42" borderId="100" xfId="1740" applyFont="1" applyFill="1" applyBorder="1" applyAlignment="1">
      <alignment horizontal="center" vertical="center" wrapText="1"/>
    </xf>
    <xf numFmtId="0" fontId="21" fillId="42" borderId="100" xfId="1740" applyFont="1" applyFill="1" applyBorder="1" applyAlignment="1">
      <alignment vertical="center" wrapText="1"/>
    </xf>
    <xf numFmtId="0" fontId="21" fillId="3" borderId="102" xfId="1740" applyNumberFormat="1" applyFont="1" applyFill="1" applyBorder="1" applyAlignment="1">
      <alignment horizontal="center" vertical="center" wrapText="1"/>
    </xf>
    <xf numFmtId="0" fontId="21" fillId="3" borderId="102" xfId="1740" applyFont="1" applyFill="1" applyBorder="1" applyAlignment="1">
      <alignment horizontal="center" vertical="center" wrapText="1"/>
    </xf>
    <xf numFmtId="0" fontId="21" fillId="3" borderId="102" xfId="1740" applyFont="1" applyFill="1" applyBorder="1" applyAlignment="1">
      <alignment vertical="center" wrapText="1"/>
    </xf>
    <xf numFmtId="0" fontId="21" fillId="0" borderId="102" xfId="1740" applyFont="1" applyBorder="1" applyAlignment="1">
      <alignment vertical="center" wrapText="1"/>
    </xf>
    <xf numFmtId="0" fontId="21" fillId="8" borderId="102" xfId="1740" applyNumberFormat="1" applyFont="1" applyFill="1" applyBorder="1" applyAlignment="1">
      <alignment horizontal="center" vertical="center" wrapText="1"/>
    </xf>
    <xf numFmtId="0" fontId="21" fillId="42" borderId="102" xfId="1740" applyNumberFormat="1" applyFont="1" applyFill="1" applyBorder="1" applyAlignment="1">
      <alignment horizontal="center" vertical="center" wrapText="1"/>
    </xf>
    <xf numFmtId="0" fontId="21" fillId="42" borderId="102" xfId="1740" applyFont="1" applyFill="1" applyBorder="1" applyAlignment="1">
      <alignment horizontal="center" vertical="center" wrapText="1"/>
    </xf>
    <xf numFmtId="0" fontId="21" fillId="42" borderId="102" xfId="1740" applyFont="1" applyFill="1" applyBorder="1" applyAlignment="1">
      <alignment vertical="center" wrapText="1"/>
    </xf>
    <xf numFmtId="0" fontId="21" fillId="8" borderId="102" xfId="0" applyFont="1" applyFill="1" applyBorder="1" applyAlignment="1">
      <alignment horizontal="center" vertical="center" wrapText="1"/>
    </xf>
    <xf numFmtId="0" fontId="20" fillId="8" borderId="102" xfId="0" applyFont="1" applyFill="1" applyBorder="1" applyAlignment="1">
      <alignment horizontal="center" vertical="center" wrapText="1"/>
    </xf>
    <xf numFmtId="0" fontId="20" fillId="0" borderId="102" xfId="0" applyFont="1" applyBorder="1" applyAlignment="1">
      <alignment horizontal="center" vertical="center" wrapText="1"/>
    </xf>
    <xf numFmtId="0" fontId="20" fillId="0" borderId="102" xfId="0" applyFont="1" applyBorder="1" applyAlignment="1">
      <alignment vertical="center" wrapText="1"/>
    </xf>
    <xf numFmtId="0" fontId="20" fillId="0" borderId="102" xfId="0" applyFont="1" applyFill="1" applyBorder="1" applyAlignment="1">
      <alignment horizontal="center" vertical="center" wrapText="1"/>
    </xf>
    <xf numFmtId="0" fontId="20" fillId="0" borderId="102" xfId="0" applyFont="1" applyFill="1" applyBorder="1" applyAlignment="1">
      <alignment vertical="center" wrapText="1"/>
    </xf>
    <xf numFmtId="0" fontId="43" fillId="6" borderId="2" xfId="8" applyFont="1" applyFill="1" applyBorder="1" applyAlignment="1">
      <alignment horizontal="center" vertical="center" wrapText="1"/>
    </xf>
    <xf numFmtId="0" fontId="43" fillId="6" borderId="2" xfId="23" applyFont="1" applyFill="1" applyBorder="1" applyAlignment="1">
      <alignment horizontal="left" vertical="center" wrapText="1"/>
    </xf>
    <xf numFmtId="179" fontId="43" fillId="6" borderId="2" xfId="8" applyNumberFormat="1" applyFont="1" applyFill="1" applyBorder="1" applyAlignment="1">
      <alignment horizontal="center" vertical="center"/>
    </xf>
    <xf numFmtId="2" fontId="43" fillId="6" borderId="2" xfId="8" applyNumberFormat="1" applyFont="1" applyFill="1" applyBorder="1" applyAlignment="1">
      <alignment horizontal="center" vertical="center"/>
    </xf>
    <xf numFmtId="178" fontId="43" fillId="6" borderId="2" xfId="0" applyNumberFormat="1" applyFont="1" applyFill="1" applyBorder="1" applyAlignment="1">
      <alignment horizontal="center" vertical="center"/>
    </xf>
    <xf numFmtId="4" fontId="19" fillId="6" borderId="2" xfId="8" applyNumberFormat="1" applyFont="1" applyFill="1" applyBorder="1" applyAlignment="1">
      <alignment horizontal="center" vertical="center" wrapText="1"/>
    </xf>
    <xf numFmtId="0" fontId="43" fillId="6" borderId="0" xfId="0" applyFont="1" applyFill="1" applyAlignment="1">
      <alignment horizontal="left" vertical="center"/>
    </xf>
    <xf numFmtId="0" fontId="20" fillId="3" borderId="24" xfId="6" applyFont="1" applyFill="1" applyBorder="1" applyAlignment="1">
      <alignment vertical="center"/>
    </xf>
    <xf numFmtId="43" fontId="20" fillId="4" borderId="1" xfId="19" applyFont="1" applyFill="1" applyBorder="1" applyAlignment="1">
      <alignment horizontal="center" vertical="center" wrapText="1"/>
    </xf>
    <xf numFmtId="0" fontId="52" fillId="0" borderId="0" xfId="18" applyFont="1" applyAlignment="1">
      <alignment horizontal="center" vertical="center"/>
    </xf>
    <xf numFmtId="0" fontId="52" fillId="0" borderId="17" xfId="18" applyFont="1" applyBorder="1" applyAlignment="1">
      <alignment horizontal="center" vertical="center"/>
    </xf>
    <xf numFmtId="0" fontId="61" fillId="0" borderId="0" xfId="18" applyFont="1" applyAlignment="1">
      <alignment horizontal="center" vertical="center"/>
    </xf>
    <xf numFmtId="0" fontId="60" fillId="0" borderId="0" xfId="18" applyFont="1" applyAlignment="1">
      <alignment horizontal="center" vertical="top"/>
    </xf>
    <xf numFmtId="0" fontId="60" fillId="0" borderId="17" xfId="18" applyFont="1" applyBorder="1" applyAlignment="1">
      <alignment horizontal="center" vertical="top"/>
    </xf>
    <xf numFmtId="183" fontId="29" fillId="0" borderId="16" xfId="47" applyNumberFormat="1" applyFont="1" applyBorder="1" applyAlignment="1">
      <alignment horizontal="center"/>
    </xf>
    <xf numFmtId="183" fontId="29" fillId="0" borderId="0" xfId="47" applyNumberFormat="1" applyFont="1" applyAlignment="1">
      <alignment horizontal="center"/>
    </xf>
    <xf numFmtId="183" fontId="29" fillId="0" borderId="17" xfId="47" applyNumberFormat="1" applyFont="1" applyBorder="1" applyAlignment="1">
      <alignment horizontal="center"/>
    </xf>
    <xf numFmtId="183" fontId="19" fillId="0" borderId="16" xfId="47" applyNumberFormat="1" applyFont="1" applyBorder="1" applyAlignment="1">
      <alignment horizontal="center"/>
    </xf>
    <xf numFmtId="183" fontId="19" fillId="0" borderId="0" xfId="47" applyNumberFormat="1" applyFont="1" applyAlignment="1">
      <alignment horizontal="center"/>
    </xf>
    <xf numFmtId="183" fontId="19" fillId="0" borderId="17" xfId="47" applyNumberFormat="1" applyFont="1" applyBorder="1" applyAlignment="1">
      <alignment horizontal="center"/>
    </xf>
    <xf numFmtId="183" fontId="58" fillId="0" borderId="0" xfId="47" applyNumberFormat="1" applyFont="1" applyAlignment="1">
      <alignment horizontal="center"/>
    </xf>
    <xf numFmtId="183" fontId="58" fillId="0" borderId="17" xfId="47" applyNumberFormat="1" applyFont="1" applyBorder="1" applyAlignment="1">
      <alignment horizontal="center"/>
    </xf>
    <xf numFmtId="183" fontId="67" fillId="0" borderId="16" xfId="47" applyNumberFormat="1" applyFont="1" applyBorder="1" applyAlignment="1">
      <alignment horizontal="center" vertical="center" wrapText="1"/>
    </xf>
    <xf numFmtId="183" fontId="67" fillId="0" borderId="0" xfId="47" applyNumberFormat="1" applyFont="1" applyAlignment="1">
      <alignment horizontal="center" vertical="center" wrapText="1"/>
    </xf>
    <xf numFmtId="183" fontId="67" fillId="0" borderId="17" xfId="47" applyNumberFormat="1" applyFont="1" applyBorder="1" applyAlignment="1">
      <alignment horizontal="center" vertical="center" wrapText="1"/>
    </xf>
    <xf numFmtId="183" fontId="56" fillId="0" borderId="16" xfId="47" applyNumberFormat="1" applyFont="1" applyBorder="1" applyAlignment="1">
      <alignment horizontal="center"/>
    </xf>
    <xf numFmtId="183" fontId="56" fillId="0" borderId="0" xfId="47" applyNumberFormat="1" applyFont="1" applyAlignment="1">
      <alignment horizontal="center"/>
    </xf>
    <xf numFmtId="183" fontId="56" fillId="0" borderId="17" xfId="47" applyNumberFormat="1" applyFont="1" applyBorder="1" applyAlignment="1">
      <alignment horizontal="center"/>
    </xf>
    <xf numFmtId="0" fontId="29" fillId="0" borderId="0" xfId="4" applyFont="1" applyAlignment="1">
      <alignment horizontal="center" vertical="center"/>
    </xf>
    <xf numFmtId="0" fontId="21" fillId="0" borderId="103" xfId="6" applyFont="1" applyBorder="1" applyAlignment="1">
      <alignment horizontal="center" vertical="center" wrapText="1"/>
    </xf>
    <xf numFmtId="0" fontId="21" fillId="0" borderId="52" xfId="6" applyFont="1" applyBorder="1" applyAlignment="1">
      <alignment horizontal="center" vertical="center" wrapText="1"/>
    </xf>
    <xf numFmtId="0" fontId="34" fillId="4" borderId="1" xfId="0" applyFont="1" applyFill="1" applyBorder="1" applyAlignment="1">
      <alignment horizontal="center" vertical="center" wrapText="1"/>
    </xf>
    <xf numFmtId="4" fontId="20" fillId="4" borderId="1" xfId="6" applyNumberFormat="1" applyFont="1" applyFill="1" applyBorder="1" applyAlignment="1">
      <alignment horizontal="center" vertical="center" wrapText="1"/>
    </xf>
    <xf numFmtId="0" fontId="20" fillId="41" borderId="5" xfId="6" applyFont="1" applyFill="1" applyBorder="1" applyAlignment="1">
      <alignment horizontal="center" vertical="center"/>
    </xf>
    <xf numFmtId="0" fontId="20" fillId="41" borderId="94" xfId="6" applyFont="1" applyFill="1" applyBorder="1" applyAlignment="1">
      <alignment horizontal="center" vertical="center"/>
    </xf>
    <xf numFmtId="0" fontId="20" fillId="41" borderId="96" xfId="6" applyFont="1" applyFill="1" applyBorder="1" applyAlignment="1">
      <alignment horizontal="center" vertical="center"/>
    </xf>
    <xf numFmtId="0" fontId="20" fillId="4" borderId="1" xfId="6" applyFont="1" applyFill="1" applyBorder="1" applyAlignment="1">
      <alignment horizontal="center" vertical="center"/>
    </xf>
    <xf numFmtId="0" fontId="20" fillId="4" borderId="1" xfId="6" applyFont="1" applyFill="1" applyBorder="1" applyAlignment="1">
      <alignment horizontal="center" vertical="center" wrapText="1"/>
    </xf>
    <xf numFmtId="4" fontId="20" fillId="4" borderId="1" xfId="6" applyNumberFormat="1" applyFont="1" applyFill="1" applyBorder="1" applyAlignment="1">
      <alignment horizontal="center" vertical="center"/>
    </xf>
    <xf numFmtId="175" fontId="34" fillId="4" borderId="1" xfId="19" applyNumberFormat="1" applyFont="1" applyFill="1" applyBorder="1" applyAlignment="1">
      <alignment horizontal="center" vertical="center"/>
    </xf>
    <xf numFmtId="175" fontId="34" fillId="4" borderId="5" xfId="19" applyNumberFormat="1" applyFont="1" applyFill="1" applyBorder="1" applyAlignment="1">
      <alignment horizontal="center" vertical="center"/>
    </xf>
    <xf numFmtId="175" fontId="34" fillId="4" borderId="6" xfId="19" applyNumberFormat="1" applyFont="1" applyFill="1" applyBorder="1" applyAlignment="1">
      <alignment horizontal="center" vertical="center"/>
    </xf>
    <xf numFmtId="4" fontId="20" fillId="4" borderId="5" xfId="6" applyNumberFormat="1" applyFont="1" applyFill="1" applyBorder="1" applyAlignment="1">
      <alignment horizontal="center" vertical="center" wrapText="1"/>
    </xf>
    <xf numFmtId="4" fontId="20" fillId="4" borderId="7" xfId="6" applyNumberFormat="1" applyFont="1" applyFill="1" applyBorder="1" applyAlignment="1">
      <alignment horizontal="center" vertical="center" wrapText="1"/>
    </xf>
    <xf numFmtId="4" fontId="20" fillId="4" borderId="6" xfId="6" applyNumberFormat="1" applyFont="1" applyFill="1" applyBorder="1" applyAlignment="1">
      <alignment horizontal="center" vertical="center" wrapText="1"/>
    </xf>
    <xf numFmtId="175" fontId="34" fillId="4" borderId="7" xfId="19" applyNumberFormat="1" applyFont="1" applyFill="1" applyBorder="1" applyAlignment="1">
      <alignment horizontal="center" vertical="center"/>
    </xf>
    <xf numFmtId="0" fontId="19" fillId="0" borderId="0" xfId="4" applyFont="1" applyAlignment="1">
      <alignment horizontal="center" vertical="center"/>
    </xf>
    <xf numFmtId="0" fontId="19" fillId="0" borderId="8" xfId="4" applyFont="1" applyBorder="1" applyAlignment="1">
      <alignment horizontal="center" vertical="center"/>
    </xf>
    <xf numFmtId="0" fontId="34" fillId="0" borderId="0" xfId="1740" applyFont="1" applyAlignment="1">
      <alignment horizontal="center" vertical="center" wrapText="1"/>
    </xf>
    <xf numFmtId="0" fontId="30" fillId="0" borderId="0" xfId="1740" applyFont="1" applyAlignment="1">
      <alignment horizontal="center" vertical="center" wrapText="1"/>
    </xf>
    <xf numFmtId="0" fontId="20" fillId="0" borderId="0" xfId="57" applyFont="1" applyAlignment="1">
      <alignment horizontal="center" vertical="center" wrapText="1"/>
    </xf>
    <xf numFmtId="0" fontId="21" fillId="43" borderId="1" xfId="57" applyFont="1" applyFill="1" applyBorder="1" applyAlignment="1">
      <alignment horizontal="center" vertical="center" wrapText="1"/>
    </xf>
    <xf numFmtId="0" fontId="21" fillId="43" borderId="1" xfId="57" applyFont="1" applyFill="1" applyBorder="1" applyAlignment="1">
      <alignment horizontal="center" vertical="center"/>
    </xf>
    <xf numFmtId="0" fontId="21" fillId="0" borderId="23" xfId="0" quotePrefix="1" applyFont="1" applyBorder="1" applyAlignment="1">
      <alignment horizontal="center" vertical="center"/>
    </xf>
    <xf numFmtId="0" fontId="21" fillId="0" borderId="21" xfId="0" quotePrefix="1" applyFont="1" applyBorder="1" applyAlignment="1">
      <alignment horizontal="center" vertical="center"/>
    </xf>
    <xf numFmtId="0" fontId="21" fillId="0" borderId="24" xfId="0" quotePrefix="1" applyFont="1" applyBorder="1" applyAlignment="1">
      <alignment horizontal="center" vertical="center"/>
    </xf>
    <xf numFmtId="0" fontId="21" fillId="0" borderId="23" xfId="0" quotePrefix="1" applyFont="1" applyFill="1" applyBorder="1" applyAlignment="1">
      <alignment horizontal="center" vertical="center"/>
    </xf>
    <xf numFmtId="0" fontId="21" fillId="0" borderId="21" xfId="0" quotePrefix="1" applyFont="1" applyFill="1" applyBorder="1" applyAlignment="1">
      <alignment horizontal="center" vertical="center"/>
    </xf>
    <xf numFmtId="0" fontId="21" fillId="0" borderId="24" xfId="0" quotePrefix="1" applyFont="1" applyFill="1" applyBorder="1" applyAlignment="1">
      <alignment horizontal="center" vertical="center"/>
    </xf>
    <xf numFmtId="0" fontId="29" fillId="2" borderId="0" xfId="0" applyFont="1" applyFill="1" applyAlignment="1">
      <alignment horizontal="center" vertical="center" wrapText="1"/>
    </xf>
    <xf numFmtId="0" fontId="29" fillId="2" borderId="0" xfId="0" applyFont="1" applyFill="1" applyAlignment="1">
      <alignment horizontal="center" vertical="center"/>
    </xf>
    <xf numFmtId="0" fontId="19" fillId="2" borderId="0" xfId="0" applyFont="1" applyFill="1" applyAlignment="1">
      <alignment horizontal="center" vertical="center" wrapText="1"/>
    </xf>
    <xf numFmtId="0" fontId="19" fillId="2" borderId="0" xfId="0" applyFont="1" applyFill="1" applyAlignment="1">
      <alignment horizontal="center" vertical="center"/>
    </xf>
    <xf numFmtId="0" fontId="20" fillId="4" borderId="0" xfId="6" applyFont="1" applyFill="1" applyAlignment="1">
      <alignment horizontal="left" vertical="center"/>
    </xf>
    <xf numFmtId="43" fontId="20" fillId="4" borderId="1" xfId="19" applyFont="1" applyFill="1" applyBorder="1" applyAlignment="1">
      <alignment horizontal="center" vertical="center" wrapText="1"/>
    </xf>
    <xf numFmtId="0" fontId="19" fillId="4" borderId="1" xfId="6" applyFont="1" applyFill="1" applyBorder="1" applyAlignment="1">
      <alignment horizontal="center" vertical="center"/>
    </xf>
    <xf numFmtId="0" fontId="19" fillId="4" borderId="4" xfId="6" applyFont="1" applyFill="1" applyBorder="1" applyAlignment="1">
      <alignment horizontal="center" vertical="center" wrapText="1"/>
    </xf>
    <xf numFmtId="0" fontId="19" fillId="4" borderId="3" xfId="6" applyFont="1" applyFill="1" applyBorder="1" applyAlignment="1">
      <alignment horizontal="center" vertical="center" wrapText="1"/>
    </xf>
    <xf numFmtId="4" fontId="19" fillId="4" borderId="1" xfId="6" applyNumberFormat="1" applyFont="1" applyFill="1" applyBorder="1" applyAlignment="1">
      <alignment horizontal="center" vertical="center" wrapText="1"/>
    </xf>
    <xf numFmtId="0" fontId="19" fillId="4" borderId="1" xfId="0" applyFont="1" applyFill="1" applyBorder="1" applyAlignment="1">
      <alignment horizontal="center" vertical="center" wrapText="1"/>
    </xf>
    <xf numFmtId="43" fontId="19" fillId="4" borderId="1" xfId="19" applyFont="1" applyFill="1" applyBorder="1" applyAlignment="1">
      <alignment horizontal="center" vertical="center" wrapText="1"/>
    </xf>
    <xf numFmtId="181" fontId="69" fillId="0" borderId="0" xfId="46" applyFont="1" applyAlignment="1">
      <alignment horizontal="center" vertical="center"/>
    </xf>
    <xf numFmtId="0" fontId="20" fillId="40" borderId="1" xfId="3654" applyFont="1" applyFill="1" applyBorder="1" applyAlignment="1">
      <alignment horizontal="center" vertical="center" wrapText="1"/>
    </xf>
    <xf numFmtId="0" fontId="20" fillId="40" borderId="1" xfId="3654" applyFont="1" applyFill="1" applyBorder="1" applyAlignment="1">
      <alignment horizontal="center" vertical="center"/>
    </xf>
    <xf numFmtId="175" fontId="224" fillId="0" borderId="12" xfId="3655" applyNumberFormat="1" applyFont="1" applyBorder="1" applyAlignment="1">
      <alignment horizontal="right" vertical="center"/>
    </xf>
    <xf numFmtId="175" fontId="224" fillId="0" borderId="8" xfId="3655" applyNumberFormat="1" applyFont="1" applyBorder="1" applyAlignment="1">
      <alignment horizontal="right" vertical="center"/>
    </xf>
    <xf numFmtId="175" fontId="224" fillId="0" borderId="11" xfId="3655" applyNumberFormat="1" applyFont="1" applyBorder="1" applyAlignment="1">
      <alignment horizontal="right" vertical="center"/>
    </xf>
    <xf numFmtId="175" fontId="224" fillId="0" borderId="57" xfId="3655" applyNumberFormat="1" applyFont="1" applyBorder="1" applyAlignment="1">
      <alignment horizontal="right" vertical="center"/>
    </xf>
    <xf numFmtId="175" fontId="224" fillId="0" borderId="58" xfId="3655" applyNumberFormat="1" applyFont="1" applyBorder="1" applyAlignment="1">
      <alignment horizontal="right" vertical="center"/>
    </xf>
    <xf numFmtId="175" fontId="224" fillId="0" borderId="96" xfId="3655" applyNumberFormat="1" applyFont="1" applyBorder="1" applyAlignment="1">
      <alignment horizontal="right" vertical="center"/>
    </xf>
    <xf numFmtId="0" fontId="69" fillId="3" borderId="57" xfId="3650" applyFont="1" applyFill="1" applyBorder="1" applyAlignment="1">
      <alignment horizontal="center" vertical="center"/>
    </xf>
    <xf numFmtId="0" fontId="69" fillId="3" borderId="58" xfId="3650" applyFont="1" applyFill="1" applyBorder="1" applyAlignment="1">
      <alignment horizontal="center" vertical="center"/>
    </xf>
    <xf numFmtId="0" fontId="69" fillId="3" borderId="96" xfId="3650" applyFont="1" applyFill="1" applyBorder="1" applyAlignment="1">
      <alignment horizontal="center" vertical="center"/>
    </xf>
    <xf numFmtId="0" fontId="21" fillId="40" borderId="1" xfId="3654" applyFont="1" applyFill="1" applyBorder="1" applyAlignment="1">
      <alignment vertical="center"/>
    </xf>
    <xf numFmtId="0" fontId="17" fillId="0" borderId="0" xfId="30" applyFont="1" applyAlignment="1">
      <alignment horizontal="center" vertical="center"/>
    </xf>
    <xf numFmtId="43" fontId="34" fillId="5" borderId="95" xfId="33" applyFont="1" applyFill="1" applyBorder="1" applyAlignment="1">
      <alignment horizontal="center" vertical="center" wrapText="1"/>
    </xf>
    <xf numFmtId="43" fontId="34" fillId="5" borderId="95" xfId="33" applyFont="1" applyFill="1" applyBorder="1" applyAlignment="1">
      <alignment horizontal="center" vertical="center"/>
    </xf>
    <xf numFmtId="0" fontId="34" fillId="0" borderId="5" xfId="30" applyFont="1" applyBorder="1" applyAlignment="1">
      <alignment horizontal="left" vertical="center" wrapText="1"/>
    </xf>
    <xf numFmtId="0" fontId="34" fillId="0" borderId="7" xfId="30" applyFont="1" applyBorder="1" applyAlignment="1">
      <alignment horizontal="left" vertical="center" wrapText="1"/>
    </xf>
    <xf numFmtId="0" fontId="34" fillId="0" borderId="6" xfId="30" applyFont="1" applyBorder="1" applyAlignment="1">
      <alignment horizontal="left" vertical="center" wrapText="1"/>
    </xf>
    <xf numFmtId="43" fontId="20" fillId="0" borderId="5" xfId="33" applyFont="1" applyFill="1" applyBorder="1" applyAlignment="1">
      <alignment horizontal="left" vertical="center"/>
    </xf>
    <xf numFmtId="43" fontId="20" fillId="0" borderId="7" xfId="33" applyFont="1" applyFill="1" applyBorder="1" applyAlignment="1">
      <alignment horizontal="left" vertical="center"/>
    </xf>
    <xf numFmtId="0" fontId="34" fillId="5" borderId="1" xfId="30" applyFont="1" applyFill="1" applyBorder="1" applyAlignment="1">
      <alignment horizontal="center" vertical="center"/>
    </xf>
    <xf numFmtId="43" fontId="34" fillId="5" borderId="1" xfId="33" applyFont="1" applyFill="1" applyBorder="1" applyAlignment="1">
      <alignment horizontal="center" vertical="center" wrapText="1"/>
    </xf>
    <xf numFmtId="43" fontId="34" fillId="5" borderId="1" xfId="33" applyFont="1" applyFill="1" applyBorder="1" applyAlignment="1">
      <alignment horizontal="center" vertical="center"/>
    </xf>
    <xf numFmtId="43" fontId="34" fillId="5" borderId="4" xfId="33" applyFont="1" applyFill="1" applyBorder="1" applyAlignment="1">
      <alignment horizontal="center" vertical="center" wrapText="1"/>
    </xf>
    <xf numFmtId="43" fontId="34" fillId="5" borderId="21" xfId="33" applyFont="1" applyFill="1" applyBorder="1" applyAlignment="1">
      <alignment horizontal="center" vertical="center" wrapText="1"/>
    </xf>
    <xf numFmtId="43" fontId="34" fillId="5" borderId="3" xfId="33" applyFont="1" applyFill="1" applyBorder="1" applyAlignment="1">
      <alignment horizontal="center" vertical="center" wrapText="1"/>
    </xf>
    <xf numFmtId="0" fontId="18" fillId="0" borderId="1" xfId="1725" applyFont="1" applyBorder="1" applyAlignment="1">
      <alignment horizontal="left" vertical="center"/>
    </xf>
    <xf numFmtId="0" fontId="34" fillId="0" borderId="1" xfId="30" applyFont="1" applyBorder="1" applyAlignment="1">
      <alignment horizontal="center" vertical="center"/>
    </xf>
    <xf numFmtId="0" fontId="34" fillId="0" borderId="5" xfId="30" applyFont="1" applyBorder="1" applyAlignment="1">
      <alignment horizontal="left" vertical="center"/>
    </xf>
    <xf numFmtId="0" fontId="34" fillId="0" borderId="6" xfId="30" applyFont="1" applyBorder="1" applyAlignment="1">
      <alignment horizontal="left" vertical="center"/>
    </xf>
    <xf numFmtId="0" fontId="34" fillId="0" borderId="5" xfId="30" quotePrefix="1" applyFont="1" applyBorder="1" applyAlignment="1">
      <alignment horizontal="left" vertical="center"/>
    </xf>
    <xf numFmtId="0" fontId="18" fillId="0" borderId="5" xfId="1725" applyFont="1" applyBorder="1" applyAlignment="1">
      <alignment horizontal="left" vertical="center" wrapText="1"/>
    </xf>
    <xf numFmtId="0" fontId="18" fillId="0" borderId="6" xfId="1725" applyFont="1" applyBorder="1" applyAlignment="1">
      <alignment horizontal="left" vertical="center" wrapText="1"/>
    </xf>
    <xf numFmtId="0" fontId="48" fillId="0" borderId="5" xfId="30" applyFont="1" applyBorder="1" applyAlignment="1">
      <alignment horizontal="center" vertical="center"/>
    </xf>
    <xf numFmtId="0" fontId="48" fillId="0" borderId="6" xfId="30" applyFont="1" applyBorder="1" applyAlignment="1">
      <alignment horizontal="center" vertical="center"/>
    </xf>
    <xf numFmtId="0" fontId="29" fillId="0" borderId="5" xfId="30" applyFont="1" applyBorder="1" applyAlignment="1">
      <alignment horizontal="center" vertical="center" wrapText="1"/>
    </xf>
    <xf numFmtId="0" fontId="29" fillId="0" borderId="7" xfId="30" applyFont="1" applyBorder="1" applyAlignment="1">
      <alignment horizontal="center" vertical="center" wrapText="1"/>
    </xf>
    <xf numFmtId="0" fontId="48" fillId="0" borderId="5" xfId="30" applyFont="1" applyBorder="1" applyAlignment="1">
      <alignment horizontal="center" vertical="center" wrapText="1"/>
    </xf>
    <xf numFmtId="0" fontId="48" fillId="0" borderId="7" xfId="30" applyFont="1" applyBorder="1" applyAlignment="1">
      <alignment horizontal="center" vertical="center" wrapText="1"/>
    </xf>
    <xf numFmtId="0" fontId="48" fillId="0" borderId="6" xfId="30" applyFont="1" applyBorder="1" applyAlignment="1">
      <alignment horizontal="center" vertical="center" wrapText="1"/>
    </xf>
    <xf numFmtId="0" fontId="18" fillId="0" borderId="5" xfId="30" applyFont="1" applyBorder="1" applyAlignment="1">
      <alignment horizontal="left" vertical="center"/>
    </xf>
    <xf numFmtId="0" fontId="18" fillId="0" borderId="7" xfId="30" applyFont="1" applyBorder="1" applyAlignment="1">
      <alignment horizontal="left" vertical="center"/>
    </xf>
    <xf numFmtId="0" fontId="18" fillId="0" borderId="6" xfId="30" applyFont="1" applyBorder="1" applyAlignment="1">
      <alignment horizontal="left" vertical="center"/>
    </xf>
    <xf numFmtId="0" fontId="21" fillId="0" borderId="5" xfId="1725" applyFont="1" applyBorder="1" applyAlignment="1">
      <alignment vertical="center"/>
    </xf>
    <xf numFmtId="0" fontId="21" fillId="0" borderId="7" xfId="1725" applyFont="1" applyBorder="1" applyAlignment="1">
      <alignment vertical="center"/>
    </xf>
    <xf numFmtId="0" fontId="21" fillId="0" borderId="6" xfId="1725" applyFont="1" applyBorder="1" applyAlignment="1">
      <alignment vertical="center"/>
    </xf>
    <xf numFmtId="0" fontId="20" fillId="41" borderId="86" xfId="6" applyFont="1" applyFill="1" applyBorder="1" applyAlignment="1">
      <alignment horizontal="center" vertical="center"/>
    </xf>
    <xf numFmtId="0" fontId="20" fillId="41" borderId="88" xfId="6" applyFont="1" applyFill="1" applyBorder="1" applyAlignment="1">
      <alignment horizontal="center" vertical="center"/>
    </xf>
    <xf numFmtId="0" fontId="20" fillId="41" borderId="107" xfId="6" applyFont="1" applyFill="1" applyBorder="1" applyAlignment="1">
      <alignment horizontal="center" vertical="center"/>
    </xf>
    <xf numFmtId="175" fontId="34" fillId="3" borderId="1" xfId="19" applyNumberFormat="1" applyFont="1" applyFill="1" applyBorder="1" applyAlignment="1">
      <alignment horizontal="right" vertical="center"/>
    </xf>
    <xf numFmtId="0" fontId="34" fillId="3" borderId="0" xfId="0" applyFont="1" applyFill="1" applyBorder="1" applyAlignment="1">
      <alignment horizontal="center" vertical="center"/>
    </xf>
    <xf numFmtId="0" fontId="34" fillId="3" borderId="0" xfId="0" applyFont="1" applyFill="1" applyBorder="1" applyAlignment="1">
      <alignment horizontal="left" vertical="center" wrapText="1"/>
    </xf>
    <xf numFmtId="290" fontId="34" fillId="3" borderId="0" xfId="0" applyNumberFormat="1" applyFont="1" applyFill="1" applyBorder="1" applyAlignment="1">
      <alignment horizontal="center" vertical="center"/>
    </xf>
    <xf numFmtId="182" fontId="34" fillId="3" borderId="0" xfId="0" applyNumberFormat="1" applyFont="1" applyFill="1" applyBorder="1" applyAlignment="1">
      <alignment horizontal="center" vertical="center"/>
    </xf>
    <xf numFmtId="43" fontId="34" fillId="3" borderId="0" xfId="19" applyFont="1" applyFill="1" applyBorder="1" applyAlignment="1">
      <alignment horizontal="center" vertical="center"/>
    </xf>
    <xf numFmtId="175" fontId="34" fillId="3" borderId="0" xfId="19" applyNumberFormat="1" applyFont="1" applyFill="1" applyBorder="1" applyAlignment="1">
      <alignment horizontal="center" vertical="center"/>
    </xf>
    <xf numFmtId="175" fontId="34" fillId="3" borderId="0" xfId="19" applyNumberFormat="1" applyFont="1" applyFill="1" applyBorder="1" applyAlignment="1">
      <alignment horizontal="right" vertical="center"/>
    </xf>
    <xf numFmtId="175" fontId="20" fillId="3" borderId="0" xfId="19" applyNumberFormat="1" applyFont="1" applyFill="1" applyBorder="1" applyAlignment="1">
      <alignment horizontal="center" vertical="center"/>
    </xf>
    <xf numFmtId="0" fontId="34" fillId="3" borderId="0" xfId="0" applyFont="1" applyFill="1" applyBorder="1" applyAlignment="1">
      <alignment vertical="center" wrapText="1"/>
    </xf>
    <xf numFmtId="175" fontId="28" fillId="3" borderId="0" xfId="0" applyNumberFormat="1" applyFont="1" applyFill="1" applyBorder="1" applyAlignment="1">
      <alignment horizontal="center" vertical="center" wrapText="1"/>
    </xf>
    <xf numFmtId="0" fontId="71" fillId="0" borderId="98" xfId="3650" applyFont="1" applyBorder="1" applyAlignment="1"/>
    <xf numFmtId="0" fontId="69" fillId="0" borderId="0" xfId="3650" applyFont="1" applyAlignment="1"/>
    <xf numFmtId="181" fontId="69" fillId="0" borderId="0" xfId="46" applyFont="1" applyAlignment="1">
      <alignment vertical="center"/>
    </xf>
    <xf numFmtId="0" fontId="48" fillId="0" borderId="0" xfId="30" applyNumberFormat="1" applyFont="1" applyAlignment="1" applyProtection="1">
      <alignment vertical="center"/>
      <protection locked="0"/>
    </xf>
    <xf numFmtId="0" fontId="44" fillId="0" borderId="0" xfId="30" applyFont="1" applyAlignment="1">
      <alignment horizontal="center"/>
    </xf>
    <xf numFmtId="0" fontId="18" fillId="0" borderId="0" xfId="30" applyFont="1" applyAlignment="1">
      <alignment horizontal="center"/>
    </xf>
    <xf numFmtId="0" fontId="19" fillId="2" borderId="0" xfId="4" applyFont="1" applyFill="1" applyBorder="1" applyAlignment="1">
      <alignment horizontal="center" vertical="center"/>
    </xf>
    <xf numFmtId="0" fontId="21" fillId="2" borderId="0" xfId="4" applyFont="1" applyFill="1" applyBorder="1" applyAlignment="1">
      <alignment horizontal="center" vertical="center"/>
    </xf>
    <xf numFmtId="0" fontId="21" fillId="2" borderId="12" xfId="4" applyFont="1" applyFill="1" applyBorder="1" applyAlignment="1">
      <alignment horizontal="center" vertical="center"/>
    </xf>
    <xf numFmtId="0" fontId="21" fillId="2" borderId="8" xfId="4" applyFont="1" applyFill="1" applyBorder="1" applyAlignment="1">
      <alignment horizontal="center" vertical="center"/>
    </xf>
    <xf numFmtId="0" fontId="21" fillId="2" borderId="11" xfId="4" applyFont="1" applyFill="1" applyBorder="1" applyAlignment="1">
      <alignment horizontal="center" vertical="center"/>
    </xf>
    <xf numFmtId="0" fontId="52" fillId="3" borderId="16" xfId="18" applyFont="1" applyFill="1" applyBorder="1" applyAlignment="1">
      <alignment horizontal="center" vertical="center"/>
    </xf>
    <xf numFmtId="0" fontId="52" fillId="3" borderId="0" xfId="18" applyFont="1" applyFill="1" applyAlignment="1">
      <alignment horizontal="center" vertical="center"/>
    </xf>
  </cellXfs>
  <cellStyles count="6298">
    <cellStyle name="_x0001_" xfId="58"/>
    <cellStyle name="_x0007_" xfId="59"/>
    <cellStyle name="          _x000a__x000a_shell=progman.exe_x000a__x000a_m" xfId="60"/>
    <cellStyle name="          _x000d__x000a_shell=progman.exe_x000d__x000a_m" xfId="61"/>
    <cellStyle name="          _x000d__x000a_shell=progman.exe_x000d__x000a_m 2" xfId="62"/>
    <cellStyle name="_x0001_ 10" xfId="5690"/>
    <cellStyle name="_x0001_ 11" xfId="5623"/>
    <cellStyle name="_x0001_ 12" xfId="5654"/>
    <cellStyle name="_x0001_ 13" xfId="5606"/>
    <cellStyle name="_x0001_ 14" xfId="4425"/>
    <cellStyle name="_x0001_ 15" xfId="5687"/>
    <cellStyle name="_x0001_ 16" xfId="5579"/>
    <cellStyle name="_x0001_ 17" xfId="5657"/>
    <cellStyle name="_x0001_ 18" xfId="5584"/>
    <cellStyle name="_x0001_ 19" xfId="5565"/>
    <cellStyle name="_x0001_ 2" xfId="3976"/>
    <cellStyle name="_x0001_ 20" xfId="5651"/>
    <cellStyle name="_x0001_ 21" xfId="4344"/>
    <cellStyle name="_x0001_ 22" xfId="5684"/>
    <cellStyle name="_x0001_ 23" xfId="5633"/>
    <cellStyle name="_x0001_ 24" xfId="3988"/>
    <cellStyle name="_x0001_ 25" xfId="5572"/>
    <cellStyle name="_x0001_ 26" xfId="5610"/>
    <cellStyle name="_x0001_ 27" xfId="5712"/>
    <cellStyle name="_x0001_ 28" xfId="5838"/>
    <cellStyle name="_x0001_ 29" xfId="5755"/>
    <cellStyle name="_x0001_ 3" xfId="4250"/>
    <cellStyle name="_x0001_ 30" xfId="5793"/>
    <cellStyle name="_x0001_ 31" xfId="5895"/>
    <cellStyle name="_x0001_ 32" xfId="5905"/>
    <cellStyle name="_x0001_ 33" xfId="5890"/>
    <cellStyle name="_x0001_ 34" xfId="5903"/>
    <cellStyle name="_x0001_ 35" xfId="5715"/>
    <cellStyle name="_x0001_ 36" xfId="5764"/>
    <cellStyle name="_x0001_ 37" xfId="5846"/>
    <cellStyle name="_x0001_ 38" xfId="5738"/>
    <cellStyle name="_x0001_ 39" xfId="5857"/>
    <cellStyle name="_x0001_ 4" xfId="5590"/>
    <cellStyle name="_x0001_ 40" xfId="5827"/>
    <cellStyle name="_x0001_ 41" xfId="5747"/>
    <cellStyle name="_x0001_ 42" xfId="5909"/>
    <cellStyle name="_x0001_ 43" xfId="5901"/>
    <cellStyle name="_x0001_ 44" xfId="5855"/>
    <cellStyle name="_x0001_ 45" xfId="5907"/>
    <cellStyle name="_x0001_ 46" xfId="5887"/>
    <cellStyle name="_x0001_ 47" xfId="5796"/>
    <cellStyle name="_x0001_ 48" xfId="5741"/>
    <cellStyle name="_x0001_ 49" xfId="5833"/>
    <cellStyle name="_x0001_ 5" xfId="5675"/>
    <cellStyle name="_x0001_ 50" xfId="5841"/>
    <cellStyle name="_x0001_ 51" xfId="5757"/>
    <cellStyle name="_x0001_ 52" xfId="5758"/>
    <cellStyle name="_x0001_ 53" xfId="5863"/>
    <cellStyle name="_x0001_ 54" xfId="5916"/>
    <cellStyle name="_x0001_ 55" xfId="5718"/>
    <cellStyle name="_x0001_ 56" xfId="5865"/>
    <cellStyle name="_x0001_ 57" xfId="5791"/>
    <cellStyle name="_x0001_ 58" xfId="5836"/>
    <cellStyle name="_x0001_ 59" xfId="5876"/>
    <cellStyle name="_x0001_ 6" xfId="5603"/>
    <cellStyle name="_x0001_ 60" xfId="5844"/>
    <cellStyle name="_x0001_ 61" xfId="5795"/>
    <cellStyle name="_x0001_ 62" xfId="5787"/>
    <cellStyle name="_x0001_ 63" xfId="5859"/>
    <cellStyle name="_x0001_ 64" xfId="5732"/>
    <cellStyle name="_x0001_ 65" xfId="5797"/>
    <cellStyle name="_x0001_ 66" xfId="5852"/>
    <cellStyle name="_x0001_ 67" xfId="5767"/>
    <cellStyle name="_x0001_ 68" xfId="5831"/>
    <cellStyle name="_x0001_ 69" xfId="5823"/>
    <cellStyle name="_x0001_ 7" xfId="5649"/>
    <cellStyle name="_x0001_ 70" xfId="5730"/>
    <cellStyle name="_x0001_ 71" xfId="3915"/>
    <cellStyle name="_x0001_ 72" xfId="4947"/>
    <cellStyle name="_x0001_ 73" xfId="5924"/>
    <cellStyle name="_x0001_ 74" xfId="5995"/>
    <cellStyle name="_x0001_ 75" xfId="6016"/>
    <cellStyle name="_x0001_ 8" xfId="3959"/>
    <cellStyle name="_x0001_ 9" xfId="5653"/>
    <cellStyle name="_x000d__x000a_JournalTemplate=C:\COMFO\CTALK\JOURSTD.TPL_x000d__x000a_LbStateAddress=3 3 0 251 1 89 2 311_x000d__x000a_LbStateJou" xfId="1255"/>
    <cellStyle name="_x000d__x000a_JournalTemplate=C:\COMFO\CTALK\JOURSTD.TPL_x000d__x000a_LbStateAddress=3 3 0 251 1 89 2 311_x000d__x000a_LbStateJou 2" xfId="1876"/>
    <cellStyle name="??" xfId="63"/>
    <cellStyle name="?? [ - ??1" xfId="1771"/>
    <cellStyle name="?? [ - ??2" xfId="1772"/>
    <cellStyle name="?? [ - ??3" xfId="1773"/>
    <cellStyle name="?? [ - ??4" xfId="1774"/>
    <cellStyle name="?? [ - ??5" xfId="1775"/>
    <cellStyle name="?? [ - ??6" xfId="1776"/>
    <cellStyle name="?? [ - ??7" xfId="1777"/>
    <cellStyle name="?? [ - ??8" xfId="1778"/>
    <cellStyle name="?? [0.00]_ Att. 1- Cover" xfId="1779"/>
    <cellStyle name="?? [0]" xfId="64"/>
    <cellStyle name="?? [0] 2" xfId="65"/>
    <cellStyle name="?? [0] 3" xfId="1780"/>
    <cellStyle name="?? [0] 4" xfId="3978"/>
    <cellStyle name="?? [0] 5" xfId="3665"/>
    <cellStyle name="?? [0]_ ??? ???? " xfId="66"/>
    <cellStyle name="?? 10" xfId="5691"/>
    <cellStyle name="?? 11" xfId="5656"/>
    <cellStyle name="?? 12" xfId="5588"/>
    <cellStyle name="?? 13" xfId="5601"/>
    <cellStyle name="?? 14" xfId="4034"/>
    <cellStyle name="?? 15" xfId="5699"/>
    <cellStyle name="?? 16" xfId="5571"/>
    <cellStyle name="?? 17" xfId="4418"/>
    <cellStyle name="?? 18" xfId="5646"/>
    <cellStyle name="?? 19" xfId="5700"/>
    <cellStyle name="?? 2" xfId="1770"/>
    <cellStyle name="?? 20" xfId="5671"/>
    <cellStyle name="?? 21" xfId="5678"/>
    <cellStyle name="?? 22" xfId="5673"/>
    <cellStyle name="?? 23" xfId="4427"/>
    <cellStyle name="?? 24" xfId="5568"/>
    <cellStyle name="?? 25" xfId="5644"/>
    <cellStyle name="?? 26" xfId="4431"/>
    <cellStyle name="?? 27" xfId="5611"/>
    <cellStyle name="?? 28" xfId="5609"/>
    <cellStyle name="?? 29" xfId="5688"/>
    <cellStyle name="?? 3" xfId="1838"/>
    <cellStyle name="?? 30" xfId="5713"/>
    <cellStyle name="?? 31" xfId="5799"/>
    <cellStyle name="?? 32" xfId="5750"/>
    <cellStyle name="?? 33" xfId="5790"/>
    <cellStyle name="?? 34" xfId="5915"/>
    <cellStyle name="?? 35" xfId="5853"/>
    <cellStyle name="?? 36" xfId="5751"/>
    <cellStyle name="?? 37" xfId="5913"/>
    <cellStyle name="?? 38" xfId="5783"/>
    <cellStyle name="?? 39" xfId="5760"/>
    <cellStyle name="?? 4" xfId="3030"/>
    <cellStyle name="?? 40" xfId="5872"/>
    <cellStyle name="?? 41" xfId="5761"/>
    <cellStyle name="?? 42" xfId="5736"/>
    <cellStyle name="?? 43" xfId="5803"/>
    <cellStyle name="?? 44" xfId="5728"/>
    <cellStyle name="?? 45" xfId="5802"/>
    <cellStyle name="?? 46" xfId="5867"/>
    <cellStyle name="?? 47" xfId="5869"/>
    <cellStyle name="?? 48" xfId="5898"/>
    <cellStyle name="?? 49" xfId="5705"/>
    <cellStyle name="?? 5" xfId="3977"/>
    <cellStyle name="?? 50" xfId="5906"/>
    <cellStyle name="?? 51" xfId="5891"/>
    <cellStyle name="?? 52" xfId="5777"/>
    <cellStyle name="?? 53" xfId="5773"/>
    <cellStyle name="?? 54" xfId="5735"/>
    <cellStyle name="?? 55" xfId="5749"/>
    <cellStyle name="?? 56" xfId="5850"/>
    <cellStyle name="?? 57" xfId="5814"/>
    <cellStyle name="?? 58" xfId="5794"/>
    <cellStyle name="?? 59" xfId="5860"/>
    <cellStyle name="?? 6" xfId="4209"/>
    <cellStyle name="?? 60" xfId="5725"/>
    <cellStyle name="?? 61" xfId="5769"/>
    <cellStyle name="?? 62" xfId="5874"/>
    <cellStyle name="?? 63" xfId="5851"/>
    <cellStyle name="?? 64" xfId="5759"/>
    <cellStyle name="?? 65" xfId="5815"/>
    <cellStyle name="?? 66" xfId="5902"/>
    <cellStyle name="?? 67" xfId="5788"/>
    <cellStyle name="?? 68" xfId="5822"/>
    <cellStyle name="?? 69" xfId="5806"/>
    <cellStyle name="?? 7" xfId="5632"/>
    <cellStyle name="?? 70" xfId="5792"/>
    <cellStyle name="?? 71" xfId="5832"/>
    <cellStyle name="?? 72" xfId="5900"/>
    <cellStyle name="?? 73" xfId="5807"/>
    <cellStyle name="?? 74" xfId="3664"/>
    <cellStyle name="?? 75" xfId="4409"/>
    <cellStyle name="?? 76" xfId="6035"/>
    <cellStyle name="?? 77" xfId="4882"/>
    <cellStyle name="?? 78" xfId="6005"/>
    <cellStyle name="?? 8" xfId="5638"/>
    <cellStyle name="?? 9" xfId="5615"/>
    <cellStyle name="?_x001d_??%U©÷u&amp;H©÷9_x0008_? s_x000a__x0007__x0001__x0001_" xfId="1256"/>
    <cellStyle name="?_x001d_??%U©÷u&amp;H©÷9_x0008_?_x0009_s_x000a__x0007__x0001__x0001_" xfId="67"/>
    <cellStyle name="???? [0.00]_List-dwg" xfId="68"/>
    <cellStyle name="??????????????????? [0]_FTC_OFFER" xfId="69"/>
    <cellStyle name="????_List-dwg" xfId="70"/>
    <cellStyle name="???[0]_?? DI" xfId="1257"/>
    <cellStyle name="???_?? DI" xfId="1258"/>
    <cellStyle name="??[0]_BRE" xfId="1781"/>
    <cellStyle name="??_ ??? ???? " xfId="71"/>
    <cellStyle name="??A? [0]_laroux_1_¸???™? " xfId="72"/>
    <cellStyle name="??A?_laroux_1_¸???™? " xfId="73"/>
    <cellStyle name="?¡±¢¥?_?¨ù??¢´¢¥_¢¬???¢â? " xfId="74"/>
    <cellStyle name="?”´?_?¼??¤´_¸???™? " xfId="75"/>
    <cellStyle name="_x0001_?¶æµ_x001b_ºß­ " xfId="76"/>
    <cellStyle name="?ðÇ%U?&amp;H?_x0008_?s_x000a__x0007__x0001__x0001_" xfId="77"/>
    <cellStyle name="_1144-Halongbay-Legrand" xfId="78"/>
    <cellStyle name="_1144-Halongbay-Legrand separate 30-10-06" xfId="79"/>
    <cellStyle name="_AC Nielsen - APH0008919 - 19Feb08'_Chang_Final" xfId="80"/>
    <cellStyle name="_AC Nielsen - APH0009322 - 29Feb08_RL" xfId="81"/>
    <cellStyle name="_AIRCON HCM(WALL MOUNTED)" xfId="82"/>
    <cellStyle name="_AIRCON HCM(WALL MOUNTED) (3)" xfId="83"/>
    <cellStyle name="_AIRCON HN(CEILING SUSPENDED TYPE)" xfId="84"/>
    <cellStyle name="_AIRCON HN(WALL MOUNTED)" xfId="85"/>
    <cellStyle name="_ÀÓ¿¬1" xfId="86"/>
    <cellStyle name="_bang chon NCC" xfId="87"/>
    <cellStyle name="_Book1" xfId="88"/>
    <cellStyle name="_Book1 2" xfId="3980"/>
    <cellStyle name="_Book1 3" xfId="3666"/>
    <cellStyle name="_Book1_1" xfId="89"/>
    <cellStyle name="_Book1_1 2" xfId="90"/>
    <cellStyle name="_Book1_1_Kiểm toán tuyến ống nhập theo DTDC " xfId="91"/>
    <cellStyle name="_Book1_1_Union_P for Abbott - Siemon Cabling" xfId="92"/>
    <cellStyle name="_Book1_1_Union_P for Abott -Systimax Cabling (1)" xfId="93"/>
    <cellStyle name="_Book1_2" xfId="94"/>
    <cellStyle name="_Book1_3" xfId="95"/>
    <cellStyle name="_Book1_bang chon NCC" xfId="96"/>
    <cellStyle name="_Book1_BC-QT-WB-dthao" xfId="97"/>
    <cellStyle name="_Book1_Book1" xfId="98"/>
    <cellStyle name="_Book1_Book1 2" xfId="3981"/>
    <cellStyle name="_Book1_Book1 3" xfId="3667"/>
    <cellStyle name="_Book1_giá mới" xfId="1259"/>
    <cellStyle name="_Book1_Kiểm toán tuyến ống nhập theo DTDC " xfId="99"/>
    <cellStyle name="_Book1_SONADEZI" xfId="100"/>
    <cellStyle name="_Book1_Udic_M&amp;E HT Thang may_Rev.00_Cost estimates 111007 VN" xfId="101"/>
    <cellStyle name="_Book1_Union_P for Abbott - Siemon Cabling" xfId="102"/>
    <cellStyle name="_Book1_Union_P for Abott -Systimax Cabling (1)" xfId="103"/>
    <cellStyle name="_Book2" xfId="104"/>
    <cellStyle name="_BOQ_ME_without price - Ford Foundation" xfId="105"/>
    <cellStyle name="_cable for RMIT HN" xfId="106"/>
    <cellStyle name="_cable for RMIT HN 2" xfId="107"/>
    <cellStyle name="_Cai tao nha TN 5 tang " xfId="108"/>
    <cellStyle name="_Chieu sang, Nhon Trach sua" xfId="120"/>
    <cellStyle name="_CLOCK (3)" xfId="109"/>
    <cellStyle name="_Copy of Cargill HN M&amp;E quotation 12.05.2010" xfId="1260"/>
    <cellStyle name="_Costing Template" xfId="110"/>
    <cellStyle name="_Costing Template - New" xfId="111"/>
    <cellStyle name="_Costing Template_17Jan'08_All_Chang_Kim" xfId="112"/>
    <cellStyle name="_CS - Emerson.RF.01R02 - Raise Floor - 07April'08 - Kim" xfId="113"/>
    <cellStyle name="_CS - Emerson.RF.01R02 - Raise Floor - 07April'08 - Kim 2" xfId="114"/>
    <cellStyle name="_CS - RMIT-HN-CS1000M MC32 - 16Jan08 - Chang-Kim - Nghia" xfId="115"/>
    <cellStyle name="_CS_VB Bank_StructureCabling_00R00_19Mar08_Chang" xfId="116"/>
    <cellStyle name="_CS_VB Bank_StructureCabling_00R00_19Mar08_Chang 2" xfId="117"/>
    <cellStyle name="_CS-Emerson- FPT Cisco Switch-14Feb'08-Kim-Huy" xfId="118"/>
    <cellStyle name="_CUA LO SCHOOL (3)" xfId="119"/>
    <cellStyle name="_dutch  lady 3  (25-3)" xfId="121"/>
    <cellStyle name="_Electric BOQ of Macro Force 11-09-08" xfId="122"/>
    <cellStyle name="_Form Mau Structured Cabling &amp; Network - EMERSON" xfId="123"/>
    <cellStyle name="_Giai Doan 3 Hong Ngu" xfId="126"/>
    <cellStyle name="_gritti" xfId="124"/>
    <cellStyle name="_Gritti 31-3" xfId="125"/>
    <cellStyle name="_HCM - EMERSON Cabling-00R00-16Jan'08-AMP Cat.6-Fiber Trunking-Huy-Nghia-Huy" xfId="127"/>
    <cellStyle name="_HSBC BD-FB.11R01 - 29Jun09 - Kim" xfId="128"/>
    <cellStyle name="_HSBC BD-FB.11R01 - 29Jun09 - Kim 2" xfId="129"/>
    <cellStyle name="_HSBC.HCM-SC.09R01.30Jul08 - Kim - Unit Price" xfId="130"/>
    <cellStyle name="_Kiểm toán tuyến ống nhập theo DTDC " xfId="131"/>
    <cellStyle name="_KLTT DUOC PHAM (16-6)" xfId="132"/>
    <cellStyle name="_KT (2)" xfId="133"/>
    <cellStyle name="_KT (2) 2" xfId="3987"/>
    <cellStyle name="_KT (2) 3" xfId="3668"/>
    <cellStyle name="_KT (2)_1" xfId="134"/>
    <cellStyle name="_KT (2)_1_Book1" xfId="135"/>
    <cellStyle name="_KT (2)_1_dutch  lady 3  (25-3)" xfId="136"/>
    <cellStyle name="_KT (2)_1_gritti" xfId="137"/>
    <cellStyle name="_KT (2)_1_Gritti 31-3" xfId="138"/>
    <cellStyle name="_KT (2)_1_Lora-tungchau" xfId="139"/>
    <cellStyle name="_KT (2)_1_Qt-HT3PQ1(CauKho)" xfId="140"/>
    <cellStyle name="_KT (2)_1_Qt-HT3PQ1(CauKho)_bang quyet toan Duong Van Cam" xfId="1261"/>
    <cellStyle name="_KT (2)_1_Qt-HT3PQ1(CauKho)_Don gia quy 3 nam 2003 - Ban Dien Luc" xfId="1262"/>
    <cellStyle name="_KT (2)_1_Qt-HT3PQ1(CauKho)_NC-VL2-2003" xfId="1263"/>
    <cellStyle name="_KT (2)_1_Qt-HT3PQ1(CauKho)_NC-VL2-2003_1" xfId="1264"/>
    <cellStyle name="_KT (2)_1_Qt-HT3PQ1(CauKho)_Sheet4" xfId="1265"/>
    <cellStyle name="_KT (2)_1_Quotation" xfId="141"/>
    <cellStyle name="_KT (2)_1_thong ke cua Inox" xfId="142"/>
    <cellStyle name="_KT (2)_2" xfId="143"/>
    <cellStyle name="_KT (2)_2_TG-TH" xfId="144"/>
    <cellStyle name="_KT (2)_2_TG-TH 2" xfId="3990"/>
    <cellStyle name="_KT (2)_2_TG-TH 3" xfId="3670"/>
    <cellStyle name="_KT (2)_2_TG-TH_bang chon NCC" xfId="145"/>
    <cellStyle name="_KT (2)_2_TG-TH_Bang tong hop" xfId="1266"/>
    <cellStyle name="_KT (2)_2_TG-TH_BAO CAO KLCT PT2000" xfId="146"/>
    <cellStyle name="_KT (2)_2_TG-TH_BAO CAO PT2000" xfId="147"/>
    <cellStyle name="_KT (2)_2_TG-TH_BAO CAO PT2000_Book1" xfId="148"/>
    <cellStyle name="_KT (2)_2_TG-TH_Bao cao XDCB 2001 - T11 KH dieu chinh 20-11-THAI" xfId="149"/>
    <cellStyle name="_KT (2)_2_TG-TH_Book1" xfId="150"/>
    <cellStyle name="_KT (2)_2_TG-TH_Book1 2" xfId="3992"/>
    <cellStyle name="_KT (2)_2_TG-TH_Book1 3" xfId="3671"/>
    <cellStyle name="_KT (2)_2_TG-TH_Book1_1" xfId="151"/>
    <cellStyle name="_KT (2)_2_TG-TH_Book1_1 2" xfId="3993"/>
    <cellStyle name="_KT (2)_2_TG-TH_Book1_1 3" xfId="3672"/>
    <cellStyle name="_KT (2)_2_TG-TH_Book1_1_Book1" xfId="152"/>
    <cellStyle name="_KT (2)_2_TG-TH_Book1_1_Book1_1" xfId="153"/>
    <cellStyle name="_KT (2)_2_TG-TH_Book1_1_DanhMucDonGiaVTTB_Dien_TAM" xfId="1267"/>
    <cellStyle name="_KT (2)_2_TG-TH_Book1_1_Kiểm toán tuyến ống nhập theo DTDC " xfId="154"/>
    <cellStyle name="_KT (2)_2_TG-TH_Book1_1_SONADEZI" xfId="155"/>
    <cellStyle name="_KT (2)_2_TG-TH_Book1_1_Union_P for Abbott - Siemon Cabling" xfId="156"/>
    <cellStyle name="_KT (2)_2_TG-TH_Book1_1_Union_P for Abott -Systimax Cabling (1)" xfId="157"/>
    <cellStyle name="_KT (2)_2_TG-TH_Book1_2" xfId="158"/>
    <cellStyle name="_KT (2)_2_TG-TH_Book1_2 2" xfId="3995"/>
    <cellStyle name="_KT (2)_2_TG-TH_Book1_2 3" xfId="3673"/>
    <cellStyle name="_KT (2)_2_TG-TH_Book1_2_Book1" xfId="159"/>
    <cellStyle name="_KT (2)_2_TG-TH_Book1_2_KLTT DUOC PHAM (16-6)" xfId="160"/>
    <cellStyle name="_KT (2)_2_TG-TH_Book1_2_SONADEZI" xfId="161"/>
    <cellStyle name="_KT (2)_2_TG-TH_Book1_2_Union_P for Abbott - Siemon Cabling" xfId="162"/>
    <cellStyle name="_KT (2)_2_TG-TH_Book1_2_Union_P for Abott -Systimax Cabling (1)" xfId="163"/>
    <cellStyle name="_KT (2)_2_TG-TH_Book1_3" xfId="164"/>
    <cellStyle name="_KT (2)_2_TG-TH_Book1_3 2" xfId="3997"/>
    <cellStyle name="_KT (2)_2_TG-TH_Book1_3 3" xfId="3674"/>
    <cellStyle name="_KT (2)_2_TG-TH_Book1_3_Sheet4" xfId="1268"/>
    <cellStyle name="_KT (2)_2_TG-TH_Book1_3_Union_P for Abbott - Siemon Cabling" xfId="165"/>
    <cellStyle name="_KT (2)_2_TG-TH_Book1_3_Union_P for Abott -Systimax Cabling (1)" xfId="166"/>
    <cellStyle name="_KT (2)_2_TG-TH_Book1_4" xfId="167"/>
    <cellStyle name="_KT (2)_2_TG-TH_Book1_bang chon NCC" xfId="168"/>
    <cellStyle name="_KT (2)_2_TG-TH_Book1_Book1" xfId="169"/>
    <cellStyle name="_KT (2)_2_TG-TH_Book1_Book1 2" xfId="170"/>
    <cellStyle name="_KT (2)_2_TG-TH_Book1_Book1 3" xfId="3998"/>
    <cellStyle name="_KT (2)_2_TG-TH_Book1_Book1 4" xfId="3675"/>
    <cellStyle name="_KT (2)_2_TG-TH_Book1_Book1_1" xfId="171"/>
    <cellStyle name="_KT (2)_2_TG-TH_Book1_Book1_2" xfId="172"/>
    <cellStyle name="_KT (2)_2_TG-TH_Book1_DanhMucDonGiaVTTB_Dien_TAM" xfId="1269"/>
    <cellStyle name="_KT (2)_2_TG-TH_Book1_giá mới" xfId="1270"/>
    <cellStyle name="_KT (2)_2_TG-TH_Book1_Kiểm toán tuyến ống nhập theo DTDC " xfId="173"/>
    <cellStyle name="_KT (2)_2_TG-TH_Book1_SONADEZI" xfId="174"/>
    <cellStyle name="_KT (2)_2_TG-TH_Book1_Union_P for Abbott - Siemon Cabling" xfId="175"/>
    <cellStyle name="_KT (2)_2_TG-TH_Book1_Union_P for Abott -Systimax Cabling (1)" xfId="176"/>
    <cellStyle name="_KT (2)_2_TG-TH_Book2" xfId="177"/>
    <cellStyle name="_KT (2)_2_TG-TH_Dcdtoan-bcnckt " xfId="178"/>
    <cellStyle name="_KT (2)_2_TG-TH_Dcdtoan-bcnckt  2" xfId="4001"/>
    <cellStyle name="_KT (2)_2_TG-TH_Dcdtoan-bcnckt  3" xfId="3676"/>
    <cellStyle name="_KT (2)_2_TG-TH_DGMOI" xfId="1271"/>
    <cellStyle name="_KT (2)_2_TG-TH_DTCDT MR.2N110.HOCMON.TDTOAN.CCUNG" xfId="179"/>
    <cellStyle name="_KT (2)_2_TG-TH_dutch  lady 3  (25-3)" xfId="180"/>
    <cellStyle name="_KT (2)_2_TG-TH_giá mới" xfId="1272"/>
    <cellStyle name="_KT (2)_2_TG-TH_Giai Doan 3 Hong Ngu" xfId="183"/>
    <cellStyle name="_KT (2)_2_TG-TH_gritti" xfId="181"/>
    <cellStyle name="_KT (2)_2_TG-TH_Gritti 31-3" xfId="182"/>
    <cellStyle name="_KT (2)_2_TG-TH_KL DU THAU (gui)" xfId="184"/>
    <cellStyle name="_KT (2)_2_TG-TH_KLTT DUOC PHAM (16-6)" xfId="185"/>
    <cellStyle name="_KT (2)_2_TG-TH_Lora-tungchau" xfId="186"/>
    <cellStyle name="_KT (2)_2_TG-TH_moi" xfId="1273"/>
    <cellStyle name="_KT (2)_2_TG-TH_PGIA-phieu tham tra Kho bac" xfId="187"/>
    <cellStyle name="_KT (2)_2_TG-TH_PT02-02" xfId="188"/>
    <cellStyle name="_KT (2)_2_TG-TH_PT02-02_Book1" xfId="189"/>
    <cellStyle name="_KT (2)_2_TG-TH_PT02-03" xfId="190"/>
    <cellStyle name="_KT (2)_2_TG-TH_PT02-03_Book1" xfId="191"/>
    <cellStyle name="_KT (2)_2_TG-TH_Qt-HT3PQ1(CauKho)" xfId="192"/>
    <cellStyle name="_KT (2)_2_TG-TH_Qt-HT3PQ1(CauKho)_bang quyet toan Duong Van Cam" xfId="1274"/>
    <cellStyle name="_KT (2)_2_TG-TH_Qt-HT3PQ1(CauKho)_Don gia quy 3 nam 2003 - Ban Dien Luc" xfId="1275"/>
    <cellStyle name="_KT (2)_2_TG-TH_Qt-HT3PQ1(CauKho)_NC-VL2-2003" xfId="1276"/>
    <cellStyle name="_KT (2)_2_TG-TH_Qt-HT3PQ1(CauKho)_NC-VL2-2003_1" xfId="1277"/>
    <cellStyle name="_KT (2)_2_TG-TH_Qt-HT3PQ1(CauKho)_Sheet4" xfId="1278"/>
    <cellStyle name="_KT (2)_2_TG-TH_Quotation" xfId="193"/>
    <cellStyle name="_KT (2)_2_TG-TH_Quotation_1" xfId="194"/>
    <cellStyle name="_KT (2)_2_TG-TH_SaDec" xfId="195"/>
    <cellStyle name="_KT (2)_2_TG-TH_Sheet2" xfId="1279"/>
    <cellStyle name="_KT (2)_2_TG-TH_Sheet4" xfId="1280"/>
    <cellStyle name="_KT (2)_2_TG-TH_SONADEZI" xfId="196"/>
    <cellStyle name="_KT (2)_2_TG-TH_thong ke cua Inox" xfId="197"/>
    <cellStyle name="_KT (2)_2_TG-TH_thopdutoan_duong_43_45_THAM_TRA" xfId="1281"/>
    <cellStyle name="_KT (2)_2_TG-TH_thopdutoan_duong_so_27_dieu_chinh_THAM_TRA_3_2006" xfId="1282"/>
    <cellStyle name="_KT (2)_2_TG-TH_thopdutoan_duong_to_1_2_BINH_CHIEU_thang_5_2006_THAM_TRA" xfId="1283"/>
    <cellStyle name="_KT (2)_2_TG-TH_thop-TNVAN" xfId="1284"/>
    <cellStyle name="_KT (2)_2_TG-TH_thuy san Phan Thiet" xfId="198"/>
    <cellStyle name="_KT (2)_2_TG-TH_Union_P for Abbott - Siemon Cabling" xfId="199"/>
    <cellStyle name="_KT (2)_2_TG-TH_Union_P for Abott -Systimax Cabling (1)" xfId="200"/>
    <cellStyle name="_KT (2)_2_TG-TH_XL4Poppy" xfId="1285"/>
    <cellStyle name="_KT (2)_2_TG-TH_XL4Poppy_XL4Test5" xfId="1286"/>
    <cellStyle name="_KT (2)_2_TG-TH_XL4Test5" xfId="1287"/>
    <cellStyle name="_KT (2)_3" xfId="201"/>
    <cellStyle name="_KT (2)_3_TG-TH" xfId="202"/>
    <cellStyle name="_KT (2)_3_TG-TH 2" xfId="4004"/>
    <cellStyle name="_KT (2)_3_TG-TH 3" xfId="3680"/>
    <cellStyle name="_KT (2)_3_TG-TH_bang chon NCC" xfId="203"/>
    <cellStyle name="_KT (2)_3_TG-TH_Book1" xfId="204"/>
    <cellStyle name="_KT (2)_3_TG-TH_Book1 2" xfId="4005"/>
    <cellStyle name="_KT (2)_3_TG-TH_Book1 3" xfId="3681"/>
    <cellStyle name="_KT (2)_3_TG-TH_Book1_1" xfId="205"/>
    <cellStyle name="_KT (2)_3_TG-TH_Book1_1 2" xfId="206"/>
    <cellStyle name="_KT (2)_3_TG-TH_Book1_1_Union_P for Abbott - Siemon Cabling" xfId="207"/>
    <cellStyle name="_KT (2)_3_TG-TH_Book1_1_Union_P for Abott -Systimax Cabling (1)" xfId="208"/>
    <cellStyle name="_KT (2)_3_TG-TH_Book1_2" xfId="209"/>
    <cellStyle name="_KT (2)_3_TG-TH_Book1_3" xfId="210"/>
    <cellStyle name="_KT (2)_3_TG-TH_Book1_bang chon NCC" xfId="211"/>
    <cellStyle name="_KT (2)_3_TG-TH_Book1_BC-QT-WB-dthao" xfId="212"/>
    <cellStyle name="_KT (2)_3_TG-TH_Book1_Book1" xfId="213"/>
    <cellStyle name="_KT (2)_3_TG-TH_Book1_Book1 2" xfId="4006"/>
    <cellStyle name="_KT (2)_3_TG-TH_Book1_Book1 3" xfId="3682"/>
    <cellStyle name="_KT (2)_3_TG-TH_Book1_SONADEZI" xfId="214"/>
    <cellStyle name="_KT (2)_3_TG-TH_Book1_Union_P for Abbott - Siemon Cabling" xfId="215"/>
    <cellStyle name="_KT (2)_3_TG-TH_Book1_Union_P for Abott -Systimax Cabling (1)" xfId="216"/>
    <cellStyle name="_KT (2)_3_TG-TH_Book2" xfId="217"/>
    <cellStyle name="_KT (2)_3_TG-TH_Chieu sang, Nhon Trach sua" xfId="218"/>
    <cellStyle name="_KT (2)_3_TG-TH_dutch  lady 3  (25-3)" xfId="219"/>
    <cellStyle name="_KT (2)_3_TG-TH_giá mới" xfId="1288"/>
    <cellStyle name="_KT (2)_3_TG-TH_Giai Doan 3 Hong Ngu" xfId="222"/>
    <cellStyle name="_KT (2)_3_TG-TH_gritti" xfId="220"/>
    <cellStyle name="_KT (2)_3_TG-TH_Gritti 31-3" xfId="221"/>
    <cellStyle name="_KT (2)_3_TG-TH_KLTT DUOC PHAM (16-6)" xfId="223"/>
    <cellStyle name="_KT (2)_3_TG-TH_Lora-tungchau" xfId="224"/>
    <cellStyle name="_KT (2)_3_TG-TH_Lora-tungchau 2" xfId="4008"/>
    <cellStyle name="_KT (2)_3_TG-TH_Lora-tungchau 3" xfId="3683"/>
    <cellStyle name="_KT (2)_3_TG-TH_PERSONAL" xfId="225"/>
    <cellStyle name="_KT (2)_3_TG-TH_PERSONAL 2" xfId="4009"/>
    <cellStyle name="_KT (2)_3_TG-TH_PERSONAL 3" xfId="3684"/>
    <cellStyle name="_KT (2)_3_TG-TH_PERSONAL_Book1" xfId="1289"/>
    <cellStyle name="_KT (2)_3_TG-TH_PERSONAL_giá mới" xfId="1290"/>
    <cellStyle name="_KT (2)_3_TG-TH_PERSONAL_HTQ.8 GD1" xfId="226"/>
    <cellStyle name="_KT (2)_3_TG-TH_PERSONAL_HTQ.8 GD1_bang quyet toan Duong Van Cam" xfId="1291"/>
    <cellStyle name="_KT (2)_3_TG-TH_PERSONAL_HTQ.8 GD1_Don gia quy 3 nam 2003 - Ban Dien Luc" xfId="1292"/>
    <cellStyle name="_KT (2)_3_TG-TH_PERSONAL_HTQ.8 GD1_NC-VL2-2003" xfId="1293"/>
    <cellStyle name="_KT (2)_3_TG-TH_PERSONAL_HTQ.8 GD1_NC-VL2-2003_1" xfId="1294"/>
    <cellStyle name="_KT (2)_3_TG-TH_PERSONAL_HTQ.8 GD1_Sheet4" xfId="1295"/>
    <cellStyle name="_KT (2)_3_TG-TH_PERSONAL_TDPP2" xfId="1296"/>
    <cellStyle name="_KT (2)_3_TG-TH_PERSONAL_Tong hop KHCB 2001" xfId="227"/>
    <cellStyle name="_KT (2)_3_TG-TH_Qt-HT3PQ1(CauKho)" xfId="228"/>
    <cellStyle name="_KT (2)_3_TG-TH_Qt-HT3PQ1(CauKho)_bang quyet toan Duong Van Cam" xfId="1297"/>
    <cellStyle name="_KT (2)_3_TG-TH_Qt-HT3PQ1(CauKho)_Don gia quy 3 nam 2003 - Ban Dien Luc" xfId="1298"/>
    <cellStyle name="_KT (2)_3_TG-TH_Qt-HT3PQ1(CauKho)_NC-VL2-2003" xfId="1299"/>
    <cellStyle name="_KT (2)_3_TG-TH_Qt-HT3PQ1(CauKho)_NC-VL2-2003_1" xfId="1300"/>
    <cellStyle name="_KT (2)_3_TG-TH_Qt-HT3PQ1(CauKho)_Sheet4" xfId="1301"/>
    <cellStyle name="_KT (2)_3_TG-TH_Quotation" xfId="229"/>
    <cellStyle name="_KT (2)_3_TG-TH_SaDec" xfId="230"/>
    <cellStyle name="_KT (2)_3_TG-TH_SONADEZI" xfId="231"/>
    <cellStyle name="_KT (2)_3_TG-TH_thong ke cua Inox" xfId="233"/>
    <cellStyle name="_KT (2)_3_TG-TH_tong muc-myan-xuantruong" xfId="232"/>
    <cellStyle name="_KT (2)_3_TG-TH_Union_P for Abbott - Siemon Cabling" xfId="234"/>
    <cellStyle name="_KT (2)_3_TG-TH_Union_P for Abott -Systimax Cabling (1)" xfId="235"/>
    <cellStyle name="_KT (2)_4" xfId="236"/>
    <cellStyle name="_KT (2)_4 2" xfId="4010"/>
    <cellStyle name="_KT (2)_4 3" xfId="3686"/>
    <cellStyle name="_KT (2)_4_bang chon NCC" xfId="237"/>
    <cellStyle name="_KT (2)_4_Bang tong hop" xfId="1302"/>
    <cellStyle name="_KT (2)_4_BAO CAO KLCT PT2000" xfId="238"/>
    <cellStyle name="_KT (2)_4_BAO CAO PT2000" xfId="239"/>
    <cellStyle name="_KT (2)_4_BAO CAO PT2000_Book1" xfId="240"/>
    <cellStyle name="_KT (2)_4_Bao cao XDCB 2001 - T11 KH dieu chinh 20-11-THAI" xfId="241"/>
    <cellStyle name="_KT (2)_4_Book1" xfId="242"/>
    <cellStyle name="_KT (2)_4_Book1 2" xfId="4011"/>
    <cellStyle name="_KT (2)_4_Book1 3" xfId="3688"/>
    <cellStyle name="_KT (2)_4_Book1_1" xfId="243"/>
    <cellStyle name="_KT (2)_4_Book1_1 2" xfId="4012"/>
    <cellStyle name="_KT (2)_4_Book1_1 3" xfId="3689"/>
    <cellStyle name="_KT (2)_4_Book1_1_Book1" xfId="244"/>
    <cellStyle name="_KT (2)_4_Book1_1_Book1_1" xfId="245"/>
    <cellStyle name="_KT (2)_4_Book1_1_DanhMucDonGiaVTTB_Dien_TAM" xfId="1303"/>
    <cellStyle name="_KT (2)_4_Book1_1_SONADEZI" xfId="246"/>
    <cellStyle name="_KT (2)_4_Book1_1_Union_P for Abbott - Siemon Cabling" xfId="247"/>
    <cellStyle name="_KT (2)_4_Book1_1_Union_P for Abott -Systimax Cabling (1)" xfId="248"/>
    <cellStyle name="_KT (2)_4_Book1_2" xfId="249"/>
    <cellStyle name="_KT (2)_4_Book1_2 2" xfId="4013"/>
    <cellStyle name="_KT (2)_4_Book1_2 3" xfId="3690"/>
    <cellStyle name="_KT (2)_4_Book1_2_Book1" xfId="250"/>
    <cellStyle name="_KT (2)_4_Book1_2_KLTT DUOC PHAM (16-6)" xfId="251"/>
    <cellStyle name="_KT (2)_4_Book1_2_SONADEZI" xfId="252"/>
    <cellStyle name="_KT (2)_4_Book1_2_Union_P for Abbott - Siemon Cabling" xfId="253"/>
    <cellStyle name="_KT (2)_4_Book1_2_Union_P for Abott -Systimax Cabling (1)" xfId="254"/>
    <cellStyle name="_KT (2)_4_Book1_3" xfId="255"/>
    <cellStyle name="_KT (2)_4_Book1_3 2" xfId="4015"/>
    <cellStyle name="_KT (2)_4_Book1_3 3" xfId="3691"/>
    <cellStyle name="_KT (2)_4_Book1_3_Sheet4" xfId="1304"/>
    <cellStyle name="_KT (2)_4_Book1_3_Union_P for Abbott - Siemon Cabling" xfId="256"/>
    <cellStyle name="_KT (2)_4_Book1_3_Union_P for Abott -Systimax Cabling (1)" xfId="257"/>
    <cellStyle name="_KT (2)_4_Book1_4" xfId="258"/>
    <cellStyle name="_KT (2)_4_Book1_bang chon NCC" xfId="259"/>
    <cellStyle name="_KT (2)_4_Book1_Book1" xfId="260"/>
    <cellStyle name="_KT (2)_4_Book1_Book1 2" xfId="261"/>
    <cellStyle name="_KT (2)_4_Book1_Book1 3" xfId="4016"/>
    <cellStyle name="_KT (2)_4_Book1_Book1 4" xfId="3692"/>
    <cellStyle name="_KT (2)_4_Book1_Book1_1" xfId="262"/>
    <cellStyle name="_KT (2)_4_Book1_Book1_2" xfId="263"/>
    <cellStyle name="_KT (2)_4_Book1_DanhMucDonGiaVTTB_Dien_TAM" xfId="1305"/>
    <cellStyle name="_KT (2)_4_Book1_giá mới" xfId="1306"/>
    <cellStyle name="_KT (2)_4_Book1_SONADEZI" xfId="264"/>
    <cellStyle name="_KT (2)_4_Book1_Union_P for Abbott - Siemon Cabling" xfId="265"/>
    <cellStyle name="_KT (2)_4_Book1_Union_P for Abott -Systimax Cabling (1)" xfId="266"/>
    <cellStyle name="_KT (2)_4_Book2" xfId="267"/>
    <cellStyle name="_KT (2)_4_Dcdtoan-bcnckt " xfId="268"/>
    <cellStyle name="_KT (2)_4_Dcdtoan-bcnckt  2" xfId="4018"/>
    <cellStyle name="_KT (2)_4_Dcdtoan-bcnckt  3" xfId="3693"/>
    <cellStyle name="_KT (2)_4_DGMOI" xfId="1307"/>
    <cellStyle name="_KT (2)_4_DTCDT MR.2N110.HOCMON.TDTOAN.CCUNG" xfId="269"/>
    <cellStyle name="_KT (2)_4_dutch  lady 3  (25-3)" xfId="270"/>
    <cellStyle name="_KT (2)_4_giá mới" xfId="1308"/>
    <cellStyle name="_KT (2)_4_Giai Doan 3 Hong Ngu" xfId="273"/>
    <cellStyle name="_KT (2)_4_gritti" xfId="271"/>
    <cellStyle name="_KT (2)_4_Gritti 31-3" xfId="272"/>
    <cellStyle name="_KT (2)_4_KL DU THAU (gui)" xfId="274"/>
    <cellStyle name="_KT (2)_4_KLTT DUOC PHAM (16-6)" xfId="275"/>
    <cellStyle name="_KT (2)_4_Lora-tungchau" xfId="276"/>
    <cellStyle name="_KT (2)_4_moi" xfId="1309"/>
    <cellStyle name="_KT (2)_4_PGIA-phieu tham tra Kho bac" xfId="277"/>
    <cellStyle name="_KT (2)_4_PT02-02" xfId="278"/>
    <cellStyle name="_KT (2)_4_PT02-02_Book1" xfId="279"/>
    <cellStyle name="_KT (2)_4_PT02-03" xfId="280"/>
    <cellStyle name="_KT (2)_4_PT02-03_Book1" xfId="281"/>
    <cellStyle name="_KT (2)_4_Qt-HT3PQ1(CauKho)" xfId="282"/>
    <cellStyle name="_KT (2)_4_Qt-HT3PQ1(CauKho)_bang quyet toan Duong Van Cam" xfId="1310"/>
    <cellStyle name="_KT (2)_4_Qt-HT3PQ1(CauKho)_Don gia quy 3 nam 2003 - Ban Dien Luc" xfId="1311"/>
    <cellStyle name="_KT (2)_4_Qt-HT3PQ1(CauKho)_NC-VL2-2003" xfId="1312"/>
    <cellStyle name="_KT (2)_4_Qt-HT3PQ1(CauKho)_NC-VL2-2003_1" xfId="1313"/>
    <cellStyle name="_KT (2)_4_Qt-HT3PQ1(CauKho)_Sheet4" xfId="1314"/>
    <cellStyle name="_KT (2)_4_Quotation" xfId="283"/>
    <cellStyle name="_KT (2)_4_Quotation_1" xfId="284"/>
    <cellStyle name="_KT (2)_4_SaDec" xfId="285"/>
    <cellStyle name="_KT (2)_4_Sheet2" xfId="1315"/>
    <cellStyle name="_KT (2)_4_Sheet4" xfId="1316"/>
    <cellStyle name="_KT (2)_4_SONADEZI" xfId="286"/>
    <cellStyle name="_KT (2)_4_TG-TH" xfId="287"/>
    <cellStyle name="_KT (2)_4_thong ke cua Inox" xfId="288"/>
    <cellStyle name="_KT (2)_4_thopdutoan_duong_43_45_THAM_TRA" xfId="1317"/>
    <cellStyle name="_KT (2)_4_thopdutoan_duong_so_27_dieu_chinh_THAM_TRA_3_2006" xfId="1318"/>
    <cellStyle name="_KT (2)_4_thopdutoan_duong_to_1_2_BINH_CHIEU_thang_5_2006_THAM_TRA" xfId="1319"/>
    <cellStyle name="_KT (2)_4_thop-TNVAN" xfId="1320"/>
    <cellStyle name="_KT (2)_4_thuy san Phan Thiet" xfId="289"/>
    <cellStyle name="_KT (2)_4_Union_P for Abbott - Siemon Cabling" xfId="290"/>
    <cellStyle name="_KT (2)_4_Union_P for Abott -Systimax Cabling (1)" xfId="291"/>
    <cellStyle name="_KT (2)_4_XL4Poppy" xfId="1321"/>
    <cellStyle name="_KT (2)_4_XL4Poppy_XL4Test5" xfId="1322"/>
    <cellStyle name="_KT (2)_4_XL4Test5" xfId="1323"/>
    <cellStyle name="_KT (2)_5" xfId="292"/>
    <cellStyle name="_KT (2)_5 2" xfId="4021"/>
    <cellStyle name="_KT (2)_5 3" xfId="3699"/>
    <cellStyle name="_KT (2)_5_bang chon NCC" xfId="293"/>
    <cellStyle name="_KT (2)_5_Bang tong hop" xfId="1324"/>
    <cellStyle name="_KT (2)_5_BAO CAO KLCT PT2000" xfId="294"/>
    <cellStyle name="_KT (2)_5_BAO CAO PT2000" xfId="295"/>
    <cellStyle name="_KT (2)_5_BAO CAO PT2000_Book1" xfId="296"/>
    <cellStyle name="_KT (2)_5_Bao cao XDCB 2001 - T11 KH dieu chinh 20-11-THAI" xfId="297"/>
    <cellStyle name="_KT (2)_5_Book1" xfId="298"/>
    <cellStyle name="_KT (2)_5_Book1 2" xfId="4023"/>
    <cellStyle name="_KT (2)_5_Book1 3" xfId="3701"/>
    <cellStyle name="_KT (2)_5_Book1_1" xfId="299"/>
    <cellStyle name="_KT (2)_5_Book1_1 2" xfId="4024"/>
    <cellStyle name="_KT (2)_5_Book1_1 3" xfId="3702"/>
    <cellStyle name="_KT (2)_5_Book1_1_Book1" xfId="300"/>
    <cellStyle name="_KT (2)_5_Book1_1_Book1_1" xfId="301"/>
    <cellStyle name="_KT (2)_5_Book1_1_DanhMucDonGiaVTTB_Dien_TAM" xfId="1325"/>
    <cellStyle name="_KT (2)_5_Book1_1_SONADEZI" xfId="302"/>
    <cellStyle name="_KT (2)_5_Book1_1_Union_P for Abbott - Siemon Cabling" xfId="303"/>
    <cellStyle name="_KT (2)_5_Book1_1_Union_P for Abott -Systimax Cabling (1)" xfId="304"/>
    <cellStyle name="_KT (2)_5_Book1_2" xfId="305"/>
    <cellStyle name="_KT (2)_5_Book1_2 2" xfId="4027"/>
    <cellStyle name="_KT (2)_5_Book1_2 3" xfId="3703"/>
    <cellStyle name="_KT (2)_5_Book1_2_Book1" xfId="306"/>
    <cellStyle name="_KT (2)_5_Book1_2_KLTT DUOC PHAM (16-6)" xfId="307"/>
    <cellStyle name="_KT (2)_5_Book1_2_SONADEZI" xfId="308"/>
    <cellStyle name="_KT (2)_5_Book1_2_Union_P for Abbott - Siemon Cabling" xfId="309"/>
    <cellStyle name="_KT (2)_5_Book1_2_Union_P for Abott -Systimax Cabling (1)" xfId="310"/>
    <cellStyle name="_KT (2)_5_Book1_3" xfId="311"/>
    <cellStyle name="_KT (2)_5_Book1_3 2" xfId="4029"/>
    <cellStyle name="_KT (2)_5_Book1_3 3" xfId="3704"/>
    <cellStyle name="_KT (2)_5_Book1_3_Sheet4" xfId="1326"/>
    <cellStyle name="_KT (2)_5_Book1_3_Union_P for Abbott - Siemon Cabling" xfId="312"/>
    <cellStyle name="_KT (2)_5_Book1_3_Union_P for Abott -Systimax Cabling (1)" xfId="313"/>
    <cellStyle name="_KT (2)_5_Book1_4" xfId="314"/>
    <cellStyle name="_KT (2)_5_Book1_bang chon NCC" xfId="315"/>
    <cellStyle name="_KT (2)_5_Book1_BC-QT-WB-dthao" xfId="316"/>
    <cellStyle name="_KT (2)_5_Book1_Book1" xfId="317"/>
    <cellStyle name="_KT (2)_5_Book1_Book1 2" xfId="318"/>
    <cellStyle name="_KT (2)_5_Book1_Book1 3" xfId="4031"/>
    <cellStyle name="_KT (2)_5_Book1_Book1 4" xfId="3705"/>
    <cellStyle name="_KT (2)_5_Book1_Book1_1" xfId="319"/>
    <cellStyle name="_KT (2)_5_Book1_Book1_2" xfId="320"/>
    <cellStyle name="_KT (2)_5_Book1_DanhMucDonGiaVTTB_Dien_TAM" xfId="1327"/>
    <cellStyle name="_KT (2)_5_Book1_giá mới" xfId="1328"/>
    <cellStyle name="_KT (2)_5_Book1_SONADEZI" xfId="321"/>
    <cellStyle name="_KT (2)_5_Book1_Union_P for Abbott - Siemon Cabling" xfId="322"/>
    <cellStyle name="_KT (2)_5_Book1_Union_P for Abott -Systimax Cabling (1)" xfId="323"/>
    <cellStyle name="_KT (2)_5_Book2" xfId="324"/>
    <cellStyle name="_KT (2)_5_Dcdtoan-bcnckt " xfId="325"/>
    <cellStyle name="_KT (2)_5_Dcdtoan-bcnckt  2" xfId="4033"/>
    <cellStyle name="_KT (2)_5_Dcdtoan-bcnckt  3" xfId="3707"/>
    <cellStyle name="_KT (2)_5_DGMOI" xfId="1329"/>
    <cellStyle name="_KT (2)_5_DTCDT MR.2N110.HOCMON.TDTOAN.CCUNG" xfId="326"/>
    <cellStyle name="_KT (2)_5_dutch  lady 3  (25-3)" xfId="327"/>
    <cellStyle name="_KT (2)_5_giá mới" xfId="1330"/>
    <cellStyle name="_KT (2)_5_Giai Doan 3 Hong Ngu" xfId="330"/>
    <cellStyle name="_KT (2)_5_gritti" xfId="328"/>
    <cellStyle name="_KT (2)_5_Gritti 31-3" xfId="329"/>
    <cellStyle name="_KT (2)_5_KL DU THAU (gui)" xfId="331"/>
    <cellStyle name="_KT (2)_5_KLTT DUOC PHAM (16-6)" xfId="332"/>
    <cellStyle name="_KT (2)_5_Lora-tungchau" xfId="333"/>
    <cellStyle name="_KT (2)_5_moi" xfId="1331"/>
    <cellStyle name="_KT (2)_5_PGIA-phieu tham tra Kho bac" xfId="334"/>
    <cellStyle name="_KT (2)_5_PT02-02" xfId="335"/>
    <cellStyle name="_KT (2)_5_PT02-02_Book1" xfId="336"/>
    <cellStyle name="_KT (2)_5_PT02-03" xfId="337"/>
    <cellStyle name="_KT (2)_5_PT02-03_Book1" xfId="338"/>
    <cellStyle name="_KT (2)_5_Qt-HT3PQ1(CauKho)" xfId="339"/>
    <cellStyle name="_KT (2)_5_Qt-HT3PQ1(CauKho)_bang quyet toan Duong Van Cam" xfId="1332"/>
    <cellStyle name="_KT (2)_5_Qt-HT3PQ1(CauKho)_Don gia quy 3 nam 2003 - Ban Dien Luc" xfId="1333"/>
    <cellStyle name="_KT (2)_5_Qt-HT3PQ1(CauKho)_NC-VL2-2003" xfId="1334"/>
    <cellStyle name="_KT (2)_5_Qt-HT3PQ1(CauKho)_NC-VL2-2003_1" xfId="1335"/>
    <cellStyle name="_KT (2)_5_Qt-HT3PQ1(CauKho)_Sheet4" xfId="1336"/>
    <cellStyle name="_KT (2)_5_Quotation" xfId="340"/>
    <cellStyle name="_KT (2)_5_Quotation_1" xfId="341"/>
    <cellStyle name="_KT (2)_5_SaDec" xfId="342"/>
    <cellStyle name="_KT (2)_5_Sheet2" xfId="1337"/>
    <cellStyle name="_KT (2)_5_Sheet4" xfId="1338"/>
    <cellStyle name="_KT (2)_5_SONADEZI" xfId="343"/>
    <cellStyle name="_KT (2)_5_thong ke cua Inox" xfId="344"/>
    <cellStyle name="_KT (2)_5_thopdutoan_duong_43_45_THAM_TRA" xfId="1339"/>
    <cellStyle name="_KT (2)_5_thopdutoan_duong_so_27_dieu_chinh_THAM_TRA_3_2006" xfId="1340"/>
    <cellStyle name="_KT (2)_5_thopdutoan_duong_to_1_2_BINH_CHIEU_thang_5_2006_THAM_TRA" xfId="1341"/>
    <cellStyle name="_KT (2)_5_thop-TNVAN" xfId="1342"/>
    <cellStyle name="_KT (2)_5_thuy san Phan Thiet" xfId="345"/>
    <cellStyle name="_KT (2)_5_Union_P for Abbott - Siemon Cabling" xfId="346"/>
    <cellStyle name="_KT (2)_5_Union_P for Abott -Systimax Cabling (1)" xfId="347"/>
    <cellStyle name="_KT (2)_5_XL4Poppy" xfId="1343"/>
    <cellStyle name="_KT (2)_5_XL4Poppy_XL4Test5" xfId="1344"/>
    <cellStyle name="_KT (2)_5_XL4Test5" xfId="1345"/>
    <cellStyle name="_KT (2)_bang chon NCC" xfId="348"/>
    <cellStyle name="_KT (2)_Book1" xfId="349"/>
    <cellStyle name="_KT (2)_Book1 2" xfId="4036"/>
    <cellStyle name="_KT (2)_Book1 3" xfId="3709"/>
    <cellStyle name="_KT (2)_Book1_1" xfId="350"/>
    <cellStyle name="_KT (2)_Book1_1 2" xfId="351"/>
    <cellStyle name="_KT (2)_Book1_1_Union_P for Abbott - Siemon Cabling" xfId="352"/>
    <cellStyle name="_KT (2)_Book1_1_Union_P for Abott -Systimax Cabling (1)" xfId="353"/>
    <cellStyle name="_KT (2)_Book1_2" xfId="354"/>
    <cellStyle name="_KT (2)_Book1_3" xfId="355"/>
    <cellStyle name="_KT (2)_Book1_bang chon NCC" xfId="356"/>
    <cellStyle name="_KT (2)_Book1_BC-QT-WB-dthao" xfId="357"/>
    <cellStyle name="_KT (2)_Book1_Book1" xfId="358"/>
    <cellStyle name="_KT (2)_Book1_Book1 2" xfId="4037"/>
    <cellStyle name="_KT (2)_Book1_Book1 3" xfId="3711"/>
    <cellStyle name="_KT (2)_Book1_SONADEZI" xfId="359"/>
    <cellStyle name="_KT (2)_Book1_Union_P for Abbott - Siemon Cabling" xfId="360"/>
    <cellStyle name="_KT (2)_Book1_Union_P for Abott -Systimax Cabling (1)" xfId="361"/>
    <cellStyle name="_KT (2)_Book2" xfId="362"/>
    <cellStyle name="_KT (2)_Chieu sang, Nhon Trach sua" xfId="363"/>
    <cellStyle name="_KT (2)_dutch  lady 3  (25-3)" xfId="364"/>
    <cellStyle name="_KT (2)_giá mới" xfId="1346"/>
    <cellStyle name="_KT (2)_Giai Doan 3 Hong Ngu" xfId="367"/>
    <cellStyle name="_KT (2)_gritti" xfId="365"/>
    <cellStyle name="_KT (2)_Gritti 31-3" xfId="366"/>
    <cellStyle name="_KT (2)_KLTT DUOC PHAM (16-6)" xfId="368"/>
    <cellStyle name="_KT (2)_Lora-tungchau" xfId="369"/>
    <cellStyle name="_KT (2)_Lora-tungchau 2" xfId="4039"/>
    <cellStyle name="_KT (2)_Lora-tungchau 3" xfId="3712"/>
    <cellStyle name="_KT (2)_PERSONAL" xfId="370"/>
    <cellStyle name="_KT (2)_PERSONAL 2" xfId="4040"/>
    <cellStyle name="_KT (2)_PERSONAL 3" xfId="3713"/>
    <cellStyle name="_KT (2)_PERSONAL_Book1" xfId="1347"/>
    <cellStyle name="_KT (2)_PERSONAL_giá mới" xfId="1348"/>
    <cellStyle name="_KT (2)_PERSONAL_HTQ.8 GD1" xfId="371"/>
    <cellStyle name="_KT (2)_PERSONAL_HTQ.8 GD1_bang quyet toan Duong Van Cam" xfId="1349"/>
    <cellStyle name="_KT (2)_PERSONAL_HTQ.8 GD1_Don gia quy 3 nam 2003 - Ban Dien Luc" xfId="1350"/>
    <cellStyle name="_KT (2)_PERSONAL_HTQ.8 GD1_NC-VL2-2003" xfId="1351"/>
    <cellStyle name="_KT (2)_PERSONAL_HTQ.8 GD1_NC-VL2-2003_1" xfId="1352"/>
    <cellStyle name="_KT (2)_PERSONAL_HTQ.8 GD1_Sheet4" xfId="1353"/>
    <cellStyle name="_KT (2)_PERSONAL_TDPP2" xfId="1354"/>
    <cellStyle name="_KT (2)_PERSONAL_Tong hop KHCB 2001" xfId="372"/>
    <cellStyle name="_KT (2)_Qt-HT3PQ1(CauKho)" xfId="373"/>
    <cellStyle name="_KT (2)_Qt-HT3PQ1(CauKho)_bang quyet toan Duong Van Cam" xfId="1355"/>
    <cellStyle name="_KT (2)_Qt-HT3PQ1(CauKho)_Don gia quy 3 nam 2003 - Ban Dien Luc" xfId="1356"/>
    <cellStyle name="_KT (2)_Qt-HT3PQ1(CauKho)_NC-VL2-2003" xfId="1357"/>
    <cellStyle name="_KT (2)_Qt-HT3PQ1(CauKho)_NC-VL2-2003_1" xfId="1358"/>
    <cellStyle name="_KT (2)_Qt-HT3PQ1(CauKho)_Sheet4" xfId="1359"/>
    <cellStyle name="_KT (2)_Quotation" xfId="374"/>
    <cellStyle name="_KT (2)_SaDec" xfId="375"/>
    <cellStyle name="_KT (2)_SONADEZI" xfId="376"/>
    <cellStyle name="_KT (2)_TG-TH" xfId="377"/>
    <cellStyle name="_KT (2)_thong ke cua Inox" xfId="379"/>
    <cellStyle name="_KT (2)_tong muc-myan-xuantruong" xfId="378"/>
    <cellStyle name="_KT (2)_Union_P for Abbott - Siemon Cabling" xfId="380"/>
    <cellStyle name="_KT (2)_Union_P for Abott -Systimax Cabling (1)" xfId="381"/>
    <cellStyle name="_KT_TG" xfId="382"/>
    <cellStyle name="_KT_TG_1" xfId="383"/>
    <cellStyle name="_KT_TG_1 2" xfId="4041"/>
    <cellStyle name="_KT_TG_1 3" xfId="3716"/>
    <cellStyle name="_KT_TG_1_bang chon NCC" xfId="384"/>
    <cellStyle name="_KT_TG_1_Bang tong hop" xfId="1360"/>
    <cellStyle name="_KT_TG_1_BAO CAO KLCT PT2000" xfId="385"/>
    <cellStyle name="_KT_TG_1_BAO CAO PT2000" xfId="386"/>
    <cellStyle name="_KT_TG_1_BAO CAO PT2000_Book1" xfId="387"/>
    <cellStyle name="_KT_TG_1_Bao cao XDCB 2001 - T11 KH dieu chinh 20-11-THAI" xfId="388"/>
    <cellStyle name="_KT_TG_1_Book1" xfId="389"/>
    <cellStyle name="_KT_TG_1_Book1 2" xfId="4043"/>
    <cellStyle name="_KT_TG_1_Book1 3" xfId="3718"/>
    <cellStyle name="_KT_TG_1_Book1_1" xfId="390"/>
    <cellStyle name="_KT_TG_1_Book1_1 2" xfId="4044"/>
    <cellStyle name="_KT_TG_1_Book1_1 3" xfId="3719"/>
    <cellStyle name="_KT_TG_1_Book1_1_Book1" xfId="391"/>
    <cellStyle name="_KT_TG_1_Book1_1_Book1_1" xfId="392"/>
    <cellStyle name="_KT_TG_1_Book1_1_DanhMucDonGiaVTTB_Dien_TAM" xfId="1361"/>
    <cellStyle name="_KT_TG_1_Book1_1_SONADEZI" xfId="393"/>
    <cellStyle name="_KT_TG_1_Book1_1_Union_P for Abbott - Siemon Cabling" xfId="394"/>
    <cellStyle name="_KT_TG_1_Book1_1_Union_P for Abott -Systimax Cabling (1)" xfId="395"/>
    <cellStyle name="_KT_TG_1_Book1_2" xfId="396"/>
    <cellStyle name="_KT_TG_1_Book1_2 2" xfId="4045"/>
    <cellStyle name="_KT_TG_1_Book1_2 3" xfId="3720"/>
    <cellStyle name="_KT_TG_1_Book1_2_Book1" xfId="397"/>
    <cellStyle name="_KT_TG_1_Book1_2_KLTT DUOC PHAM (16-6)" xfId="398"/>
    <cellStyle name="_KT_TG_1_Book1_2_SONADEZI" xfId="399"/>
    <cellStyle name="_KT_TG_1_Book1_2_Union_P for Abbott - Siemon Cabling" xfId="400"/>
    <cellStyle name="_KT_TG_1_Book1_2_Union_P for Abott -Systimax Cabling (1)" xfId="401"/>
    <cellStyle name="_KT_TG_1_Book1_3" xfId="402"/>
    <cellStyle name="_KT_TG_1_Book1_3 2" xfId="4047"/>
    <cellStyle name="_KT_TG_1_Book1_3 3" xfId="3721"/>
    <cellStyle name="_KT_TG_1_Book1_3_Sheet4" xfId="1362"/>
    <cellStyle name="_KT_TG_1_Book1_3_Union_P for Abbott - Siemon Cabling" xfId="403"/>
    <cellStyle name="_KT_TG_1_Book1_3_Union_P for Abott -Systimax Cabling (1)" xfId="404"/>
    <cellStyle name="_KT_TG_1_Book1_4" xfId="405"/>
    <cellStyle name="_KT_TG_1_Book1_bang chon NCC" xfId="406"/>
    <cellStyle name="_KT_TG_1_Book1_BC-QT-WB-dthao" xfId="407"/>
    <cellStyle name="_KT_TG_1_Book1_Book1" xfId="408"/>
    <cellStyle name="_KT_TG_1_Book1_Book1 2" xfId="409"/>
    <cellStyle name="_KT_TG_1_Book1_Book1 3" xfId="4049"/>
    <cellStyle name="_KT_TG_1_Book1_Book1 4" xfId="3722"/>
    <cellStyle name="_KT_TG_1_Book1_Book1_1" xfId="410"/>
    <cellStyle name="_KT_TG_1_Book1_Book1_2" xfId="411"/>
    <cellStyle name="_KT_TG_1_Book1_DanhMucDonGiaVTTB_Dien_TAM" xfId="1363"/>
    <cellStyle name="_KT_TG_1_Book1_giá mới" xfId="1364"/>
    <cellStyle name="_KT_TG_1_Book1_SONADEZI" xfId="412"/>
    <cellStyle name="_KT_TG_1_Book1_Union_P for Abbott - Siemon Cabling" xfId="413"/>
    <cellStyle name="_KT_TG_1_Book1_Union_P for Abott -Systimax Cabling (1)" xfId="414"/>
    <cellStyle name="_KT_TG_1_Book2" xfId="415"/>
    <cellStyle name="_KT_TG_1_Dcdtoan-bcnckt " xfId="416"/>
    <cellStyle name="_KT_TG_1_Dcdtoan-bcnckt  2" xfId="4050"/>
    <cellStyle name="_KT_TG_1_Dcdtoan-bcnckt  3" xfId="3724"/>
    <cellStyle name="_KT_TG_1_DGMOI" xfId="1365"/>
    <cellStyle name="_KT_TG_1_DTCDT MR.2N110.HOCMON.TDTOAN.CCUNG" xfId="417"/>
    <cellStyle name="_KT_TG_1_dutch  lady 3  (25-3)" xfId="418"/>
    <cellStyle name="_KT_TG_1_giá mới" xfId="1366"/>
    <cellStyle name="_KT_TG_1_Giai Doan 3 Hong Ngu" xfId="421"/>
    <cellStyle name="_KT_TG_1_gritti" xfId="419"/>
    <cellStyle name="_KT_TG_1_Gritti 31-3" xfId="420"/>
    <cellStyle name="_KT_TG_1_KL DU THAU (gui)" xfId="422"/>
    <cellStyle name="_KT_TG_1_KLTT DUOC PHAM (16-6)" xfId="423"/>
    <cellStyle name="_KT_TG_1_Lora-tungchau" xfId="424"/>
    <cellStyle name="_KT_TG_1_moi" xfId="1367"/>
    <cellStyle name="_KT_TG_1_PGIA-phieu tham tra Kho bac" xfId="425"/>
    <cellStyle name="_KT_TG_1_PT02-02" xfId="426"/>
    <cellStyle name="_KT_TG_1_PT02-02_Book1" xfId="427"/>
    <cellStyle name="_KT_TG_1_PT02-03" xfId="428"/>
    <cellStyle name="_KT_TG_1_PT02-03_Book1" xfId="429"/>
    <cellStyle name="_KT_TG_1_Qt-HT3PQ1(CauKho)" xfId="430"/>
    <cellStyle name="_KT_TG_1_Qt-HT3PQ1(CauKho)_bang quyet toan Duong Van Cam" xfId="1368"/>
    <cellStyle name="_KT_TG_1_Qt-HT3PQ1(CauKho)_Don gia quy 3 nam 2003 - Ban Dien Luc" xfId="1369"/>
    <cellStyle name="_KT_TG_1_Qt-HT3PQ1(CauKho)_NC-VL2-2003" xfId="1370"/>
    <cellStyle name="_KT_TG_1_Qt-HT3PQ1(CauKho)_NC-VL2-2003_1" xfId="1371"/>
    <cellStyle name="_KT_TG_1_Qt-HT3PQ1(CauKho)_Sheet4" xfId="1372"/>
    <cellStyle name="_KT_TG_1_Quotation" xfId="431"/>
    <cellStyle name="_KT_TG_1_Quotation_1" xfId="432"/>
    <cellStyle name="_KT_TG_1_SaDec" xfId="433"/>
    <cellStyle name="_KT_TG_1_Sheet2" xfId="1373"/>
    <cellStyle name="_KT_TG_1_Sheet4" xfId="1374"/>
    <cellStyle name="_KT_TG_1_SONADEZI" xfId="434"/>
    <cellStyle name="_KT_TG_1_thong ke cua Inox" xfId="435"/>
    <cellStyle name="_KT_TG_1_thopdutoan_duong_43_45_THAM_TRA" xfId="1375"/>
    <cellStyle name="_KT_TG_1_thopdutoan_duong_so_27_dieu_chinh_THAM_TRA_3_2006" xfId="1376"/>
    <cellStyle name="_KT_TG_1_thopdutoan_duong_to_1_2_BINH_CHIEU_thang_5_2006_THAM_TRA" xfId="1377"/>
    <cellStyle name="_KT_TG_1_thop-TNVAN" xfId="1378"/>
    <cellStyle name="_KT_TG_1_thuy san Phan Thiet" xfId="436"/>
    <cellStyle name="_KT_TG_1_Union_P for Abbott - Siemon Cabling" xfId="437"/>
    <cellStyle name="_KT_TG_1_Union_P for Abott -Systimax Cabling (1)" xfId="438"/>
    <cellStyle name="_KT_TG_1_XL4Poppy" xfId="1379"/>
    <cellStyle name="_KT_TG_1_XL4Poppy_XL4Test5" xfId="1380"/>
    <cellStyle name="_KT_TG_1_XL4Test5" xfId="1381"/>
    <cellStyle name="_KT_TG_2" xfId="439"/>
    <cellStyle name="_KT_TG_2 2" xfId="4053"/>
    <cellStyle name="_KT_TG_2 3" xfId="3726"/>
    <cellStyle name="_KT_TG_2_bang chon NCC" xfId="440"/>
    <cellStyle name="_KT_TG_2_Bang tong hop" xfId="1382"/>
    <cellStyle name="_KT_TG_2_BAO CAO KLCT PT2000" xfId="441"/>
    <cellStyle name="_KT_TG_2_BAO CAO PT2000" xfId="442"/>
    <cellStyle name="_KT_TG_2_BAO CAO PT2000_Book1" xfId="443"/>
    <cellStyle name="_KT_TG_2_Bao cao XDCB 2001 - T11 KH dieu chinh 20-11-THAI" xfId="444"/>
    <cellStyle name="_KT_TG_2_Book1" xfId="445"/>
    <cellStyle name="_KT_TG_2_Book1 2" xfId="4054"/>
    <cellStyle name="_KT_TG_2_Book1 3" xfId="3727"/>
    <cellStyle name="_KT_TG_2_Book1_1" xfId="446"/>
    <cellStyle name="_KT_TG_2_Book1_1 2" xfId="4055"/>
    <cellStyle name="_KT_TG_2_Book1_1 3" xfId="3728"/>
    <cellStyle name="_KT_TG_2_Book1_1_Book1" xfId="447"/>
    <cellStyle name="_KT_TG_2_Book1_1_Book1_1" xfId="448"/>
    <cellStyle name="_KT_TG_2_Book1_1_DanhMucDonGiaVTTB_Dien_TAM" xfId="1383"/>
    <cellStyle name="_KT_TG_2_Book1_1_SONADEZI" xfId="449"/>
    <cellStyle name="_KT_TG_2_Book1_1_Union_P for Abbott - Siemon Cabling" xfId="450"/>
    <cellStyle name="_KT_TG_2_Book1_1_Union_P for Abott -Systimax Cabling (1)" xfId="451"/>
    <cellStyle name="_KT_TG_2_Book1_2" xfId="452"/>
    <cellStyle name="_KT_TG_2_Book1_2 2" xfId="4056"/>
    <cellStyle name="_KT_TG_2_Book1_2 3" xfId="3729"/>
    <cellStyle name="_KT_TG_2_Book1_2_Book1" xfId="453"/>
    <cellStyle name="_KT_TG_2_Book1_2_KLTT DUOC PHAM (16-6)" xfId="454"/>
    <cellStyle name="_KT_TG_2_Book1_2_SONADEZI" xfId="455"/>
    <cellStyle name="_KT_TG_2_Book1_2_Union_P for Abbott - Siemon Cabling" xfId="456"/>
    <cellStyle name="_KT_TG_2_Book1_2_Union_P for Abott -Systimax Cabling (1)" xfId="457"/>
    <cellStyle name="_KT_TG_2_Book1_3" xfId="458"/>
    <cellStyle name="_KT_TG_2_Book1_3 2" xfId="4059"/>
    <cellStyle name="_KT_TG_2_Book1_3 3" xfId="3730"/>
    <cellStyle name="_KT_TG_2_Book1_3_Sheet4" xfId="1384"/>
    <cellStyle name="_KT_TG_2_Book1_3_Union_P for Abbott - Siemon Cabling" xfId="459"/>
    <cellStyle name="_KT_TG_2_Book1_3_Union_P for Abott -Systimax Cabling (1)" xfId="460"/>
    <cellStyle name="_KT_TG_2_Book1_4" xfId="461"/>
    <cellStyle name="_KT_TG_2_Book1_bang chon NCC" xfId="462"/>
    <cellStyle name="_KT_TG_2_Book1_Book1" xfId="463"/>
    <cellStyle name="_KT_TG_2_Book1_Book1 2" xfId="464"/>
    <cellStyle name="_KT_TG_2_Book1_Book1 3" xfId="4060"/>
    <cellStyle name="_KT_TG_2_Book1_Book1 4" xfId="3731"/>
    <cellStyle name="_KT_TG_2_Book1_Book1_1" xfId="465"/>
    <cellStyle name="_KT_TG_2_Book1_Book1_2" xfId="466"/>
    <cellStyle name="_KT_TG_2_Book1_DanhMucDonGiaVTTB_Dien_TAM" xfId="1385"/>
    <cellStyle name="_KT_TG_2_Book1_giá mới" xfId="1386"/>
    <cellStyle name="_KT_TG_2_Book1_SONADEZI" xfId="467"/>
    <cellStyle name="_KT_TG_2_Book1_Union_P for Abbott - Siemon Cabling" xfId="468"/>
    <cellStyle name="_KT_TG_2_Book1_Union_P for Abott -Systimax Cabling (1)" xfId="469"/>
    <cellStyle name="_KT_TG_2_Book2" xfId="470"/>
    <cellStyle name="_KT_TG_2_Dcdtoan-bcnckt " xfId="471"/>
    <cellStyle name="_KT_TG_2_Dcdtoan-bcnckt  2" xfId="4062"/>
    <cellStyle name="_KT_TG_2_Dcdtoan-bcnckt  3" xfId="3733"/>
    <cellStyle name="_KT_TG_2_DGMOI" xfId="1387"/>
    <cellStyle name="_KT_TG_2_DTCDT MR.2N110.HOCMON.TDTOAN.CCUNG" xfId="472"/>
    <cellStyle name="_KT_TG_2_dutch  lady 3  (25-3)" xfId="473"/>
    <cellStyle name="_KT_TG_2_giá mới" xfId="1388"/>
    <cellStyle name="_KT_TG_2_Giai Doan 3 Hong Ngu" xfId="476"/>
    <cellStyle name="_KT_TG_2_gritti" xfId="474"/>
    <cellStyle name="_KT_TG_2_Gritti 31-3" xfId="475"/>
    <cellStyle name="_KT_TG_2_KL DU THAU (gui)" xfId="477"/>
    <cellStyle name="_KT_TG_2_KLTT DUOC PHAM (16-6)" xfId="478"/>
    <cellStyle name="_KT_TG_2_Lora-tungchau" xfId="479"/>
    <cellStyle name="_KT_TG_2_moi" xfId="1389"/>
    <cellStyle name="_KT_TG_2_PGIA-phieu tham tra Kho bac" xfId="480"/>
    <cellStyle name="_KT_TG_2_PT02-02" xfId="481"/>
    <cellStyle name="_KT_TG_2_PT02-02_Book1" xfId="482"/>
    <cellStyle name="_KT_TG_2_PT02-03" xfId="483"/>
    <cellStyle name="_KT_TG_2_PT02-03_Book1" xfId="484"/>
    <cellStyle name="_KT_TG_2_Qt-HT3PQ1(CauKho)" xfId="485"/>
    <cellStyle name="_KT_TG_2_Qt-HT3PQ1(CauKho)_bang quyet toan Duong Van Cam" xfId="1390"/>
    <cellStyle name="_KT_TG_2_Qt-HT3PQ1(CauKho)_Don gia quy 3 nam 2003 - Ban Dien Luc" xfId="1391"/>
    <cellStyle name="_KT_TG_2_Qt-HT3PQ1(CauKho)_NC-VL2-2003" xfId="1392"/>
    <cellStyle name="_KT_TG_2_Qt-HT3PQ1(CauKho)_NC-VL2-2003_1" xfId="1393"/>
    <cellStyle name="_KT_TG_2_Qt-HT3PQ1(CauKho)_Sheet4" xfId="1394"/>
    <cellStyle name="_KT_TG_2_Quotation" xfId="486"/>
    <cellStyle name="_KT_TG_2_Quotation_1" xfId="487"/>
    <cellStyle name="_KT_TG_2_SaDec" xfId="488"/>
    <cellStyle name="_KT_TG_2_Sheet2" xfId="1395"/>
    <cellStyle name="_KT_TG_2_Sheet4" xfId="1396"/>
    <cellStyle name="_KT_TG_2_SONADEZI" xfId="489"/>
    <cellStyle name="_KT_TG_2_thong ke cua Inox" xfId="490"/>
    <cellStyle name="_KT_TG_2_thopdutoan_duong_43_45_THAM_TRA" xfId="1397"/>
    <cellStyle name="_KT_TG_2_thopdutoan_duong_so_27_dieu_chinh_THAM_TRA_3_2006" xfId="1398"/>
    <cellStyle name="_KT_TG_2_thopdutoan_duong_to_1_2_BINH_CHIEU_thang_5_2006_THAM_TRA" xfId="1399"/>
    <cellStyle name="_KT_TG_2_thop-TNVAN" xfId="1400"/>
    <cellStyle name="_KT_TG_2_thuy san Phan Thiet" xfId="491"/>
    <cellStyle name="_KT_TG_2_Union_P for Abbott - Siemon Cabling" xfId="492"/>
    <cellStyle name="_KT_TG_2_Union_P for Abott -Systimax Cabling (1)" xfId="493"/>
    <cellStyle name="_KT_TG_2_XL4Poppy" xfId="1401"/>
    <cellStyle name="_KT_TG_2_XL4Poppy_XL4Test5" xfId="1402"/>
    <cellStyle name="_KT_TG_2_XL4Test5" xfId="1403"/>
    <cellStyle name="_KT_TG_3" xfId="494"/>
    <cellStyle name="_KT_TG_4" xfId="495"/>
    <cellStyle name="_KT_TG_4_Book1" xfId="496"/>
    <cellStyle name="_KT_TG_4_dutch  lady 3  (25-3)" xfId="497"/>
    <cellStyle name="_KT_TG_4_gritti" xfId="498"/>
    <cellStyle name="_KT_TG_4_Gritti 31-3" xfId="499"/>
    <cellStyle name="_KT_TG_4_Lora-tungchau" xfId="500"/>
    <cellStyle name="_KT_TG_4_Qt-HT3PQ1(CauKho)" xfId="501"/>
    <cellStyle name="_KT_TG_4_Qt-HT3PQ1(CauKho)_bang quyet toan Duong Van Cam" xfId="1404"/>
    <cellStyle name="_KT_TG_4_Qt-HT3PQ1(CauKho)_Don gia quy 3 nam 2003 - Ban Dien Luc" xfId="1405"/>
    <cellStyle name="_KT_TG_4_Qt-HT3PQ1(CauKho)_NC-VL2-2003" xfId="1406"/>
    <cellStyle name="_KT_TG_4_Qt-HT3PQ1(CauKho)_NC-VL2-2003_1" xfId="1407"/>
    <cellStyle name="_KT_TG_4_Qt-HT3PQ1(CauKho)_Sheet4" xfId="1408"/>
    <cellStyle name="_KT_TG_4_Quotation" xfId="502"/>
    <cellStyle name="_KT_TG_4_thong ke cua Inox" xfId="503"/>
    <cellStyle name="_Lora-tungchau" xfId="504"/>
    <cellStyle name="_Lora-tungchau 2" xfId="4068"/>
    <cellStyle name="_Lora-tungchau 3" xfId="3740"/>
    <cellStyle name="_PERSONAL" xfId="505"/>
    <cellStyle name="_PERSONAL 2" xfId="4069"/>
    <cellStyle name="_PERSONAL 3" xfId="3741"/>
    <cellStyle name="_PERSONAL_Book1" xfId="1409"/>
    <cellStyle name="_PERSONAL_giá mới" xfId="1410"/>
    <cellStyle name="_PERSONAL_HTQ.8 GD1" xfId="506"/>
    <cellStyle name="_PERSONAL_HTQ.8 GD1_bang quyet toan Duong Van Cam" xfId="1411"/>
    <cellStyle name="_PERSONAL_HTQ.8 GD1_Don gia quy 3 nam 2003 - Ban Dien Luc" xfId="1412"/>
    <cellStyle name="_PERSONAL_HTQ.8 GD1_NC-VL2-2003" xfId="1413"/>
    <cellStyle name="_PERSONAL_HTQ.8 GD1_NC-VL2-2003_1" xfId="1414"/>
    <cellStyle name="_PERSONAL_HTQ.8 GD1_Sheet4" xfId="1415"/>
    <cellStyle name="_PERSONAL_TDPP2" xfId="1416"/>
    <cellStyle name="_PERSONAL_Tong hop KHCB 2001" xfId="507"/>
    <cellStyle name="_Profit &amp; Lost Costing Template_05Mar'08_All_Chang_Kim" xfId="508"/>
    <cellStyle name="_Profit &amp; Lost Costing Template_11Feb'08_All_Chang_Kim" xfId="509"/>
    <cellStyle name="_Profit &amp; Lost Costing Template_18Jan'08_All_Chang_" xfId="510"/>
    <cellStyle name="_Profit &amp; Lost Costing Template_19Jan'08_All_Chang" xfId="511"/>
    <cellStyle name="_Profit &amp; Lost Costing Template_22Mar'08_All_Chang_Kim" xfId="512"/>
    <cellStyle name="_Profit &amp; Lost Costing Template_New include F&amp;Ins" xfId="513"/>
    <cellStyle name="_Profit &amp; Lost Costing Template_New include F&amp;Ins_New ExcRate" xfId="514"/>
    <cellStyle name="_Promotion Price - Video Conference" xfId="515"/>
    <cellStyle name="_QT00310-524QQQQQQQQQQQQQ Office _QUOC12344" xfId="516"/>
    <cellStyle name="_QT02107-2011-0235-P1 ABBOTT HN (Data System)" xfId="517"/>
    <cellStyle name="_QT03210-1027- CITY HUB fur" xfId="518"/>
    <cellStyle name="_QT04209- 490 AVON Cosmetic-ReQT03509-Q287&amp;Q295" xfId="519"/>
    <cellStyle name="_Qt-HT3PQ1(CauKho)" xfId="520"/>
    <cellStyle name="_Qt-HT3PQ1(CauKho)_bang quyet toan Duong Van Cam" xfId="1417"/>
    <cellStyle name="_Qt-HT3PQ1(CauKho)_Don gia quy 3 nam 2003 - Ban Dien Luc" xfId="1418"/>
    <cellStyle name="_Qt-HT3PQ1(CauKho)_NC-VL2-2003" xfId="1419"/>
    <cellStyle name="_Qt-HT3PQ1(CauKho)_NC-VL2-2003_1" xfId="1420"/>
    <cellStyle name="_Qt-HT3PQ1(CauKho)_Sheet4" xfId="1421"/>
    <cellStyle name="_Quotation" xfId="521"/>
    <cellStyle name="_Quotation for Manfower" xfId="522"/>
    <cellStyle name="_Quotation for Manfower 2" xfId="523"/>
    <cellStyle name="_Quotation -Other Equipment" xfId="524"/>
    <cellStyle name="_quotation_Siemen_project(1)" xfId="525"/>
    <cellStyle name="_Quotation_Union_P for Abbott - Siemon Cabling" xfId="526"/>
    <cellStyle name="_Quotation_Union_P for Abott -Systimax Cabling (1)" xfId="527"/>
    <cellStyle name="_RMIT-3th HCMC-01R04-25Jan'08-Huy" xfId="528"/>
    <cellStyle name="_RMIT-Audit for 3th floor-18Feb'08-Huy_NGHIA" xfId="529"/>
    <cellStyle name="_RMIT-Cabling clearup for 3th floor-13Feb'08-Huy_nGHIA" xfId="530"/>
    <cellStyle name="_SaDec" xfId="531"/>
    <cellStyle name="_SONADEZI" xfId="532"/>
    <cellStyle name="_TanDaPhanThan" xfId="1422"/>
    <cellStyle name="_Template" xfId="533"/>
    <cellStyle name="_TG-TH" xfId="534"/>
    <cellStyle name="_TG-TH_1" xfId="535"/>
    <cellStyle name="_TG-TH_1 2" xfId="4074"/>
    <cellStyle name="_TG-TH_1 3" xfId="3743"/>
    <cellStyle name="_TG-TH_1_bang chon NCC" xfId="536"/>
    <cellStyle name="_TG-TH_1_Bang tong hop" xfId="1423"/>
    <cellStyle name="_TG-TH_1_BAO CAO KLCT PT2000" xfId="537"/>
    <cellStyle name="_TG-TH_1_BAO CAO PT2000" xfId="538"/>
    <cellStyle name="_TG-TH_1_BAO CAO PT2000_Book1" xfId="539"/>
    <cellStyle name="_TG-TH_1_Bao cao XDCB 2001 - T11 KH dieu chinh 20-11-THAI" xfId="540"/>
    <cellStyle name="_TG-TH_1_Book1" xfId="541"/>
    <cellStyle name="_TG-TH_1_Book1 2" xfId="4075"/>
    <cellStyle name="_TG-TH_1_Book1 3" xfId="3744"/>
    <cellStyle name="_TG-TH_1_Book1_1" xfId="542"/>
    <cellStyle name="_TG-TH_1_Book1_1 2" xfId="4076"/>
    <cellStyle name="_TG-TH_1_Book1_1 3" xfId="3745"/>
    <cellStyle name="_TG-TH_1_Book1_1_Book1" xfId="543"/>
    <cellStyle name="_TG-TH_1_Book1_1_Book1_1" xfId="544"/>
    <cellStyle name="_TG-TH_1_Book1_1_DanhMucDonGiaVTTB_Dien_TAM" xfId="1424"/>
    <cellStyle name="_TG-TH_1_Book1_1_SONADEZI" xfId="545"/>
    <cellStyle name="_TG-TH_1_Book1_1_Union_P for Abbott - Siemon Cabling" xfId="546"/>
    <cellStyle name="_TG-TH_1_Book1_1_Union_P for Abott -Systimax Cabling (1)" xfId="547"/>
    <cellStyle name="_TG-TH_1_Book1_2" xfId="548"/>
    <cellStyle name="_TG-TH_1_Book1_2 2" xfId="4079"/>
    <cellStyle name="_TG-TH_1_Book1_2 3" xfId="3746"/>
    <cellStyle name="_TG-TH_1_Book1_2_Book1" xfId="549"/>
    <cellStyle name="_TG-TH_1_Book1_2_KLTT DUOC PHAM (16-6)" xfId="550"/>
    <cellStyle name="_TG-TH_1_Book1_2_SONADEZI" xfId="551"/>
    <cellStyle name="_TG-TH_1_Book1_2_Union_P for Abbott - Siemon Cabling" xfId="552"/>
    <cellStyle name="_TG-TH_1_Book1_2_Union_P for Abott -Systimax Cabling (1)" xfId="553"/>
    <cellStyle name="_TG-TH_1_Book1_3" xfId="554"/>
    <cellStyle name="_TG-TH_1_Book1_3 2" xfId="4081"/>
    <cellStyle name="_TG-TH_1_Book1_3 3" xfId="3747"/>
    <cellStyle name="_TG-TH_1_Book1_3_Sheet4" xfId="1425"/>
    <cellStyle name="_TG-TH_1_Book1_3_Union_P for Abbott - Siemon Cabling" xfId="555"/>
    <cellStyle name="_TG-TH_1_Book1_3_Union_P for Abott -Systimax Cabling (1)" xfId="556"/>
    <cellStyle name="_TG-TH_1_Book1_4" xfId="557"/>
    <cellStyle name="_TG-TH_1_Book1_bang chon NCC" xfId="558"/>
    <cellStyle name="_TG-TH_1_Book1_BC-QT-WB-dthao" xfId="559"/>
    <cellStyle name="_TG-TH_1_Book1_Book1" xfId="560"/>
    <cellStyle name="_TG-TH_1_Book1_Book1 2" xfId="561"/>
    <cellStyle name="_TG-TH_1_Book1_Book1 3" xfId="4082"/>
    <cellStyle name="_TG-TH_1_Book1_Book1 4" xfId="3749"/>
    <cellStyle name="_TG-TH_1_Book1_Book1_1" xfId="562"/>
    <cellStyle name="_TG-TH_1_Book1_Book1_2" xfId="563"/>
    <cellStyle name="_TG-TH_1_Book1_DanhMucDonGiaVTTB_Dien_TAM" xfId="1426"/>
    <cellStyle name="_TG-TH_1_Book1_giá mới" xfId="1427"/>
    <cellStyle name="_TG-TH_1_Book1_SONADEZI" xfId="564"/>
    <cellStyle name="_TG-TH_1_Book1_Union_P for Abbott - Siemon Cabling" xfId="565"/>
    <cellStyle name="_TG-TH_1_Book1_Union_P for Abott -Systimax Cabling (1)" xfId="566"/>
    <cellStyle name="_TG-TH_1_Book2" xfId="567"/>
    <cellStyle name="_TG-TH_1_Dcdtoan-bcnckt " xfId="568"/>
    <cellStyle name="_TG-TH_1_Dcdtoan-bcnckt  2" xfId="4085"/>
    <cellStyle name="_TG-TH_1_Dcdtoan-bcnckt  3" xfId="3750"/>
    <cellStyle name="_TG-TH_1_DGMOI" xfId="1428"/>
    <cellStyle name="_TG-TH_1_DTCDT MR.2N110.HOCMON.TDTOAN.CCUNG" xfId="569"/>
    <cellStyle name="_TG-TH_1_dutch  lady 3  (25-3)" xfId="570"/>
    <cellStyle name="_TG-TH_1_giá mới" xfId="1429"/>
    <cellStyle name="_TG-TH_1_Giai Doan 3 Hong Ngu" xfId="573"/>
    <cellStyle name="_TG-TH_1_gritti" xfId="571"/>
    <cellStyle name="_TG-TH_1_Gritti 31-3" xfId="572"/>
    <cellStyle name="_TG-TH_1_KL DU THAU (gui)" xfId="574"/>
    <cellStyle name="_TG-TH_1_KLTT DUOC PHAM (16-6)" xfId="575"/>
    <cellStyle name="_TG-TH_1_Lora-tungchau" xfId="576"/>
    <cellStyle name="_TG-TH_1_moi" xfId="1430"/>
    <cellStyle name="_TG-TH_1_PGIA-phieu tham tra Kho bac" xfId="577"/>
    <cellStyle name="_TG-TH_1_PT02-02" xfId="578"/>
    <cellStyle name="_TG-TH_1_PT02-02_Book1" xfId="579"/>
    <cellStyle name="_TG-TH_1_PT02-03" xfId="580"/>
    <cellStyle name="_TG-TH_1_PT02-03_Book1" xfId="581"/>
    <cellStyle name="_TG-TH_1_Qt-HT3PQ1(CauKho)" xfId="582"/>
    <cellStyle name="_TG-TH_1_Qt-HT3PQ1(CauKho)_bang quyet toan Duong Van Cam" xfId="1431"/>
    <cellStyle name="_TG-TH_1_Qt-HT3PQ1(CauKho)_Don gia quy 3 nam 2003 - Ban Dien Luc" xfId="1432"/>
    <cellStyle name="_TG-TH_1_Qt-HT3PQ1(CauKho)_NC-VL2-2003" xfId="1433"/>
    <cellStyle name="_TG-TH_1_Qt-HT3PQ1(CauKho)_NC-VL2-2003_1" xfId="1434"/>
    <cellStyle name="_TG-TH_1_Qt-HT3PQ1(CauKho)_Sheet4" xfId="1435"/>
    <cellStyle name="_TG-TH_1_Quotation" xfId="583"/>
    <cellStyle name="_TG-TH_1_Quotation_1" xfId="584"/>
    <cellStyle name="_TG-TH_1_SaDec" xfId="585"/>
    <cellStyle name="_TG-TH_1_Sheet2" xfId="1436"/>
    <cellStyle name="_TG-TH_1_Sheet4" xfId="1437"/>
    <cellStyle name="_TG-TH_1_SONADEZI" xfId="586"/>
    <cellStyle name="_TG-TH_1_thong ke cua Inox" xfId="587"/>
    <cellStyle name="_TG-TH_1_thopdutoan_duong_43_45_THAM_TRA" xfId="1438"/>
    <cellStyle name="_TG-TH_1_thopdutoan_duong_so_27_dieu_chinh_THAM_TRA_3_2006" xfId="1439"/>
    <cellStyle name="_TG-TH_1_thopdutoan_duong_to_1_2_BINH_CHIEU_thang_5_2006_THAM_TRA" xfId="1440"/>
    <cellStyle name="_TG-TH_1_thop-TNVAN" xfId="1441"/>
    <cellStyle name="_TG-TH_1_thuy san Phan Thiet" xfId="588"/>
    <cellStyle name="_TG-TH_1_Union_P for Abbott - Siemon Cabling" xfId="589"/>
    <cellStyle name="_TG-TH_1_Union_P for Abott -Systimax Cabling (1)" xfId="590"/>
    <cellStyle name="_TG-TH_1_XL4Poppy" xfId="1442"/>
    <cellStyle name="_TG-TH_1_XL4Poppy_XL4Test5" xfId="1443"/>
    <cellStyle name="_TG-TH_1_XL4Test5" xfId="1444"/>
    <cellStyle name="_TG-TH_2" xfId="591"/>
    <cellStyle name="_TG-TH_2 2" xfId="4087"/>
    <cellStyle name="_TG-TH_2 3" xfId="3753"/>
    <cellStyle name="_TG-TH_2_bang chon NCC" xfId="592"/>
    <cellStyle name="_TG-TH_2_Bang tong hop" xfId="1445"/>
    <cellStyle name="_TG-TH_2_BAO CAO KLCT PT2000" xfId="593"/>
    <cellStyle name="_TG-TH_2_BAO CAO PT2000" xfId="594"/>
    <cellStyle name="_TG-TH_2_BAO CAO PT2000_Book1" xfId="595"/>
    <cellStyle name="_TG-TH_2_Bao cao XDCB 2001 - T11 KH dieu chinh 20-11-THAI" xfId="596"/>
    <cellStyle name="_TG-TH_2_Book1" xfId="597"/>
    <cellStyle name="_TG-TH_2_Book1 2" xfId="4088"/>
    <cellStyle name="_TG-TH_2_Book1 3" xfId="3755"/>
    <cellStyle name="_TG-TH_2_Book1_1" xfId="598"/>
    <cellStyle name="_TG-TH_2_Book1_1 2" xfId="4089"/>
    <cellStyle name="_TG-TH_2_Book1_1 3" xfId="3756"/>
    <cellStyle name="_TG-TH_2_Book1_1_Book1" xfId="599"/>
    <cellStyle name="_TG-TH_2_Book1_1_Book1_1" xfId="600"/>
    <cellStyle name="_TG-TH_2_Book1_1_DanhMucDonGiaVTTB_Dien_TAM" xfId="1446"/>
    <cellStyle name="_TG-TH_2_Book1_1_SONADEZI" xfId="601"/>
    <cellStyle name="_TG-TH_2_Book1_1_Union_P for Abbott - Siemon Cabling" xfId="602"/>
    <cellStyle name="_TG-TH_2_Book1_1_Union_P for Abott -Systimax Cabling (1)" xfId="603"/>
    <cellStyle name="_TG-TH_2_Book1_2" xfId="604"/>
    <cellStyle name="_TG-TH_2_Book1_2 2" xfId="4090"/>
    <cellStyle name="_TG-TH_2_Book1_2 3" xfId="3757"/>
    <cellStyle name="_TG-TH_2_Book1_2_Book1" xfId="605"/>
    <cellStyle name="_TG-TH_2_Book1_2_KLTT DUOC PHAM (16-6)" xfId="606"/>
    <cellStyle name="_TG-TH_2_Book1_2_SONADEZI" xfId="607"/>
    <cellStyle name="_TG-TH_2_Book1_2_Union_P for Abbott - Siemon Cabling" xfId="608"/>
    <cellStyle name="_TG-TH_2_Book1_2_Union_P for Abott -Systimax Cabling (1)" xfId="609"/>
    <cellStyle name="_TG-TH_2_Book1_3" xfId="610"/>
    <cellStyle name="_TG-TH_2_Book1_3 2" xfId="4092"/>
    <cellStyle name="_TG-TH_2_Book1_3 3" xfId="3758"/>
    <cellStyle name="_TG-TH_2_Book1_3_Sheet4" xfId="1447"/>
    <cellStyle name="_TG-TH_2_Book1_3_Union_P for Abbott - Siemon Cabling" xfId="611"/>
    <cellStyle name="_TG-TH_2_Book1_3_Union_P for Abott -Systimax Cabling (1)" xfId="612"/>
    <cellStyle name="_TG-TH_2_Book1_4" xfId="613"/>
    <cellStyle name="_TG-TH_2_Book1_bang chon NCC" xfId="614"/>
    <cellStyle name="_TG-TH_2_Book1_Book1" xfId="615"/>
    <cellStyle name="_TG-TH_2_Book1_Book1 2" xfId="616"/>
    <cellStyle name="_TG-TH_2_Book1_Book1 3" xfId="4094"/>
    <cellStyle name="_TG-TH_2_Book1_Book1 4" xfId="3759"/>
    <cellStyle name="_TG-TH_2_Book1_Book1_1" xfId="617"/>
    <cellStyle name="_TG-TH_2_Book1_Book1_2" xfId="618"/>
    <cellStyle name="_TG-TH_2_Book1_DanhMucDonGiaVTTB_Dien_TAM" xfId="1448"/>
    <cellStyle name="_TG-TH_2_Book1_giá mới" xfId="1449"/>
    <cellStyle name="_TG-TH_2_Book1_SONADEZI" xfId="619"/>
    <cellStyle name="_TG-TH_2_Book1_Union_P for Abbott - Siemon Cabling" xfId="620"/>
    <cellStyle name="_TG-TH_2_Book1_Union_P for Abott -Systimax Cabling (1)" xfId="621"/>
    <cellStyle name="_TG-TH_2_Book2" xfId="622"/>
    <cellStyle name="_TG-TH_2_Dcdtoan-bcnckt " xfId="623"/>
    <cellStyle name="_TG-TH_2_Dcdtoan-bcnckt  2" xfId="4096"/>
    <cellStyle name="_TG-TH_2_Dcdtoan-bcnckt  3" xfId="3760"/>
    <cellStyle name="_TG-TH_2_DGMOI" xfId="1450"/>
    <cellStyle name="_TG-TH_2_DTCDT MR.2N110.HOCMON.TDTOAN.CCUNG" xfId="624"/>
    <cellStyle name="_TG-TH_2_dutch  lady 3  (25-3)" xfId="625"/>
    <cellStyle name="_TG-TH_2_giá mới" xfId="1451"/>
    <cellStyle name="_TG-TH_2_Giai Doan 3 Hong Ngu" xfId="628"/>
    <cellStyle name="_TG-TH_2_gritti" xfId="626"/>
    <cellStyle name="_TG-TH_2_Gritti 31-3" xfId="627"/>
    <cellStyle name="_TG-TH_2_KL DU THAU (gui)" xfId="629"/>
    <cellStyle name="_TG-TH_2_KLTT DUOC PHAM (16-6)" xfId="630"/>
    <cellStyle name="_TG-TH_2_Lora-tungchau" xfId="631"/>
    <cellStyle name="_TG-TH_2_moi" xfId="1452"/>
    <cellStyle name="_TG-TH_2_PGIA-phieu tham tra Kho bac" xfId="632"/>
    <cellStyle name="_TG-TH_2_PT02-02" xfId="633"/>
    <cellStyle name="_TG-TH_2_PT02-02_Book1" xfId="634"/>
    <cellStyle name="_TG-TH_2_PT02-03" xfId="635"/>
    <cellStyle name="_TG-TH_2_PT02-03_Book1" xfId="636"/>
    <cellStyle name="_TG-TH_2_Qt-HT3PQ1(CauKho)" xfId="637"/>
    <cellStyle name="_TG-TH_2_Qt-HT3PQ1(CauKho)_bang quyet toan Duong Van Cam" xfId="1453"/>
    <cellStyle name="_TG-TH_2_Qt-HT3PQ1(CauKho)_Don gia quy 3 nam 2003 - Ban Dien Luc" xfId="1454"/>
    <cellStyle name="_TG-TH_2_Qt-HT3PQ1(CauKho)_NC-VL2-2003" xfId="1455"/>
    <cellStyle name="_TG-TH_2_Qt-HT3PQ1(CauKho)_NC-VL2-2003_1" xfId="1456"/>
    <cellStyle name="_TG-TH_2_Qt-HT3PQ1(CauKho)_Sheet4" xfId="1457"/>
    <cellStyle name="_TG-TH_2_Quotation" xfId="638"/>
    <cellStyle name="_TG-TH_2_Quotation_1" xfId="639"/>
    <cellStyle name="_TG-TH_2_SaDec" xfId="640"/>
    <cellStyle name="_TG-TH_2_Sheet2" xfId="1458"/>
    <cellStyle name="_TG-TH_2_Sheet4" xfId="1459"/>
    <cellStyle name="_TG-TH_2_SONADEZI" xfId="641"/>
    <cellStyle name="_TG-TH_2_thong ke cua Inox" xfId="642"/>
    <cellStyle name="_TG-TH_2_thopdutoan_duong_43_45_THAM_TRA" xfId="1460"/>
    <cellStyle name="_TG-TH_2_thopdutoan_duong_so_27_dieu_chinh_THAM_TRA_3_2006" xfId="1461"/>
    <cellStyle name="_TG-TH_2_thopdutoan_duong_to_1_2_BINH_CHIEU_thang_5_2006_THAM_TRA" xfId="1462"/>
    <cellStyle name="_TG-TH_2_thop-TNVAN" xfId="1463"/>
    <cellStyle name="_TG-TH_2_thuy san Phan Thiet" xfId="643"/>
    <cellStyle name="_TG-TH_2_Union_P for Abbott - Siemon Cabling" xfId="644"/>
    <cellStyle name="_TG-TH_2_Union_P for Abott -Systimax Cabling (1)" xfId="645"/>
    <cellStyle name="_TG-TH_2_XL4Poppy" xfId="1464"/>
    <cellStyle name="_TG-TH_2_XL4Poppy_XL4Test5" xfId="1465"/>
    <cellStyle name="_TG-TH_2_XL4Test5" xfId="1466"/>
    <cellStyle name="_TG-TH_3" xfId="646"/>
    <cellStyle name="_TG-TH_3_Book1" xfId="647"/>
    <cellStyle name="_TG-TH_3_dutch  lady 3  (25-3)" xfId="648"/>
    <cellStyle name="_TG-TH_3_gritti" xfId="649"/>
    <cellStyle name="_TG-TH_3_Gritti 31-3" xfId="650"/>
    <cellStyle name="_TG-TH_3_Lora-tungchau" xfId="651"/>
    <cellStyle name="_TG-TH_3_Qt-HT3PQ1(CauKho)" xfId="652"/>
    <cellStyle name="_TG-TH_3_Qt-HT3PQ1(CauKho)_bang quyet toan Duong Van Cam" xfId="1467"/>
    <cellStyle name="_TG-TH_3_Qt-HT3PQ1(CauKho)_Don gia quy 3 nam 2003 - Ban Dien Luc" xfId="1468"/>
    <cellStyle name="_TG-TH_3_Qt-HT3PQ1(CauKho)_NC-VL2-2003" xfId="1469"/>
    <cellStyle name="_TG-TH_3_Qt-HT3PQ1(CauKho)_NC-VL2-2003_1" xfId="1470"/>
    <cellStyle name="_TG-TH_3_Qt-HT3PQ1(CauKho)_Sheet4" xfId="1471"/>
    <cellStyle name="_TG-TH_3_Quotation" xfId="653"/>
    <cellStyle name="_TG-TH_3_thong ke cua Inox" xfId="654"/>
    <cellStyle name="_TG-TH_4" xfId="655"/>
    <cellStyle name="_thong ke cua Inox" xfId="657"/>
    <cellStyle name="_tong muc-myan-xuantruong" xfId="656"/>
    <cellStyle name="_Total bill" xfId="1472"/>
    <cellStyle name="_x0001__Union_P for Abbott - Siemon Cabling" xfId="658"/>
    <cellStyle name="_x0001__Union_P for Abott -Systimax Cabling (1)" xfId="659"/>
    <cellStyle name="_VL031-R00-030410-RDL-AUDIOLOG- 10 IP TAP -RICHARDL" xfId="660"/>
    <cellStyle name="_공문 " xfId="661"/>
    <cellStyle name="_x0001_¨c^ " xfId="662"/>
    <cellStyle name="_x0001_¨Œc^ " xfId="663"/>
    <cellStyle name="’Ê‰Ý [0.00]_††††† " xfId="664"/>
    <cellStyle name="’Ê‰Ý_††††† " xfId="665"/>
    <cellStyle name="¤@?e_TEST-1 " xfId="666"/>
    <cellStyle name="_x0001_µÑTÖ " xfId="667"/>
    <cellStyle name="•W€_STDFOR" xfId="668"/>
    <cellStyle name="W_STDFOR" xfId="669"/>
    <cellStyle name="0,0_x000d__x000a_NA_x000d__x000a_" xfId="670"/>
    <cellStyle name="0,0_x000d__x000a_NA_x000d__x000a_ 2" xfId="1473"/>
    <cellStyle name="0,0_x000d__x000a_NA_x000d__x000a_ 2 2 2" xfId="671"/>
    <cellStyle name="0,0_x000d__x000a_NA_x000d__x000a_ 3" xfId="4106"/>
    <cellStyle name="0,0_x000d__x000a_NA_x000d__x000a_ 4" xfId="3766"/>
    <cellStyle name="0.0" xfId="1474"/>
    <cellStyle name="1" xfId="1475"/>
    <cellStyle name="1 2" xfId="1782"/>
    <cellStyle name="1_Danh muc vat lieu - Nha_de_xe" xfId="1476"/>
    <cellStyle name="1_Gia_VLQL48_duyet " xfId="672"/>
    <cellStyle name="1_SHORING QUANTITY( TAN DA)" xfId="1477"/>
    <cellStyle name="1_TanDaPhanThan" xfId="1478"/>
    <cellStyle name="¹éºÐÀ²_      " xfId="673"/>
    <cellStyle name="2" xfId="1479"/>
    <cellStyle name="2_Gia_VLQL48_duyet " xfId="674"/>
    <cellStyle name="20% - Accent1 2" xfId="1480"/>
    <cellStyle name="20% - Accent1 3" xfId="1783"/>
    <cellStyle name="20% - Accent2 2" xfId="1481"/>
    <cellStyle name="20% - Accent2 3" xfId="1784"/>
    <cellStyle name="20% - Accent3 2" xfId="1482"/>
    <cellStyle name="20% - Accent3 3" xfId="1785"/>
    <cellStyle name="20% - Accent4 2" xfId="1483"/>
    <cellStyle name="20% - Accent4 3" xfId="1786"/>
    <cellStyle name="20% - Accent5 2" xfId="1484"/>
    <cellStyle name="20% - Accent5 3" xfId="1787"/>
    <cellStyle name="20% - Accent6 2" xfId="1485"/>
    <cellStyle name="20% - Accent6 3" xfId="1788"/>
    <cellStyle name="20% - Nhấn1" xfId="1486"/>
    <cellStyle name="20% - Nhấn2" xfId="1487"/>
    <cellStyle name="20% - Nhấn3" xfId="1488"/>
    <cellStyle name="20% - Nhấn4" xfId="1489"/>
    <cellStyle name="20% - Nhấn5" xfId="1490"/>
    <cellStyle name="20% - Nhấn6" xfId="1491"/>
    <cellStyle name="20% - アクセント 1" xfId="675"/>
    <cellStyle name="20% - アクセント 2" xfId="676"/>
    <cellStyle name="20% - アクセント 3" xfId="677"/>
    <cellStyle name="20% - アクセント 4" xfId="678"/>
    <cellStyle name="20% - アクセント 5" xfId="679"/>
    <cellStyle name="20% - アクセント 6" xfId="680"/>
    <cellStyle name="25" xfId="1492"/>
    <cellStyle name="2decimal" xfId="681"/>
    <cellStyle name="3" xfId="1493"/>
    <cellStyle name="3_Gia_VLQL48_duyet " xfId="682"/>
    <cellStyle name="301CPT" xfId="683"/>
    <cellStyle name="4" xfId="1494"/>
    <cellStyle name="4_Gia_VLQL48_duyet " xfId="684"/>
    <cellStyle name="40% - Accent1 2" xfId="1495"/>
    <cellStyle name="40% - Accent1 3" xfId="1789"/>
    <cellStyle name="40% - Accent2 2" xfId="1496"/>
    <cellStyle name="40% - Accent2 3" xfId="1790"/>
    <cellStyle name="40% - Accent3 2" xfId="1497"/>
    <cellStyle name="40% - Accent3 2 2" xfId="1877"/>
    <cellStyle name="40% - Accent3 3" xfId="2150"/>
    <cellStyle name="40% - Accent3 4" xfId="1791"/>
    <cellStyle name="40% - Accent4 2" xfId="1498"/>
    <cellStyle name="40% - Accent4 3" xfId="1792"/>
    <cellStyle name="40% - Accent5 2" xfId="1499"/>
    <cellStyle name="40% - Accent5 3" xfId="1793"/>
    <cellStyle name="40% - Accent6 2" xfId="1500"/>
    <cellStyle name="40% - Accent6 3" xfId="1794"/>
    <cellStyle name="40% - Nhấn1" xfId="1501"/>
    <cellStyle name="40% - Nhấn2" xfId="1502"/>
    <cellStyle name="40% - Nhấn3" xfId="1503"/>
    <cellStyle name="40% - Nhấn4" xfId="1504"/>
    <cellStyle name="40% - Nhấn5" xfId="1505"/>
    <cellStyle name="40% - Nhấn6" xfId="1506"/>
    <cellStyle name="40% - アクセント 1" xfId="685"/>
    <cellStyle name="40% - アクセント 2" xfId="686"/>
    <cellStyle name="40% - アクセント 3" xfId="687"/>
    <cellStyle name="40% - アクセント 4" xfId="688"/>
    <cellStyle name="40% - アクセント 5" xfId="689"/>
    <cellStyle name="40% - アクセント 6" xfId="690"/>
    <cellStyle name="60% - Accent1 2" xfId="2151"/>
    <cellStyle name="60% - Accent1 3" xfId="1795"/>
    <cellStyle name="60% - Accent2 2" xfId="2152"/>
    <cellStyle name="60% - Accent2 3" xfId="1796"/>
    <cellStyle name="60% - Accent3 2" xfId="2153"/>
    <cellStyle name="60% - Accent3 3" xfId="1797"/>
    <cellStyle name="60% - Accent4 2" xfId="2154"/>
    <cellStyle name="60% - Accent4 3" xfId="1798"/>
    <cellStyle name="60% - Accent5 2" xfId="2155"/>
    <cellStyle name="60% - Accent5 3" xfId="1799"/>
    <cellStyle name="60% - Accent6 2" xfId="2156"/>
    <cellStyle name="60% - Accent6 3" xfId="1800"/>
    <cellStyle name="60% - Nhấn1" xfId="1507"/>
    <cellStyle name="60% - Nhấn2" xfId="1508"/>
    <cellStyle name="60% - Nhấn3" xfId="1509"/>
    <cellStyle name="60% - Nhấn4" xfId="1510"/>
    <cellStyle name="60% - Nhấn5" xfId="1511"/>
    <cellStyle name="60% - Nhấn6" xfId="1512"/>
    <cellStyle name="60% - アクセント 1" xfId="691"/>
    <cellStyle name="60% - アクセント 2" xfId="692"/>
    <cellStyle name="60% - アクセント 3" xfId="693"/>
    <cellStyle name="60% - アクセント 4" xfId="694"/>
    <cellStyle name="60% - アクセント 5" xfId="695"/>
    <cellStyle name="60% - アクセント 6" xfId="696"/>
    <cellStyle name="ª?ª?b??_x0010_ÅëÈ­ [0]_M504CDT" xfId="697"/>
    <cellStyle name="_x0001_Å»_x001e_´ " xfId="698"/>
    <cellStyle name="À²_°æ¿µÁöÇ¥" xfId="699"/>
    <cellStyle name="Accent1 2" xfId="2157"/>
    <cellStyle name="Accent1 3" xfId="1801"/>
    <cellStyle name="Accent2 2" xfId="2158"/>
    <cellStyle name="Accent2 3" xfId="1802"/>
    <cellStyle name="Accent3 2" xfId="2159"/>
    <cellStyle name="Accent3 3" xfId="1803"/>
    <cellStyle name="Accent4 2" xfId="2160"/>
    <cellStyle name="Accent4 3" xfId="1804"/>
    <cellStyle name="Accent5 2" xfId="2161"/>
    <cellStyle name="Accent5 3" xfId="1805"/>
    <cellStyle name="Accent6 2" xfId="2162"/>
    <cellStyle name="Accent6 3" xfId="1806"/>
    <cellStyle name="Aee­ " xfId="700"/>
    <cellStyle name="ÅëÈ­ [0]_      " xfId="701"/>
    <cellStyle name="AeE­ [0]_ 2ÆAAþº° " xfId="702"/>
    <cellStyle name="ÅëÈ­ [0]_L601CPT" xfId="703"/>
    <cellStyle name="ÅëÈ­_      " xfId="704"/>
    <cellStyle name="AeE­_ 2ÆAAþº° " xfId="705"/>
    <cellStyle name="ÅëÈ­_L601CPT" xfId="706"/>
    <cellStyle name="args.style" xfId="1513"/>
    <cellStyle name="ÄÞ¸¶ [0]_      " xfId="707"/>
    <cellStyle name="AÞ¸¶ [0]_ 2ÆAAþº° " xfId="708"/>
    <cellStyle name="ÄÞ¸¶ [0]_L601CPT" xfId="709"/>
    <cellStyle name="ÄÞ¸¶_      " xfId="710"/>
    <cellStyle name="AÞ¸¶_ 2ÆAAþº° " xfId="711"/>
    <cellStyle name="ÄÞ¸¶_L601CPT" xfId="712"/>
    <cellStyle name="AutoFormat Options" xfId="713"/>
    <cellStyle name="ªꉨªŁb೐Ȭ_x0010_ÅëÈ­ [0]_M504CDT" xfId="714"/>
    <cellStyle name="Bad 2" xfId="2163"/>
    <cellStyle name="Bad 3" xfId="1807"/>
    <cellStyle name="Bình thường 2" xfId="1514"/>
    <cellStyle name="Bình thường 2 2" xfId="1729"/>
    <cellStyle name="Bình thường 2 2 2" xfId="3296"/>
    <cellStyle name="Bình thường 2 2 2 2" xfId="5216"/>
    <cellStyle name="Bình thường 2 2 3" xfId="4558"/>
    <cellStyle name="Bình thường 2 3" xfId="3169"/>
    <cellStyle name="Bình thường 2 3 2" xfId="5093"/>
    <cellStyle name="Bình thường 2 4" xfId="3926"/>
    <cellStyle name="C?AØ_¿?¾÷CoE² " xfId="715"/>
    <cellStyle name="Ç¥ÁØ_      " xfId="716"/>
    <cellStyle name="C￥AØ_  FAB AIA¤  " xfId="717"/>
    <cellStyle name="Ç¥ÁØ_±¸¹Ì´ëÃ¥" xfId="718"/>
    <cellStyle name="Calc Currency (0)" xfId="1515"/>
    <cellStyle name="Calc Currency (0) 2" xfId="1516"/>
    <cellStyle name="Calc Percent (0)" xfId="1517"/>
    <cellStyle name="Calc Percent (0) 2" xfId="2117"/>
    <cellStyle name="Calc Percent (1)" xfId="1518"/>
    <cellStyle name="Calc Percent (1) 2" xfId="2139"/>
    <cellStyle name="Calculation 2" xfId="719"/>
    <cellStyle name="Calculation 2 2" xfId="2164"/>
    <cellStyle name="Calculation 2 2 2" xfId="3384"/>
    <cellStyle name="Calculation 2 2 2 2" xfId="5617"/>
    <cellStyle name="Calculation 2 2 2 2 2" xfId="3881"/>
    <cellStyle name="Calculation 2 2 2 2 3" xfId="6019"/>
    <cellStyle name="Calculation 2 2 2 2 4" xfId="3752"/>
    <cellStyle name="Calculation 2 2 2 2 5" xfId="5988"/>
    <cellStyle name="Calculation 2 2 2 2 6" xfId="6050"/>
    <cellStyle name="Calculation 2 2 2 3" xfId="4841"/>
    <cellStyle name="Calculation 2 2 2 4" xfId="5927"/>
    <cellStyle name="Calculation 2 2 2 5" xfId="4701"/>
    <cellStyle name="Calculation 2 2 2 6" xfId="4621"/>
    <cellStyle name="Calculation 2 2 2 7" xfId="4811"/>
    <cellStyle name="Calculation 2 2 3" xfId="5595"/>
    <cellStyle name="Calculation 2 2 3 2" xfId="6098"/>
    <cellStyle name="Calculation 2 2 3 3" xfId="4622"/>
    <cellStyle name="Calculation 2 2 3 4" xfId="6043"/>
    <cellStyle name="Calculation 2 2 3 5" xfId="4026"/>
    <cellStyle name="Calculation 2 2 3 6" xfId="6249"/>
    <cellStyle name="Calculation 2 2 4" xfId="3678"/>
    <cellStyle name="Calculation 2 2 5" xfId="6058"/>
    <cellStyle name="Calculation 2 2 6" xfId="4854"/>
    <cellStyle name="Calculation 2 2 7" xfId="3685"/>
    <cellStyle name="Calculation 2 2 8" xfId="5996"/>
    <cellStyle name="Calculation 2 3" xfId="3023"/>
    <cellStyle name="Calculation 2 3 2" xfId="3582"/>
    <cellStyle name="Calculation 2 3 2 2" xfId="5669"/>
    <cellStyle name="Calculation 2 3 2 2 2" xfId="6243"/>
    <cellStyle name="Calculation 2 3 2 2 3" xfId="6124"/>
    <cellStyle name="Calculation 2 3 2 2 4" xfId="6265"/>
    <cellStyle name="Calculation 2 3 2 2 5" xfId="4028"/>
    <cellStyle name="Calculation 2 3 2 2 6" xfId="6205"/>
    <cellStyle name="Calculation 2 3 2 3" xfId="6007"/>
    <cellStyle name="Calculation 2 3 2 4" xfId="6036"/>
    <cellStyle name="Calculation 2 3 2 5" xfId="6182"/>
    <cellStyle name="Calculation 2 3 2 6" xfId="5997"/>
    <cellStyle name="Calculation 2 3 2 7" xfId="5965"/>
    <cellStyle name="Calculation 2 3 3" xfId="5607"/>
    <cellStyle name="Calculation 2 3 3 2" xfId="6125"/>
    <cellStyle name="Calculation 2 3 3 3" xfId="4048"/>
    <cellStyle name="Calculation 2 3 3 4" xfId="6088"/>
    <cellStyle name="Calculation 2 3 3 5" xfId="4793"/>
    <cellStyle name="Calculation 2 3 3 6" xfId="4046"/>
    <cellStyle name="Calculation 2 3 4" xfId="5948"/>
    <cellStyle name="Calculation 2 3 5" xfId="6044"/>
    <cellStyle name="Calculation 2 3 6" xfId="6220"/>
    <cellStyle name="Calculation 2 3 7" xfId="5981"/>
    <cellStyle name="Calculation 2 3 8" xfId="5960"/>
    <cellStyle name="Calculation 2 4" xfId="3021"/>
    <cellStyle name="Calculation 2 4 2" xfId="5591"/>
    <cellStyle name="Calculation 2 4 2 2" xfId="6141"/>
    <cellStyle name="Calculation 2 4 2 3" xfId="6162"/>
    <cellStyle name="Calculation 2 4 2 4" xfId="4084"/>
    <cellStyle name="Calculation 2 4 2 5" xfId="6113"/>
    <cellStyle name="Calculation 2 4 2 6" xfId="6268"/>
    <cellStyle name="Calculation 2 4 3" xfId="5963"/>
    <cellStyle name="Calculation 2 4 4" xfId="6259"/>
    <cellStyle name="Calculation 2 4 5" xfId="5962"/>
    <cellStyle name="Calculation 2 4 6" xfId="4207"/>
    <cellStyle name="Calculation 2 4 7" xfId="4107"/>
    <cellStyle name="Calculation 3" xfId="1808"/>
    <cellStyle name="Calculation 3 2" xfId="3013"/>
    <cellStyle name="Calculation 3 2 2" xfId="3578"/>
    <cellStyle name="Calculation 3 2 2 2" xfId="5600"/>
    <cellStyle name="Calculation 3 2 2 2 2" xfId="3708"/>
    <cellStyle name="Calculation 3 2 2 2 3" xfId="6160"/>
    <cellStyle name="Calculation 3 2 2 2 4" xfId="6233"/>
    <cellStyle name="Calculation 3 2 2 2 5" xfId="4294"/>
    <cellStyle name="Calculation 3 2 2 2 6" xfId="4626"/>
    <cellStyle name="Calculation 3 2 2 3" xfId="6073"/>
    <cellStyle name="Calculation 3 2 2 4" xfId="5959"/>
    <cellStyle name="Calculation 3 2 2 5" xfId="6029"/>
    <cellStyle name="Calculation 3 2 2 6" xfId="5933"/>
    <cellStyle name="Calculation 3 2 2 7" xfId="6137"/>
    <cellStyle name="Calculation 3 2 3" xfId="4423"/>
    <cellStyle name="Calculation 3 2 3 2" xfId="6138"/>
    <cellStyle name="Calculation 3 2 3 3" xfId="6002"/>
    <cellStyle name="Calculation 3 2 3 4" xfId="6201"/>
    <cellStyle name="Calculation 3 2 3 5" xfId="6051"/>
    <cellStyle name="Calculation 3 2 3 6" xfId="3736"/>
    <cellStyle name="Calculation 3 2 4" xfId="4691"/>
    <cellStyle name="Calculation 3 2 5" xfId="3825"/>
    <cellStyle name="Calculation 3 2 6" xfId="3812"/>
    <cellStyle name="Calculation 3 2 7" xfId="6294"/>
    <cellStyle name="Calculation 3 2 8" xfId="6119"/>
    <cellStyle name="Calculation 3 3" xfId="3028"/>
    <cellStyle name="Calculation 3 3 2" xfId="4432"/>
    <cellStyle name="Calculation 3 3 2 2" xfId="4070"/>
    <cellStyle name="Calculation 3 3 2 3" xfId="4785"/>
    <cellStyle name="Calculation 3 3 2 4" xfId="6171"/>
    <cellStyle name="Calculation 3 3 2 5" xfId="6238"/>
    <cellStyle name="Calculation 3 3 2 6" xfId="6083"/>
    <cellStyle name="Calculation 3 3 3" xfId="5976"/>
    <cellStyle name="Calculation 3 3 4" xfId="3698"/>
    <cellStyle name="Calculation 3 3 5" xfId="3737"/>
    <cellStyle name="Calculation 3 3 6" xfId="6131"/>
    <cellStyle name="Calculation 3 3 7" xfId="4822"/>
    <cellStyle name="Calculation 3 4" xfId="5577"/>
    <cellStyle name="Calculation 3 4 2" xfId="5999"/>
    <cellStyle name="Calculation 3 4 3" xfId="6028"/>
    <cellStyle name="Calculation 3 4 4" xfId="3732"/>
    <cellStyle name="Calculation 3 4 5" xfId="4804"/>
    <cellStyle name="Calculation 3 4 6" xfId="6276"/>
    <cellStyle name="Calculation 3 5" xfId="3765"/>
    <cellStyle name="Calculation 3 6" xfId="6191"/>
    <cellStyle name="Calculation 3 7" xfId="6027"/>
    <cellStyle name="Calculation 3 8" xfId="6087"/>
    <cellStyle name="Calculation 3 9" xfId="6061"/>
    <cellStyle name="category" xfId="720"/>
    <cellStyle name="category 2" xfId="4111"/>
    <cellStyle name="category 3" xfId="3804"/>
    <cellStyle name="Cerrency_Sheet2_XANGDAU" xfId="721"/>
    <cellStyle name="Check Cell 2" xfId="2113"/>
    <cellStyle name="Check Cell 2 2" xfId="2370"/>
    <cellStyle name="Check Cell 2 2 2" xfId="2782"/>
    <cellStyle name="Check Cell 2 2 2 2" xfId="2978"/>
    <cellStyle name="Check Cell 2 2 2 3" xfId="2987"/>
    <cellStyle name="Check Cell 2 2 2 4" xfId="2991"/>
    <cellStyle name="Check Cell 2 2 2 5" xfId="2995"/>
    <cellStyle name="Check Cell 2 2 3" xfId="2901"/>
    <cellStyle name="Check Cell 2 2 4" xfId="2983"/>
    <cellStyle name="Check Cell 2 3" xfId="2358"/>
    <cellStyle name="Check Cell 2 3 2" xfId="2776"/>
    <cellStyle name="Check Cell 2 3 2 2" xfId="2975"/>
    <cellStyle name="Check Cell 2 3 2 3" xfId="2985"/>
    <cellStyle name="Check Cell 2 3 2 4" xfId="2989"/>
    <cellStyle name="Check Cell 2 3 2 5" xfId="2993"/>
    <cellStyle name="Check Cell 2 3 3" xfId="2882"/>
    <cellStyle name="Check Cell 2 3 4" xfId="2898"/>
    <cellStyle name="Check Cell 2 4" xfId="2589"/>
    <cellStyle name="Check Cell 2 4 2" xfId="2963"/>
    <cellStyle name="Check Cell 2 4 3" xfId="2877"/>
    <cellStyle name="Check Cell 2 4 4" xfId="2900"/>
    <cellStyle name="Check Cell 2 4 5" xfId="2800"/>
    <cellStyle name="Check Cell 2 5" xfId="2868"/>
    <cellStyle name="Check Cell 2 6" xfId="2971"/>
    <cellStyle name="Check Cell 3" xfId="2165"/>
    <cellStyle name="Check Cell 3 2" xfId="2619"/>
    <cellStyle name="Check Cell 3 2 2" xfId="2966"/>
    <cellStyle name="Check Cell 3 2 3" xfId="2981"/>
    <cellStyle name="Check Cell 3 2 4" xfId="2861"/>
    <cellStyle name="Check Cell 3 2 5" xfId="2948"/>
    <cellStyle name="Check Cell 3 3" xfId="2836"/>
    <cellStyle name="Check Cell 3 4" xfId="2968"/>
    <cellStyle name="Check Cell 4" xfId="1809"/>
    <cellStyle name="Chuẩn 2" xfId="1519"/>
    <cellStyle name="Chuẩn 2 2" xfId="1878"/>
    <cellStyle name="Chuẩn 2 2 2" xfId="3654"/>
    <cellStyle name="CHUONG" xfId="1520"/>
    <cellStyle name="Comma" xfId="19" builtinId="3"/>
    <cellStyle name="Comma  - Style1" xfId="722"/>
    <cellStyle name="Comma  - Style2" xfId="723"/>
    <cellStyle name="Comma  - Style3" xfId="724"/>
    <cellStyle name="Comma  - Style4" xfId="725"/>
    <cellStyle name="Comma  - Style5" xfId="726"/>
    <cellStyle name="Comma  - Style6" xfId="727"/>
    <cellStyle name="Comma  - Style7" xfId="728"/>
    <cellStyle name="Comma  - Style8" xfId="729"/>
    <cellStyle name="Comma [0] 2" xfId="730"/>
    <cellStyle name="Comma [0] 2 2" xfId="731"/>
    <cellStyle name="Comma [0] 2 3" xfId="1880"/>
    <cellStyle name="Comma [0] 2 4" xfId="4112"/>
    <cellStyle name="Comma [0] 3" xfId="732"/>
    <cellStyle name="Comma [0] 3 2" xfId="1881"/>
    <cellStyle name="Comma [0] 4" xfId="733"/>
    <cellStyle name="Comma [0] 6" xfId="734"/>
    <cellStyle name="Comma [0] 6 2" xfId="1614"/>
    <cellStyle name="Comma [0] 6 2 2" xfId="3181"/>
    <cellStyle name="Comma [0] 6 2 2 2" xfId="5101"/>
    <cellStyle name="Comma [0] 6 2 3" xfId="4443"/>
    <cellStyle name="Comma [0] 6 3" xfId="3049"/>
    <cellStyle name="Comma [0] 6 3 2" xfId="4978"/>
    <cellStyle name="Comma [0] 6 4" xfId="4113"/>
    <cellStyle name="Comma 10" xfId="7"/>
    <cellStyle name="Comma 10 2" xfId="13"/>
    <cellStyle name="Comma 10 2 2" xfId="735"/>
    <cellStyle name="Comma 10 2 2 2" xfId="2415"/>
    <cellStyle name="Comma 10 2 2 3" xfId="1883"/>
    <cellStyle name="Comma 10 2 3" xfId="736"/>
    <cellStyle name="Comma 10 2 3 2" xfId="1521"/>
    <cellStyle name="Comma 10 2 3 2 2" xfId="1730"/>
    <cellStyle name="Comma 10 2 3 2 2 2" xfId="3297"/>
    <cellStyle name="Comma 10 2 3 2 2 2 2" xfId="5217"/>
    <cellStyle name="Comma 10 2 3 2 2 3" xfId="4559"/>
    <cellStyle name="Comma 10 2 3 2 3" xfId="3170"/>
    <cellStyle name="Comma 10 2 3 2 3 2" xfId="5094"/>
    <cellStyle name="Comma 10 2 3 2 4" xfId="3950"/>
    <cellStyle name="Comma 10 2 4" xfId="1606"/>
    <cellStyle name="Comma 10 3" xfId="28"/>
    <cellStyle name="Comma 10 3 2" xfId="1885"/>
    <cellStyle name="Comma 10 3 2 2" xfId="2417"/>
    <cellStyle name="Comma 10 3 2 2 2" xfId="2912"/>
    <cellStyle name="Comma 10 3 2 2 2 2" xfId="3514"/>
    <cellStyle name="Comma 10 3 2 2 2 2 2" xfId="5433"/>
    <cellStyle name="Comma 10 3 2 2 2 3" xfId="4894"/>
    <cellStyle name="Comma 10 3 2 2 3" xfId="3395"/>
    <cellStyle name="Comma 10 3 2 2 3 2" xfId="5314"/>
    <cellStyle name="Comma 10 3 2 2 4" xfId="4728"/>
    <cellStyle name="Comma 10 3 2 3" xfId="2805"/>
    <cellStyle name="Comma 10 3 2 3 2" xfId="3454"/>
    <cellStyle name="Comma 10 3 2 3 2 2" xfId="5373"/>
    <cellStyle name="Comma 10 3 2 3 3" xfId="4827"/>
    <cellStyle name="Comma 10 3 2 4" xfId="3334"/>
    <cellStyle name="Comma 10 3 2 4 2" xfId="5254"/>
    <cellStyle name="Comma 10 3 2 5" xfId="4610"/>
    <cellStyle name="Comma 10 3 3" xfId="737"/>
    <cellStyle name="Comma 10 3 3 2" xfId="51"/>
    <cellStyle name="Comma 10 3 3 2 2" xfId="2911"/>
    <cellStyle name="Comma 10 3 3 2 2 2" xfId="3513"/>
    <cellStyle name="Comma 10 3 3 2 2 2 2" xfId="5432"/>
    <cellStyle name="Comma 10 3 3 2 2 3" xfId="4893"/>
    <cellStyle name="Comma 10 3 3 3" xfId="2416"/>
    <cellStyle name="Comma 10 3 3 3 2" xfId="3394"/>
    <cellStyle name="Comma 10 3 3 3 2 2" xfId="5313"/>
    <cellStyle name="Comma 10 3 3 3 3" xfId="4727"/>
    <cellStyle name="Comma 10 3 4" xfId="2804"/>
    <cellStyle name="Comma 10 3 4 2" xfId="3453"/>
    <cellStyle name="Comma 10 3 4 2 2" xfId="5372"/>
    <cellStyle name="Comma 10 3 4 3" xfId="4826"/>
    <cellStyle name="Comma 10 3 5" xfId="1884"/>
    <cellStyle name="Comma 10 3 5 2" xfId="3333"/>
    <cellStyle name="Comma 10 3 5 2 2" xfId="5253"/>
    <cellStyle name="Comma 10 3 5 3" xfId="4609"/>
    <cellStyle name="Comma 10 4" xfId="1522"/>
    <cellStyle name="Comma 10 4 2" xfId="2418"/>
    <cellStyle name="Comma 10 4 2 2" xfId="2913"/>
    <cellStyle name="Comma 10 4 2 2 2" xfId="3515"/>
    <cellStyle name="Comma 10 4 2 2 2 2" xfId="5434"/>
    <cellStyle name="Comma 10 4 2 2 3" xfId="4895"/>
    <cellStyle name="Comma 10 4 2 3" xfId="3396"/>
    <cellStyle name="Comma 10 4 2 3 2" xfId="5315"/>
    <cellStyle name="Comma 10 4 2 4" xfId="4729"/>
    <cellStyle name="Comma 10 4 3" xfId="2806"/>
    <cellStyle name="Comma 10 4 3 2" xfId="3455"/>
    <cellStyle name="Comma 10 4 3 2 2" xfId="5374"/>
    <cellStyle name="Comma 10 4 3 3" xfId="4828"/>
    <cellStyle name="Comma 10 4 4" xfId="1886"/>
    <cellStyle name="Comma 10 4 4 2" xfId="3335"/>
    <cellStyle name="Comma 10 4 4 2 2" xfId="5255"/>
    <cellStyle name="Comma 10 4 4 3" xfId="4611"/>
    <cellStyle name="Comma 10 5" xfId="2414"/>
    <cellStyle name="Comma 10 5 2" xfId="1887"/>
    <cellStyle name="Comma 10 5 2 2" xfId="1888"/>
    <cellStyle name="Comma 10 5 2 2 2" xfId="2420"/>
    <cellStyle name="Comma 10 5 2 2 2 2" xfId="2915"/>
    <cellStyle name="Comma 10 5 2 2 2 2 2" xfId="3517"/>
    <cellStyle name="Comma 10 5 2 2 2 2 2 2" xfId="5436"/>
    <cellStyle name="Comma 10 5 2 2 2 2 3" xfId="4897"/>
    <cellStyle name="Comma 10 5 2 2 2 3" xfId="3398"/>
    <cellStyle name="Comma 10 5 2 2 2 3 2" xfId="5317"/>
    <cellStyle name="Comma 10 5 2 2 2 4" xfId="4731"/>
    <cellStyle name="Comma 10 5 2 2 3" xfId="2808"/>
    <cellStyle name="Comma 10 5 2 2 3 2" xfId="3457"/>
    <cellStyle name="Comma 10 5 2 2 3 2 2" xfId="5376"/>
    <cellStyle name="Comma 10 5 2 2 3 3" xfId="4830"/>
    <cellStyle name="Comma 10 5 2 2 4" xfId="3337"/>
    <cellStyle name="Comma 10 5 2 2 4 2" xfId="5257"/>
    <cellStyle name="Comma 10 5 2 2 5" xfId="4613"/>
    <cellStyle name="Comma 10 5 2 3" xfId="2419"/>
    <cellStyle name="Comma 10 5 2 3 2" xfId="2914"/>
    <cellStyle name="Comma 10 5 2 3 2 2" xfId="3516"/>
    <cellStyle name="Comma 10 5 2 3 2 2 2" xfId="5435"/>
    <cellStyle name="Comma 10 5 2 3 2 3" xfId="4896"/>
    <cellStyle name="Comma 10 5 2 3 3" xfId="3397"/>
    <cellStyle name="Comma 10 5 2 3 3 2" xfId="5316"/>
    <cellStyle name="Comma 10 5 2 3 4" xfId="4730"/>
    <cellStyle name="Comma 10 5 2 4" xfId="2807"/>
    <cellStyle name="Comma 10 5 2 4 2" xfId="3456"/>
    <cellStyle name="Comma 10 5 2 4 2 2" xfId="5375"/>
    <cellStyle name="Comma 10 5 2 4 3" xfId="4829"/>
    <cellStyle name="Comma 10 5 2 5" xfId="3336"/>
    <cellStyle name="Comma 10 5 2 5 2" xfId="5256"/>
    <cellStyle name="Comma 10 5 2 6" xfId="4612"/>
    <cellStyle name="Comma 10 5 3" xfId="2371"/>
    <cellStyle name="Comma 10 5 3 2" xfId="2783"/>
    <cellStyle name="Comma 10 5 3 2 2" xfId="2979"/>
    <cellStyle name="Comma 10 5 3 2 2 2" xfId="3565"/>
    <cellStyle name="Comma 10 5 3 2 2 2 2" xfId="5484"/>
    <cellStyle name="Comma 10 5 3 2 2 3" xfId="4946"/>
    <cellStyle name="Comma 10 5 3 2 3" xfId="3446"/>
    <cellStyle name="Comma 10 5 3 2 3 2" xfId="5365"/>
    <cellStyle name="Comma 10 5 3 2 4" xfId="4818"/>
    <cellStyle name="Comma 10 5 3 3" xfId="2903"/>
    <cellStyle name="Comma 10 5 3 3 2" xfId="3505"/>
    <cellStyle name="Comma 10 5 3 3 2 2" xfId="5424"/>
    <cellStyle name="Comma 10 5 3 3 3" xfId="4885"/>
    <cellStyle name="Comma 10 5 3 4" xfId="3386"/>
    <cellStyle name="Comma 10 5 3 4 2" xfId="5305"/>
    <cellStyle name="Comma 10 5 3 5" xfId="4715"/>
    <cellStyle name="Comma 10 5 4" xfId="2910"/>
    <cellStyle name="Comma 10 5 4 2" xfId="3512"/>
    <cellStyle name="Comma 10 5 4 2 2" xfId="5431"/>
    <cellStyle name="Comma 10 5 4 3" xfId="4892"/>
    <cellStyle name="Comma 10 5 5" xfId="3393"/>
    <cellStyle name="Comma 10 5 5 2" xfId="5312"/>
    <cellStyle name="Comma 10 5 6" xfId="4726"/>
    <cellStyle name="Comma 10 6" xfId="2803"/>
    <cellStyle name="Comma 10 6 2" xfId="3452"/>
    <cellStyle name="Comma 10 6 2 2" xfId="5371"/>
    <cellStyle name="Comma 10 6 3" xfId="4825"/>
    <cellStyle name="Comma 10 7" xfId="1882"/>
    <cellStyle name="Comma 10 7 2" xfId="3332"/>
    <cellStyle name="Comma 10 7 2 2" xfId="5252"/>
    <cellStyle name="Comma 10 7 3" xfId="4608"/>
    <cellStyle name="Comma 10 8" xfId="3805"/>
    <cellStyle name="Comma 100" xfId="5740"/>
    <cellStyle name="Comma 101" xfId="5878"/>
    <cellStyle name="Comma 102" xfId="1889"/>
    <cellStyle name="Comma 102 2" xfId="1890"/>
    <cellStyle name="Comma 102 2 2" xfId="2079"/>
    <cellStyle name="Comma 102 2 2 2" xfId="2257"/>
    <cellStyle name="Comma 102 2 2 2 2" xfId="2702"/>
    <cellStyle name="Comma 102 2 2 3" xfId="2557"/>
    <cellStyle name="Comma 102 2 3" xfId="2109"/>
    <cellStyle name="Comma 102 2 3 2" xfId="2286"/>
    <cellStyle name="Comma 102 2 3 2 2" xfId="2731"/>
    <cellStyle name="Comma 102 2 3 3" xfId="2586"/>
    <cellStyle name="Comma 102 2 4" xfId="2185"/>
    <cellStyle name="Comma 102 2 4 2" xfId="2630"/>
    <cellStyle name="Comma 102 2 5" xfId="2422"/>
    <cellStyle name="Comma 102 3" xfId="2078"/>
    <cellStyle name="Comma 102 3 2" xfId="2256"/>
    <cellStyle name="Comma 102 3 2 2" xfId="2701"/>
    <cellStyle name="Comma 102 3 2 3" xfId="2886"/>
    <cellStyle name="Comma 102 3 3" xfId="2556"/>
    <cellStyle name="Comma 102 3 4" xfId="2862"/>
    <cellStyle name="Comma 102 4" xfId="2108"/>
    <cellStyle name="Comma 102 4 2" xfId="2285"/>
    <cellStyle name="Comma 102 4 2 2" xfId="2730"/>
    <cellStyle name="Comma 102 4 2 3" xfId="2892"/>
    <cellStyle name="Comma 102 4 3" xfId="2585"/>
    <cellStyle name="Comma 102 4 4" xfId="2869"/>
    <cellStyle name="Comma 102 5" xfId="2184"/>
    <cellStyle name="Comma 102 5 2" xfId="2629"/>
    <cellStyle name="Comma 102 5 3" xfId="2878"/>
    <cellStyle name="Comma 102 6" xfId="2421"/>
    <cellStyle name="Comma 102 7" xfId="2809"/>
    <cellStyle name="Comma 103" xfId="5870"/>
    <cellStyle name="Comma 104" xfId="5894"/>
    <cellStyle name="Comma 105" xfId="5704"/>
    <cellStyle name="Comma 106" xfId="5919"/>
    <cellStyle name="Comma 107" xfId="5780"/>
    <cellStyle name="Comma 108" xfId="5714"/>
    <cellStyle name="Comma 109" xfId="5746"/>
    <cellStyle name="Comma 11" xfId="738"/>
    <cellStyle name="Comma 11 2" xfId="739"/>
    <cellStyle name="Comma 11 2 2" xfId="2424"/>
    <cellStyle name="Comma 11 2 2 2" xfId="2917"/>
    <cellStyle name="Comma 11 2 2 2 2" xfId="3519"/>
    <cellStyle name="Comma 11 2 2 2 2 2" xfId="5438"/>
    <cellStyle name="Comma 11 2 2 2 3" xfId="4899"/>
    <cellStyle name="Comma 11 2 2 3" xfId="3400"/>
    <cellStyle name="Comma 11 2 2 3 2" xfId="5319"/>
    <cellStyle name="Comma 11 2 2 4" xfId="4733"/>
    <cellStyle name="Comma 11 2 3" xfId="2811"/>
    <cellStyle name="Comma 11 2 3 2" xfId="3459"/>
    <cellStyle name="Comma 11 2 3 2 2" xfId="5378"/>
    <cellStyle name="Comma 11 2 3 3" xfId="4832"/>
    <cellStyle name="Comma 11 2 4" xfId="1892"/>
    <cellStyle name="Comma 11 2 4 2" xfId="3339"/>
    <cellStyle name="Comma 11 2 4 2 2" xfId="5259"/>
    <cellStyle name="Comma 11 2 4 3" xfId="4616"/>
    <cellStyle name="Comma 11 2 5" xfId="4116"/>
    <cellStyle name="Comma 11 2 6" xfId="3927"/>
    <cellStyle name="Comma 11 3" xfId="740"/>
    <cellStyle name="Comma 11 3 2" xfId="741"/>
    <cellStyle name="Comma 11 3 2 2" xfId="2916"/>
    <cellStyle name="Comma 11 3 2 2 2" xfId="3518"/>
    <cellStyle name="Comma 11 3 2 2 2 2" xfId="5437"/>
    <cellStyle name="Comma 11 3 2 2 3" xfId="4898"/>
    <cellStyle name="Comma 11 3 3" xfId="742"/>
    <cellStyle name="Comma 11 3 3 2 4" xfId="743"/>
    <cellStyle name="Comma 11 3 4" xfId="2423"/>
    <cellStyle name="Comma 11 3 4 2" xfId="3399"/>
    <cellStyle name="Comma 11 3 4 2 2" xfId="5318"/>
    <cellStyle name="Comma 11 3 4 3" xfId="4732"/>
    <cellStyle name="Comma 11 3 5" xfId="4117"/>
    <cellStyle name="Comma 11 3 6" xfId="3933"/>
    <cellStyle name="Comma 11 4" xfId="1893"/>
    <cellStyle name="Comma 11 4 2" xfId="1894"/>
    <cellStyle name="Comma 11 4 2 2" xfId="2425"/>
    <cellStyle name="Comma 11 5" xfId="2810"/>
    <cellStyle name="Comma 11 5 2" xfId="3458"/>
    <cellStyle name="Comma 11 5 2 2" xfId="5377"/>
    <cellStyle name="Comma 11 5 3" xfId="4831"/>
    <cellStyle name="Comma 11 6" xfId="1891"/>
    <cellStyle name="Comma 11 6 2" xfId="3338"/>
    <cellStyle name="Comma 11 6 2 2" xfId="5258"/>
    <cellStyle name="Comma 11 6 3" xfId="4615"/>
    <cellStyle name="Comma 110" xfId="5816"/>
    <cellStyle name="Comma 111" xfId="5856"/>
    <cellStyle name="Comma 112" xfId="5733"/>
    <cellStyle name="Comma 113" xfId="5798"/>
    <cellStyle name="Comma 114" xfId="5886"/>
    <cellStyle name="Comma 115" xfId="5871"/>
    <cellStyle name="Comma 116" xfId="5719"/>
    <cellStyle name="Comma 117" xfId="5889"/>
    <cellStyle name="Comma 118" xfId="5875"/>
    <cellStyle name="Comma 119" xfId="5883"/>
    <cellStyle name="Comma 12" xfId="26"/>
    <cellStyle name="Comma 12 2" xfId="744"/>
    <cellStyle name="Comma 12 2 2" xfId="1895"/>
    <cellStyle name="Comma 12 2 2 2" xfId="2426"/>
    <cellStyle name="Comma 12 2 2 3" xfId="745"/>
    <cellStyle name="Comma 12 3" xfId="1896"/>
    <cellStyle name="Comma 12 3 2" xfId="2427"/>
    <cellStyle name="Comma 12 4" xfId="746"/>
    <cellStyle name="Comma 12 4 2" xfId="1897"/>
    <cellStyle name="Comma 12 4 2 2" xfId="2428"/>
    <cellStyle name="Comma 12 5" xfId="1898"/>
    <cellStyle name="Comma 12 5 2" xfId="1899"/>
    <cellStyle name="Comma 12 5 2 2" xfId="2429"/>
    <cellStyle name="Comma 12 6" xfId="3963"/>
    <cellStyle name="Comma 12 7" xfId="3919"/>
    <cellStyle name="Comma 120" xfId="5825"/>
    <cellStyle name="Comma 13" xfId="747"/>
    <cellStyle name="Comma 13 2" xfId="1901"/>
    <cellStyle name="Comma 13 2 2" xfId="2431"/>
    <cellStyle name="Comma 13 2 2 2" xfId="2919"/>
    <cellStyle name="Comma 13 2 2 2 2" xfId="3521"/>
    <cellStyle name="Comma 13 2 2 2 2 2" xfId="5440"/>
    <cellStyle name="Comma 13 2 2 2 3" xfId="4901"/>
    <cellStyle name="Comma 13 2 2 3" xfId="3402"/>
    <cellStyle name="Comma 13 2 2 3 2" xfId="5321"/>
    <cellStyle name="Comma 13 2 2 4" xfId="4736"/>
    <cellStyle name="Comma 13 2 3" xfId="2813"/>
    <cellStyle name="Comma 13 2 3 2" xfId="3461"/>
    <cellStyle name="Comma 13 2 3 2 2" xfId="5380"/>
    <cellStyle name="Comma 13 2 3 3" xfId="4834"/>
    <cellStyle name="Comma 13 2 4" xfId="3341"/>
    <cellStyle name="Comma 13 2 4 2" xfId="5261"/>
    <cellStyle name="Comma 13 2 5" xfId="4619"/>
    <cellStyle name="Comma 13 3" xfId="2430"/>
    <cellStyle name="Comma 13 3 2" xfId="2918"/>
    <cellStyle name="Comma 13 3 2 2" xfId="3520"/>
    <cellStyle name="Comma 13 3 2 2 2" xfId="5439"/>
    <cellStyle name="Comma 13 3 2 3" xfId="4900"/>
    <cellStyle name="Comma 13 3 3" xfId="3401"/>
    <cellStyle name="Comma 13 3 3 2" xfId="5320"/>
    <cellStyle name="Comma 13 3 4" xfId="4735"/>
    <cellStyle name="Comma 13 4" xfId="2812"/>
    <cellStyle name="Comma 13 4 2" xfId="3460"/>
    <cellStyle name="Comma 13 4 2 2" xfId="5379"/>
    <cellStyle name="Comma 13 4 3" xfId="4833"/>
    <cellStyle name="Comma 13 5" xfId="1900"/>
    <cellStyle name="Comma 13 5 2" xfId="3340"/>
    <cellStyle name="Comma 13 5 2 2" xfId="5260"/>
    <cellStyle name="Comma 13 5 3" xfId="4618"/>
    <cellStyle name="Comma 13 6" xfId="4119"/>
    <cellStyle name="Comma 13 7" xfId="3920"/>
    <cellStyle name="Comma 14" xfId="748"/>
    <cellStyle name="Comma 14 2" xfId="749"/>
    <cellStyle name="Comma 14 2 2" xfId="1904"/>
    <cellStyle name="Comma 14 2 2 2" xfId="2081"/>
    <cellStyle name="Comma 14 2 2 2 2" xfId="2259"/>
    <cellStyle name="Comma 14 2 2 2 2 2" xfId="2704"/>
    <cellStyle name="Comma 14 2 2 2 3" xfId="2559"/>
    <cellStyle name="Comma 14 2 2 3" xfId="2111"/>
    <cellStyle name="Comma 14 2 2 3 2" xfId="2288"/>
    <cellStyle name="Comma 14 2 2 3 2 2" xfId="2733"/>
    <cellStyle name="Comma 14 2 2 3 3" xfId="2588"/>
    <cellStyle name="Comma 14 2 2 4" xfId="2327"/>
    <cellStyle name="Comma 14 2 2 4 2" xfId="2763"/>
    <cellStyle name="Comma 14 2 2 4 3" xfId="2899"/>
    <cellStyle name="Comma 14 2 2 5" xfId="2187"/>
    <cellStyle name="Comma 14 2 2 5 2" xfId="2632"/>
    <cellStyle name="Comma 14 2 2 6" xfId="2434"/>
    <cellStyle name="Comma 14 2 3" xfId="2080"/>
    <cellStyle name="Comma 14 2 3 2" xfId="2258"/>
    <cellStyle name="Comma 14 2 3 2 2" xfId="2703"/>
    <cellStyle name="Comma 14 2 3 2 3" xfId="2887"/>
    <cellStyle name="Comma 14 2 3 3" xfId="2558"/>
    <cellStyle name="Comma 14 2 3 4" xfId="2863"/>
    <cellStyle name="Comma 14 2 4" xfId="2110"/>
    <cellStyle name="Comma 14 2 4 2" xfId="2287"/>
    <cellStyle name="Comma 14 2 4 2 2" xfId="2732"/>
    <cellStyle name="Comma 14 2 4 2 3" xfId="2893"/>
    <cellStyle name="Comma 14 2 4 3" xfId="2587"/>
    <cellStyle name="Comma 14 2 4 4" xfId="2870"/>
    <cellStyle name="Comma 14 2 5" xfId="2186"/>
    <cellStyle name="Comma 14 2 5 2" xfId="2631"/>
    <cellStyle name="Comma 14 2 5 3" xfId="2879"/>
    <cellStyle name="Comma 14 2 6" xfId="2433"/>
    <cellStyle name="Comma 14 2 7" xfId="2815"/>
    <cellStyle name="Comma 14 2 8" xfId="1903"/>
    <cellStyle name="Comma 14 3" xfId="1615"/>
    <cellStyle name="Comma 14 3 2" xfId="2920"/>
    <cellStyle name="Comma 14 3 2 2" xfId="3522"/>
    <cellStyle name="Comma 14 3 2 2 2" xfId="5441"/>
    <cellStyle name="Comma 14 3 2 3" xfId="4902"/>
    <cellStyle name="Comma 14 3 3" xfId="2432"/>
    <cellStyle name="Comma 14 3 3 2" xfId="3403"/>
    <cellStyle name="Comma 14 3 3 2 2" xfId="5322"/>
    <cellStyle name="Comma 14 3 3 3" xfId="4737"/>
    <cellStyle name="Comma 14 3 4" xfId="3182"/>
    <cellStyle name="Comma 14 3 4 2" xfId="5102"/>
    <cellStyle name="Comma 14 3 5" xfId="4444"/>
    <cellStyle name="Comma 14 4" xfId="2814"/>
    <cellStyle name="Comma 14 4 2" xfId="3462"/>
    <cellStyle name="Comma 14 4 2 2" xfId="5381"/>
    <cellStyle name="Comma 14 4 3" xfId="4835"/>
    <cellStyle name="Comma 14 5" xfId="1902"/>
    <cellStyle name="Comma 14 5 2" xfId="3342"/>
    <cellStyle name="Comma 14 5 2 2" xfId="5262"/>
    <cellStyle name="Comma 14 5 3" xfId="4620"/>
    <cellStyle name="Comma 14 6" xfId="3050"/>
    <cellStyle name="Comma 14 6 2" xfId="4979"/>
    <cellStyle name="Comma 14 7" xfId="4120"/>
    <cellStyle name="Comma 14 8" xfId="3918"/>
    <cellStyle name="Comma 15" xfId="750"/>
    <cellStyle name="Comma 15 2" xfId="2413"/>
    <cellStyle name="Comma 15 3" xfId="1879"/>
    <cellStyle name="Comma 15 4" xfId="4121"/>
    <cellStyle name="Comma 15 5" xfId="3833"/>
    <cellStyle name="Comma 16" xfId="751"/>
    <cellStyle name="Comma 16 2" xfId="752"/>
    <cellStyle name="Comma 16 2 2" xfId="753"/>
    <cellStyle name="Comma 16 2 3" xfId="2510"/>
    <cellStyle name="Comma 16 3" xfId="2036"/>
    <cellStyle name="Comma 16 3 2" xfId="754"/>
    <cellStyle name="Comma 16 4" xfId="755"/>
    <cellStyle name="Comma 16 4 10" xfId="1616"/>
    <cellStyle name="Comma 16 4 10 2" xfId="3183"/>
    <cellStyle name="Comma 16 4 10 2 2" xfId="5103"/>
    <cellStyle name="Comma 16 4 10 3" xfId="4445"/>
    <cellStyle name="Comma 16 4 11" xfId="3051"/>
    <cellStyle name="Comma 16 4 11 2" xfId="4980"/>
    <cellStyle name="Comma 16 4 12" xfId="4124"/>
    <cellStyle name="Comma 16 4 2" xfId="756"/>
    <cellStyle name="Comma 16 4 2 2" xfId="757"/>
    <cellStyle name="Comma 16 4 2 2 2" xfId="1618"/>
    <cellStyle name="Comma 16 4 2 2 2 2" xfId="3185"/>
    <cellStyle name="Comma 16 4 2 2 2 2 2" xfId="5105"/>
    <cellStyle name="Comma 16 4 2 2 2 3" xfId="4447"/>
    <cellStyle name="Comma 16 4 2 2 3" xfId="3053"/>
    <cellStyle name="Comma 16 4 2 2 3 2" xfId="4982"/>
    <cellStyle name="Comma 16 4 2 2 4" xfId="4126"/>
    <cellStyle name="Comma 16 4 2 3" xfId="758"/>
    <cellStyle name="Comma 16 4 2 3 2" xfId="1619"/>
    <cellStyle name="Comma 16 4 2 3 2 2" xfId="3186"/>
    <cellStyle name="Comma 16 4 2 3 2 2 2" xfId="5106"/>
    <cellStyle name="Comma 16 4 2 3 2 3" xfId="4448"/>
    <cellStyle name="Comma 16 4 2 3 3" xfId="3054"/>
    <cellStyle name="Comma 16 4 2 3 3 2" xfId="4983"/>
    <cellStyle name="Comma 16 4 2 3 4" xfId="4127"/>
    <cellStyle name="Comma 16 4 2 4" xfId="759"/>
    <cellStyle name="Comma 16 4 2 4 2" xfId="1620"/>
    <cellStyle name="Comma 16 4 2 4 2 2" xfId="3187"/>
    <cellStyle name="Comma 16 4 2 4 2 2 2" xfId="5107"/>
    <cellStyle name="Comma 16 4 2 4 2 3" xfId="4449"/>
    <cellStyle name="Comma 16 4 2 4 3" xfId="3055"/>
    <cellStyle name="Comma 16 4 2 4 3 2" xfId="4984"/>
    <cellStyle name="Comma 16 4 2 4 4" xfId="4128"/>
    <cellStyle name="Comma 16 4 2 5" xfId="1617"/>
    <cellStyle name="Comma 16 4 2 5 2" xfId="3184"/>
    <cellStyle name="Comma 16 4 2 5 2 2" xfId="5104"/>
    <cellStyle name="Comma 16 4 2 5 3" xfId="4446"/>
    <cellStyle name="Comma 16 4 2 6" xfId="3052"/>
    <cellStyle name="Comma 16 4 2 6 2" xfId="4981"/>
    <cellStyle name="Comma 16 4 2 7" xfId="4125"/>
    <cellStyle name="Comma 16 4 3" xfId="760"/>
    <cellStyle name="Comma 16 4 3 2" xfId="1621"/>
    <cellStyle name="Comma 16 4 3 2 2" xfId="3188"/>
    <cellStyle name="Comma 16 4 3 2 2 2" xfId="5108"/>
    <cellStyle name="Comma 16 4 3 2 3" xfId="4450"/>
    <cellStyle name="Comma 16 4 3 3" xfId="3056"/>
    <cellStyle name="Comma 16 4 3 3 2" xfId="4985"/>
    <cellStyle name="Comma 16 4 3 4" xfId="4129"/>
    <cellStyle name="Comma 16 4 4" xfId="761"/>
    <cellStyle name="Comma 16 4 4 2" xfId="1622"/>
    <cellStyle name="Comma 16 4 4 2 2" xfId="3189"/>
    <cellStyle name="Comma 16 4 4 2 2 2" xfId="5109"/>
    <cellStyle name="Comma 16 4 4 2 3" xfId="4451"/>
    <cellStyle name="Comma 16 4 4 3" xfId="3057"/>
    <cellStyle name="Comma 16 4 4 3 2" xfId="4986"/>
    <cellStyle name="Comma 16 4 4 4" xfId="4130"/>
    <cellStyle name="Comma 16 4 5" xfId="762"/>
    <cellStyle name="Comma 16 4 5 2" xfId="1623"/>
    <cellStyle name="Comma 16 4 5 2 2" xfId="3190"/>
    <cellStyle name="Comma 16 4 5 2 2 2" xfId="5110"/>
    <cellStyle name="Comma 16 4 5 2 3" xfId="4452"/>
    <cellStyle name="Comma 16 4 5 3" xfId="3058"/>
    <cellStyle name="Comma 16 4 5 3 2" xfId="4987"/>
    <cellStyle name="Comma 16 4 5 4" xfId="4131"/>
    <cellStyle name="Comma 16 4 6" xfId="763"/>
    <cellStyle name="Comma 16 4 6 2" xfId="1624"/>
    <cellStyle name="Comma 16 4 6 2 2" xfId="3191"/>
    <cellStyle name="Comma 16 4 6 2 2 2" xfId="5111"/>
    <cellStyle name="Comma 16 4 6 2 3" xfId="4453"/>
    <cellStyle name="Comma 16 4 6 3" xfId="3059"/>
    <cellStyle name="Comma 16 4 6 3 2" xfId="4988"/>
    <cellStyle name="Comma 16 4 6 4" xfId="4132"/>
    <cellStyle name="Comma 16 4 7" xfId="764"/>
    <cellStyle name="Comma 16 4 7 2" xfId="1625"/>
    <cellStyle name="Comma 16 4 7 2 2" xfId="3192"/>
    <cellStyle name="Comma 16 4 7 2 2 2" xfId="5112"/>
    <cellStyle name="Comma 16 4 7 2 3" xfId="4454"/>
    <cellStyle name="Comma 16 4 7 3" xfId="3060"/>
    <cellStyle name="Comma 16 4 7 3 2" xfId="4989"/>
    <cellStyle name="Comma 16 4 7 4" xfId="4133"/>
    <cellStyle name="Comma 16 4 8" xfId="765"/>
    <cellStyle name="Comma 16 4 8 2" xfId="1626"/>
    <cellStyle name="Comma 16 4 8 2 2" xfId="3193"/>
    <cellStyle name="Comma 16 4 8 2 2 2" xfId="5113"/>
    <cellStyle name="Comma 16 4 8 2 3" xfId="4455"/>
    <cellStyle name="Comma 16 4 8 3" xfId="3061"/>
    <cellStyle name="Comma 16 4 8 3 2" xfId="4990"/>
    <cellStyle name="Comma 16 4 8 4" xfId="4134"/>
    <cellStyle name="Comma 16 4 9" xfId="766"/>
    <cellStyle name="Comma 16 4 9 2" xfId="1627"/>
    <cellStyle name="Comma 16 4 9 2 2" xfId="3194"/>
    <cellStyle name="Comma 16 4 9 2 2 2" xfId="5114"/>
    <cellStyle name="Comma 16 4 9 2 3" xfId="4456"/>
    <cellStyle name="Comma 16 4 9 3" xfId="3062"/>
    <cellStyle name="Comma 16 4 9 3 2" xfId="4991"/>
    <cellStyle name="Comma 16 4 9 4" xfId="4135"/>
    <cellStyle name="Comma 16 5" xfId="4122"/>
    <cellStyle name="Comma 16 6" xfId="3917"/>
    <cellStyle name="Comma 17" xfId="767"/>
    <cellStyle name="Comma 17 2" xfId="1906"/>
    <cellStyle name="Comma 17 2 2" xfId="2435"/>
    <cellStyle name="Comma 17 3" xfId="1905"/>
    <cellStyle name="Comma 17 4" xfId="4136"/>
    <cellStyle name="Comma 17 5" xfId="3923"/>
    <cellStyle name="Comma 18" xfId="1523"/>
    <cellStyle name="Comma 18 2" xfId="2620"/>
    <cellStyle name="Comma 18 3" xfId="2166"/>
    <cellStyle name="Comma 18 4 2" xfId="1907"/>
    <cellStyle name="Comma 19" xfId="1524"/>
    <cellStyle name="Comma 19 2" xfId="2762"/>
    <cellStyle name="Comma 19 3" xfId="2324"/>
    <cellStyle name="Comma 2" xfId="1"/>
    <cellStyle name="Comma 2 102" xfId="1525"/>
    <cellStyle name="Comma 2 19" xfId="1909"/>
    <cellStyle name="Comma 2 2" xfId="768"/>
    <cellStyle name="Comma 2 2 2" xfId="769"/>
    <cellStyle name="Comma 2 2 2 2" xfId="1911"/>
    <cellStyle name="Comma 2 2 2 2 2" xfId="2436"/>
    <cellStyle name="Comma 2 2 3" xfId="1912"/>
    <cellStyle name="Comma 2 2 3 2" xfId="2437"/>
    <cellStyle name="Comma 2 2 4" xfId="1910"/>
    <cellStyle name="Comma 2 3" xfId="770"/>
    <cellStyle name="Comma 2 3 2" xfId="771"/>
    <cellStyle name="Comma 2 3 2 2" xfId="2439"/>
    <cellStyle name="Comma 2 3 2 2 2" xfId="2922"/>
    <cellStyle name="Comma 2 3 2 2 2 2" xfId="3524"/>
    <cellStyle name="Comma 2 3 2 2 2 2 2" xfId="5443"/>
    <cellStyle name="Comma 2 3 2 2 2 3" xfId="4904"/>
    <cellStyle name="Comma 2 3 2 2 3" xfId="3405"/>
    <cellStyle name="Comma 2 3 2 2 3 2" xfId="5324"/>
    <cellStyle name="Comma 2 3 2 2 4" xfId="4742"/>
    <cellStyle name="Comma 2 3 2 3" xfId="2817"/>
    <cellStyle name="Comma 2 3 2 3 2" xfId="3464"/>
    <cellStyle name="Comma 2 3 2 3 2 2" xfId="5383"/>
    <cellStyle name="Comma 2 3 2 3 3" xfId="4838"/>
    <cellStyle name="Comma 2 3 2 4" xfId="1914"/>
    <cellStyle name="Comma 2 3 2 4 2" xfId="3344"/>
    <cellStyle name="Comma 2 3 2 4 2 2" xfId="5264"/>
    <cellStyle name="Comma 2 3 2 4 3" xfId="4625"/>
    <cellStyle name="Comma 2 3 3" xfId="2438"/>
    <cellStyle name="Comma 2 3 3 2" xfId="2921"/>
    <cellStyle name="Comma 2 3 3 2 2" xfId="3523"/>
    <cellStyle name="Comma 2 3 3 2 2 2" xfId="5442"/>
    <cellStyle name="Comma 2 3 3 2 3" xfId="4903"/>
    <cellStyle name="Comma 2 3 3 3" xfId="3404"/>
    <cellStyle name="Comma 2 3 3 3 2" xfId="5323"/>
    <cellStyle name="Comma 2 3 3 4" xfId="4741"/>
    <cellStyle name="Comma 2 3 4" xfId="2816"/>
    <cellStyle name="Comma 2 3 4 2" xfId="3463"/>
    <cellStyle name="Comma 2 3 4 2 2" xfId="5382"/>
    <cellStyle name="Comma 2 3 4 3" xfId="4837"/>
    <cellStyle name="Comma 2 3 5" xfId="1913"/>
    <cellStyle name="Comma 2 3 5 2" xfId="3343"/>
    <cellStyle name="Comma 2 3 5 2 2" xfId="5263"/>
    <cellStyle name="Comma 2 3 5 3" xfId="4624"/>
    <cellStyle name="Comma 2 3 6" xfId="4137"/>
    <cellStyle name="Comma 2 3 7" xfId="3940"/>
    <cellStyle name="Comma 2 4" xfId="772"/>
    <cellStyle name="Comma 2 4 2" xfId="1628"/>
    <cellStyle name="Comma 2 4 2 2" xfId="2440"/>
    <cellStyle name="Comma 2 4 2 3" xfId="1916"/>
    <cellStyle name="Comma 2 4 2 4" xfId="3195"/>
    <cellStyle name="Comma 2 4 2 4 2" xfId="5115"/>
    <cellStyle name="Comma 2 4 2 5" xfId="4457"/>
    <cellStyle name="Comma 2 4 3" xfId="1915"/>
    <cellStyle name="Comma 2 4 4" xfId="3063"/>
    <cellStyle name="Comma 2 4 4 2" xfId="4992"/>
    <cellStyle name="Comma 2 4 5" xfId="4138"/>
    <cellStyle name="Comma 2 4 6" xfId="3943"/>
    <cellStyle name="Comma 2 5" xfId="773"/>
    <cellStyle name="Comma 2 5 2" xfId="1918"/>
    <cellStyle name="Comma 2 5 2 2" xfId="1919"/>
    <cellStyle name="Comma 2 5 2 2 2" xfId="2442"/>
    <cellStyle name="Comma 2 5 3" xfId="2441"/>
    <cellStyle name="Comma 2 5 4" xfId="1917"/>
    <cellStyle name="Comma 2 6" xfId="1908"/>
    <cellStyle name="Comma 2 8" xfId="774"/>
    <cellStyle name="Comma 2_FA-NMHC_(05-11-2010)-send_Mr.Thinh(1)" xfId="775"/>
    <cellStyle name="Comma 20" xfId="1526"/>
    <cellStyle name="Comma 20 2" xfId="2777"/>
    <cellStyle name="Comma 20 3" xfId="2361"/>
    <cellStyle name="Comma 21" xfId="1527"/>
    <cellStyle name="Comma 21 2" xfId="2767"/>
    <cellStyle name="Comma 21 2 2" xfId="1920"/>
    <cellStyle name="Comma 21 2 2 2" xfId="1921"/>
    <cellStyle name="Comma 21 2 2 2 2" xfId="2443"/>
    <cellStyle name="Comma 21 3" xfId="2338"/>
    <cellStyle name="Comma 22" xfId="17"/>
    <cellStyle name="Comma 22 2" xfId="38"/>
    <cellStyle name="Comma 22 2 2" xfId="1753"/>
    <cellStyle name="Comma 22 2 2 2" xfId="3314"/>
    <cellStyle name="Comma 22 2 2 2 2" xfId="5234"/>
    <cellStyle name="Comma 22 2 2 3" xfId="4576"/>
    <cellStyle name="Comma 22 2 3" xfId="2764"/>
    <cellStyle name="Comma 22 2 4" xfId="3039"/>
    <cellStyle name="Comma 22 2 4 2" xfId="4968"/>
    <cellStyle name="Comma 22 2 5" xfId="3645"/>
    <cellStyle name="Comma 22 2 5 2" xfId="5555"/>
    <cellStyle name="Comma 22 2 6" xfId="3966"/>
    <cellStyle name="Comma 22 3" xfId="2329"/>
    <cellStyle name="Comma 23" xfId="2387"/>
    <cellStyle name="Comma 23 2" xfId="2787"/>
    <cellStyle name="Comma 24" xfId="776"/>
    <cellStyle name="Comma 24 2" xfId="777"/>
    <cellStyle name="Comma 24 2 2" xfId="1629"/>
    <cellStyle name="Comma 24 2 2 2" xfId="3196"/>
    <cellStyle name="Comma 24 2 2 2 2" xfId="5116"/>
    <cellStyle name="Comma 24 2 2 3" xfId="4458"/>
    <cellStyle name="Comma 24 2 2 3 2" xfId="778"/>
    <cellStyle name="Comma 24 2 2 3 2 10" xfId="3065"/>
    <cellStyle name="Comma 24 2 2 3 2 10 2" xfId="4994"/>
    <cellStyle name="Comma 24 2 2 3 2 11" xfId="4141"/>
    <cellStyle name="Comma 24 2 2 3 2 2" xfId="779"/>
    <cellStyle name="Comma 24 2 2 3 2 2 2" xfId="780"/>
    <cellStyle name="Comma 24 2 2 3 2 2 2 2" xfId="1632"/>
    <cellStyle name="Comma 24 2 2 3 2 2 2 2 2" xfId="3199"/>
    <cellStyle name="Comma 24 2 2 3 2 2 2 2 2 2" xfId="5119"/>
    <cellStyle name="Comma 24 2 2 3 2 2 2 2 3" xfId="4461"/>
    <cellStyle name="Comma 24 2 2 3 2 2 2 3" xfId="3067"/>
    <cellStyle name="Comma 24 2 2 3 2 2 2 3 2" xfId="4996"/>
    <cellStyle name="Comma 24 2 2 3 2 2 2 4" xfId="4143"/>
    <cellStyle name="Comma 24 2 2 3 2 2 3" xfId="1631"/>
    <cellStyle name="Comma 24 2 2 3 2 2 3 2" xfId="3198"/>
    <cellStyle name="Comma 24 2 2 3 2 2 3 2 2" xfId="5118"/>
    <cellStyle name="Comma 24 2 2 3 2 2 3 3" xfId="4460"/>
    <cellStyle name="Comma 24 2 2 3 2 2 4" xfId="3066"/>
    <cellStyle name="Comma 24 2 2 3 2 2 4 2" xfId="4995"/>
    <cellStyle name="Comma 24 2 2 3 2 2 4 2 2" xfId="1607"/>
    <cellStyle name="Comma 24 2 2 3 2 2 4 2 2 2" xfId="1731"/>
    <cellStyle name="Comma 24 2 2 3 2 2 4 2 2 2 2" xfId="3298"/>
    <cellStyle name="Comma 24 2 2 3 2 2 4 2 2 2 2 2" xfId="5218"/>
    <cellStyle name="Comma 24 2 2 3 2 2 4 2 2 2 3" xfId="4560"/>
    <cellStyle name="Comma 24 2 2 3 2 2 4 2 2 3" xfId="3175"/>
    <cellStyle name="Comma 24 2 2 3 2 2 4 2 2 3 2" xfId="5095"/>
    <cellStyle name="Comma 24 2 2 3 2 2 4 2 2 4" xfId="4437"/>
    <cellStyle name="Comma 24 2 2 3 2 2 5" xfId="4142"/>
    <cellStyle name="Comma 24 2 2 3 2 3" xfId="781"/>
    <cellStyle name="Comma 24 2 2 3 2 3 2" xfId="1633"/>
    <cellStyle name="Comma 24 2 2 3 2 3 2 2" xfId="3200"/>
    <cellStyle name="Comma 24 2 2 3 2 3 2 2 2" xfId="5120"/>
    <cellStyle name="Comma 24 2 2 3 2 3 2 3" xfId="4462"/>
    <cellStyle name="Comma 24 2 2 3 2 3 3" xfId="3068"/>
    <cellStyle name="Comma 24 2 2 3 2 3 3 2" xfId="4997"/>
    <cellStyle name="Comma 24 2 2 3 2 3 4" xfId="4144"/>
    <cellStyle name="Comma 24 2 2 3 2 4" xfId="782"/>
    <cellStyle name="Comma 24 2 2 3 2 4 2" xfId="1634"/>
    <cellStyle name="Comma 24 2 2 3 2 4 2 2" xfId="3201"/>
    <cellStyle name="Comma 24 2 2 3 2 4 2 2 2" xfId="5121"/>
    <cellStyle name="Comma 24 2 2 3 2 4 2 3" xfId="4463"/>
    <cellStyle name="Comma 24 2 2 3 2 4 3" xfId="3069"/>
    <cellStyle name="Comma 24 2 2 3 2 4 3 2" xfId="4998"/>
    <cellStyle name="Comma 24 2 2 3 2 4 4" xfId="4145"/>
    <cellStyle name="Comma 24 2 2 3 2 5" xfId="783"/>
    <cellStyle name="Comma 24 2 2 3 2 5 2" xfId="1635"/>
    <cellStyle name="Comma 24 2 2 3 2 5 2 2" xfId="3202"/>
    <cellStyle name="Comma 24 2 2 3 2 5 2 2 2" xfId="5122"/>
    <cellStyle name="Comma 24 2 2 3 2 5 2 3" xfId="4464"/>
    <cellStyle name="Comma 24 2 2 3 2 5 3" xfId="3070"/>
    <cellStyle name="Comma 24 2 2 3 2 5 3 2" xfId="4999"/>
    <cellStyle name="Comma 24 2 2 3 2 5 4" xfId="4146"/>
    <cellStyle name="Comma 24 2 2 3 2 6" xfId="784"/>
    <cellStyle name="Comma 24 2 2 3 2 6 2" xfId="1636"/>
    <cellStyle name="Comma 24 2 2 3 2 6 2 2" xfId="3203"/>
    <cellStyle name="Comma 24 2 2 3 2 6 2 2 2" xfId="5123"/>
    <cellStyle name="Comma 24 2 2 3 2 6 2 3" xfId="4465"/>
    <cellStyle name="Comma 24 2 2 3 2 6 3" xfId="3071"/>
    <cellStyle name="Comma 24 2 2 3 2 6 3 2" xfId="5000"/>
    <cellStyle name="Comma 24 2 2 3 2 6 4" xfId="4147"/>
    <cellStyle name="Comma 24 2 2 3 2 7" xfId="785"/>
    <cellStyle name="Comma 24 2 2 3 2 7 2" xfId="1637"/>
    <cellStyle name="Comma 24 2 2 3 2 7 2 2" xfId="3204"/>
    <cellStyle name="Comma 24 2 2 3 2 7 2 2 2" xfId="5124"/>
    <cellStyle name="Comma 24 2 2 3 2 7 2 3" xfId="4466"/>
    <cellStyle name="Comma 24 2 2 3 2 7 3" xfId="3072"/>
    <cellStyle name="Comma 24 2 2 3 2 7 3 2" xfId="5001"/>
    <cellStyle name="Comma 24 2 2 3 2 7 4" xfId="4148"/>
    <cellStyle name="Comma 24 2 2 3 2 8" xfId="786"/>
    <cellStyle name="Comma 24 2 2 3 2 8 2" xfId="1638"/>
    <cellStyle name="Comma 24 2 2 3 2 8 2 2" xfId="3205"/>
    <cellStyle name="Comma 24 2 2 3 2 8 2 2 2" xfId="5125"/>
    <cellStyle name="Comma 24 2 2 3 2 8 2 3" xfId="4467"/>
    <cellStyle name="Comma 24 2 2 3 2 8 3" xfId="3073"/>
    <cellStyle name="Comma 24 2 2 3 2 8 3 2" xfId="5002"/>
    <cellStyle name="Comma 24 2 2 3 2 8 4" xfId="4149"/>
    <cellStyle name="Comma 24 2 2 3 2 9" xfId="1630"/>
    <cellStyle name="Comma 24 2 2 3 2 9 2" xfId="3197"/>
    <cellStyle name="Comma 24 2 2 3 2 9 2 2" xfId="5117"/>
    <cellStyle name="Comma 24 2 2 3 2 9 3" xfId="4459"/>
    <cellStyle name="Comma 24 2 3" xfId="2778"/>
    <cellStyle name="Comma 24 2 4" xfId="3064"/>
    <cellStyle name="Comma 24 2 4 2" xfId="4993"/>
    <cellStyle name="Comma 24 2 5" xfId="4140"/>
    <cellStyle name="Comma 24 2 7" xfId="787"/>
    <cellStyle name="Comma 24 2 7 2" xfId="788"/>
    <cellStyle name="Comma 24 2 7 2 2" xfId="1640"/>
    <cellStyle name="Comma 24 2 7 2 2 2" xfId="3207"/>
    <cellStyle name="Comma 24 2 7 2 2 2 2" xfId="5127"/>
    <cellStyle name="Comma 24 2 7 2 2 3" xfId="4469"/>
    <cellStyle name="Comma 24 2 7 2 3" xfId="3075"/>
    <cellStyle name="Comma 24 2 7 2 3 2" xfId="5004"/>
    <cellStyle name="Comma 24 2 7 2 4" xfId="4151"/>
    <cellStyle name="Comma 24 2 7 3" xfId="1639"/>
    <cellStyle name="Comma 24 2 7 3 2" xfId="3206"/>
    <cellStyle name="Comma 24 2 7 3 2 2" xfId="5126"/>
    <cellStyle name="Comma 24 2 7 3 3" xfId="4468"/>
    <cellStyle name="Comma 24 2 7 4" xfId="3074"/>
    <cellStyle name="Comma 24 2 7 4 2" xfId="5003"/>
    <cellStyle name="Comma 24 2 7 5" xfId="4150"/>
    <cellStyle name="Comma 24 3" xfId="2363"/>
    <cellStyle name="Comma 24 3 2 2" xfId="789"/>
    <cellStyle name="Comma 24 3 2 2 2" xfId="1641"/>
    <cellStyle name="Comma 24 3 2 2 2 2" xfId="3208"/>
    <cellStyle name="Comma 24 3 2 2 2 2 2" xfId="5128"/>
    <cellStyle name="Comma 24 3 2 2 2 3" xfId="4470"/>
    <cellStyle name="Comma 24 3 2 2 3" xfId="3076"/>
    <cellStyle name="Comma 24 3 2 2 3 2" xfId="5005"/>
    <cellStyle name="Comma 24 3 2 2 4" xfId="4152"/>
    <cellStyle name="Comma 25" xfId="790"/>
    <cellStyle name="Comma 25 2" xfId="2768"/>
    <cellStyle name="Comma 25 3" xfId="2339"/>
    <cellStyle name="Comma 25 6" xfId="791"/>
    <cellStyle name="Comma 25 6 2" xfId="1642"/>
    <cellStyle name="Comma 25 6 2 2" xfId="3209"/>
    <cellStyle name="Comma 25 6 2 2 2" xfId="5129"/>
    <cellStyle name="Comma 25 6 2 3" xfId="4471"/>
    <cellStyle name="Comma 25 6 3" xfId="3077"/>
    <cellStyle name="Comma 25 6 3 2" xfId="5006"/>
    <cellStyle name="Comma 25 6 4" xfId="4153"/>
    <cellStyle name="Comma 26" xfId="2316"/>
    <cellStyle name="Comma 26 2" xfId="2761"/>
    <cellStyle name="Comma 27" xfId="2352"/>
    <cellStyle name="Comma 27 2" xfId="2774"/>
    <cellStyle name="Comma 28" xfId="792"/>
    <cellStyle name="Comma 28 2" xfId="1923"/>
    <cellStyle name="Comma 28 2 2" xfId="2083"/>
    <cellStyle name="Comma 28 2 2 2" xfId="2261"/>
    <cellStyle name="Comma 28 2 2 2 2" xfId="2706"/>
    <cellStyle name="Comma 28 2 2 3" xfId="2561"/>
    <cellStyle name="Comma 28 2 3" xfId="2119"/>
    <cellStyle name="Comma 28 2 3 2" xfId="2290"/>
    <cellStyle name="Comma 28 2 3 2 2" xfId="2735"/>
    <cellStyle name="Comma 28 2 3 3" xfId="2592"/>
    <cellStyle name="Comma 28 2 4" xfId="2190"/>
    <cellStyle name="Comma 28 2 4 2" xfId="2635"/>
    <cellStyle name="Comma 28 2 5" xfId="2445"/>
    <cellStyle name="Comma 28 3" xfId="2082"/>
    <cellStyle name="Comma 28 3 2" xfId="2260"/>
    <cellStyle name="Comma 28 3 2 2" xfId="2705"/>
    <cellStyle name="Comma 28 3 2 3" xfId="2888"/>
    <cellStyle name="Comma 28 3 3" xfId="2560"/>
    <cellStyle name="Comma 28 3 4" xfId="2864"/>
    <cellStyle name="Comma 28 4" xfId="2118"/>
    <cellStyle name="Comma 28 4 2" xfId="2289"/>
    <cellStyle name="Comma 28 4 2 2" xfId="2734"/>
    <cellStyle name="Comma 28 4 2 3" xfId="2894"/>
    <cellStyle name="Comma 28 4 3" xfId="2591"/>
    <cellStyle name="Comma 28 4 4" xfId="2871"/>
    <cellStyle name="Comma 28 5" xfId="2116"/>
    <cellStyle name="Comma 28 5 2" xfId="2590"/>
    <cellStyle name="Comma 28 6" xfId="2189"/>
    <cellStyle name="Comma 28 6 2" xfId="2634"/>
    <cellStyle name="Comma 28 6 3" xfId="2880"/>
    <cellStyle name="Comma 28 7" xfId="2444"/>
    <cellStyle name="Comma 28 8" xfId="2818"/>
    <cellStyle name="Comma 28 9" xfId="1922"/>
    <cellStyle name="Comma 29" xfId="2348"/>
    <cellStyle name="Comma 29 2" xfId="2773"/>
    <cellStyle name="Comma 29 3 3" xfId="793"/>
    <cellStyle name="Comma 29 3 3 10" xfId="3078"/>
    <cellStyle name="Comma 29 3 3 10 2" xfId="5007"/>
    <cellStyle name="Comma 29 3 3 11" xfId="4154"/>
    <cellStyle name="Comma 29 3 3 2" xfId="794"/>
    <cellStyle name="Comma 29 3 3 2 2" xfId="795"/>
    <cellStyle name="Comma 29 3 3 2 2 2" xfId="1645"/>
    <cellStyle name="Comma 29 3 3 2 2 2 2" xfId="3212"/>
    <cellStyle name="Comma 29 3 3 2 2 2 2 2" xfId="5132"/>
    <cellStyle name="Comma 29 3 3 2 2 2 3" xfId="4474"/>
    <cellStyle name="Comma 29 3 3 2 2 3" xfId="3080"/>
    <cellStyle name="Comma 29 3 3 2 2 3 2" xfId="5009"/>
    <cellStyle name="Comma 29 3 3 2 2 4" xfId="4156"/>
    <cellStyle name="Comma 29 3 3 2 2 4 2 2" xfId="796"/>
    <cellStyle name="Comma 29 3 3 2 2 4 2 2 2" xfId="1646"/>
    <cellStyle name="Comma 29 3 3 2 2 4 2 2 2 2" xfId="3213"/>
    <cellStyle name="Comma 29 3 3 2 2 4 2 2 2 2 2" xfId="5133"/>
    <cellStyle name="Comma 29 3 3 2 2 4 2 2 2 3" xfId="4475"/>
    <cellStyle name="Comma 29 3 3 2 2 4 2 2 3" xfId="3081"/>
    <cellStyle name="Comma 29 3 3 2 2 4 2 2 3 2" xfId="5010"/>
    <cellStyle name="Comma 29 3 3 2 2 4 2 2 4" xfId="4157"/>
    <cellStyle name="Comma 29 3 3 2 2 5 2 2" xfId="1609"/>
    <cellStyle name="Comma 29 3 3 2 2 5 2 2 2" xfId="1733"/>
    <cellStyle name="Comma 29 3 3 2 2 5 2 2 2 2" xfId="3300"/>
    <cellStyle name="Comma 29 3 3 2 2 5 2 2 2 2 2" xfId="5220"/>
    <cellStyle name="Comma 29 3 3 2 2 5 2 2 2 3" xfId="4562"/>
    <cellStyle name="Comma 29 3 3 2 2 5 2 2 3" xfId="3177"/>
    <cellStyle name="Comma 29 3 3 2 2 5 2 2 3 2" xfId="5097"/>
    <cellStyle name="Comma 29 3 3 2 2 5 2 2 4" xfId="4439"/>
    <cellStyle name="Comma 29 3 3 2 3" xfId="1644"/>
    <cellStyle name="Comma 29 3 3 2 3 2" xfId="3211"/>
    <cellStyle name="Comma 29 3 3 2 3 2 2" xfId="5131"/>
    <cellStyle name="Comma 29 3 3 2 3 3" xfId="4473"/>
    <cellStyle name="Comma 29 3 3 2 4" xfId="3079"/>
    <cellStyle name="Comma 29 3 3 2 4 2" xfId="5008"/>
    <cellStyle name="Comma 29 3 3 2 4 2 2" xfId="1608"/>
    <cellStyle name="Comma 29 3 3 2 4 2 2 2" xfId="1732"/>
    <cellStyle name="Comma 29 3 3 2 4 2 2 2 2" xfId="3299"/>
    <cellStyle name="Comma 29 3 3 2 4 2 2 2 2 2" xfId="5219"/>
    <cellStyle name="Comma 29 3 3 2 4 2 2 2 3" xfId="4561"/>
    <cellStyle name="Comma 29 3 3 2 4 2 2 3" xfId="3176"/>
    <cellStyle name="Comma 29 3 3 2 4 2 2 3 2" xfId="5096"/>
    <cellStyle name="Comma 29 3 3 2 4 2 2 4" xfId="4438"/>
    <cellStyle name="Comma 29 3 3 2 5" xfId="4155"/>
    <cellStyle name="Comma 29 3 3 3" xfId="797"/>
    <cellStyle name="Comma 29 3 3 3 2" xfId="1647"/>
    <cellStyle name="Comma 29 3 3 3 2 2" xfId="3214"/>
    <cellStyle name="Comma 29 3 3 3 2 2 2" xfId="5134"/>
    <cellStyle name="Comma 29 3 3 3 2 3" xfId="4476"/>
    <cellStyle name="Comma 29 3 3 3 3" xfId="3082"/>
    <cellStyle name="Comma 29 3 3 3 3 2" xfId="5011"/>
    <cellStyle name="Comma 29 3 3 3 4" xfId="4158"/>
    <cellStyle name="Comma 29 3 3 4" xfId="798"/>
    <cellStyle name="Comma 29 3 3 4 2" xfId="1648"/>
    <cellStyle name="Comma 29 3 3 4 2 2" xfId="3215"/>
    <cellStyle name="Comma 29 3 3 4 2 2 2" xfId="5135"/>
    <cellStyle name="Comma 29 3 3 4 2 3" xfId="4477"/>
    <cellStyle name="Comma 29 3 3 4 3" xfId="3083"/>
    <cellStyle name="Comma 29 3 3 4 3 2" xfId="5012"/>
    <cellStyle name="Comma 29 3 3 4 4" xfId="4159"/>
    <cellStyle name="Comma 29 3 3 5" xfId="799"/>
    <cellStyle name="Comma 29 3 3 5 2" xfId="1649"/>
    <cellStyle name="Comma 29 3 3 5 2 2" xfId="3216"/>
    <cellStyle name="Comma 29 3 3 5 2 2 2" xfId="5136"/>
    <cellStyle name="Comma 29 3 3 5 2 3" xfId="4478"/>
    <cellStyle name="Comma 29 3 3 5 3" xfId="3084"/>
    <cellStyle name="Comma 29 3 3 5 3 2" xfId="5013"/>
    <cellStyle name="Comma 29 3 3 5 4" xfId="4160"/>
    <cellStyle name="Comma 29 3 3 6" xfId="800"/>
    <cellStyle name="Comma 29 3 3 6 2" xfId="1650"/>
    <cellStyle name="Comma 29 3 3 6 2 2" xfId="3217"/>
    <cellStyle name="Comma 29 3 3 6 2 2 2" xfId="5137"/>
    <cellStyle name="Comma 29 3 3 6 2 3" xfId="4479"/>
    <cellStyle name="Comma 29 3 3 6 3" xfId="3085"/>
    <cellStyle name="Comma 29 3 3 6 3 2" xfId="5014"/>
    <cellStyle name="Comma 29 3 3 6 4" xfId="4161"/>
    <cellStyle name="Comma 29 3 3 7" xfId="801"/>
    <cellStyle name="Comma 29 3 3 7 2" xfId="1651"/>
    <cellStyle name="Comma 29 3 3 7 2 2" xfId="3218"/>
    <cellStyle name="Comma 29 3 3 7 2 2 2" xfId="5138"/>
    <cellStyle name="Comma 29 3 3 7 2 3" xfId="4480"/>
    <cellStyle name="Comma 29 3 3 7 3" xfId="3086"/>
    <cellStyle name="Comma 29 3 3 7 3 2" xfId="5015"/>
    <cellStyle name="Comma 29 3 3 7 4" xfId="4162"/>
    <cellStyle name="Comma 29 3 3 8" xfId="802"/>
    <cellStyle name="Comma 29 3 3 8 2" xfId="1652"/>
    <cellStyle name="Comma 29 3 3 8 2 2" xfId="3219"/>
    <cellStyle name="Comma 29 3 3 8 2 2 2" xfId="5139"/>
    <cellStyle name="Comma 29 3 3 8 2 3" xfId="4481"/>
    <cellStyle name="Comma 29 3 3 8 3" xfId="3087"/>
    <cellStyle name="Comma 29 3 3 8 3 2" xfId="5016"/>
    <cellStyle name="Comma 29 3 3 8 4" xfId="4163"/>
    <cellStyle name="Comma 29 3 3 9" xfId="1643"/>
    <cellStyle name="Comma 29 3 3 9 2" xfId="3210"/>
    <cellStyle name="Comma 29 3 3 9 2 2" xfId="5130"/>
    <cellStyle name="Comma 29 3 3 9 3" xfId="4472"/>
    <cellStyle name="Comma 3" xfId="9"/>
    <cellStyle name="Comma 3 10" xfId="803"/>
    <cellStyle name="Comma 3 11" xfId="3619"/>
    <cellStyle name="Comma 3 11 2" xfId="5529"/>
    <cellStyle name="Comma 3 2" xfId="14"/>
    <cellStyle name="Comma 3 2 2" xfId="804"/>
    <cellStyle name="Comma 3 2 2 2" xfId="3001"/>
    <cellStyle name="Comma 3 2 2 2 2" xfId="3568"/>
    <cellStyle name="Comma 3 2 2 2 2 2" xfId="5487"/>
    <cellStyle name="Comma 3 2 2 2 3" xfId="3605"/>
    <cellStyle name="Comma 3 2 2 2 3 2" xfId="5517"/>
    <cellStyle name="Comma 3 2 2 2 4" xfId="3631"/>
    <cellStyle name="Comma 3 2 2 2 4 2" xfId="5541"/>
    <cellStyle name="Comma 3 2 2 2 5" xfId="4950"/>
    <cellStyle name="Comma 3 2 2 3" xfId="1769"/>
    <cellStyle name="Comma 3 2 2 3 2" xfId="3327"/>
    <cellStyle name="Comma 3 2 2 3 2 2" xfId="5247"/>
    <cellStyle name="Comma 3 2 2 3 3" xfId="4589"/>
    <cellStyle name="Comma 3 2 2 4" xfId="3602"/>
    <cellStyle name="Comma 3 2 2 4 2" xfId="5514"/>
    <cellStyle name="Comma 3 2 2 5" xfId="3628"/>
    <cellStyle name="Comma 3 2 2 5 2" xfId="5538"/>
    <cellStyle name="Comma 3 2 3" xfId="1924"/>
    <cellStyle name="Comma 3 2 3 2" xfId="3604"/>
    <cellStyle name="Comma 3 2 3 2 2" xfId="5516"/>
    <cellStyle name="Comma 3 2 3 3" xfId="3630"/>
    <cellStyle name="Comma 3 2 3 3 2" xfId="5540"/>
    <cellStyle name="Comma 3 2 4" xfId="3000"/>
    <cellStyle name="Comma 3 2 4 2" xfId="3567"/>
    <cellStyle name="Comma 3 2 4 2 2" xfId="5486"/>
    <cellStyle name="Comma 3 2 4 3" xfId="4949"/>
    <cellStyle name="Comma 3 2 5" xfId="1738"/>
    <cellStyle name="Comma 3 2 5 2" xfId="3303"/>
    <cellStyle name="Comma 3 2 5 2 2" xfId="5223"/>
    <cellStyle name="Comma 3 2 5 3" xfId="4565"/>
    <cellStyle name="Comma 3 2 6" xfId="3596"/>
    <cellStyle name="Comma 3 2 6 2" xfId="5508"/>
    <cellStyle name="Comma 3 2 7" xfId="3622"/>
    <cellStyle name="Comma 3 2 7 2" xfId="5532"/>
    <cellStyle name="Comma 3 2 8" xfId="3928"/>
    <cellStyle name="Comma 3 3" xfId="805"/>
    <cellStyle name="Comma 3 3 2" xfId="806"/>
    <cellStyle name="Comma 3 3 2 2" xfId="2446"/>
    <cellStyle name="Comma 3 3 2 3" xfId="1926"/>
    <cellStyle name="Comma 3 3 2 4" xfId="3606"/>
    <cellStyle name="Comma 3 3 2 4 2" xfId="5518"/>
    <cellStyle name="Comma 3 3 2 5" xfId="3632"/>
    <cellStyle name="Comma 3 3 2 5 2" xfId="5542"/>
    <cellStyle name="Comma 3 3 3" xfId="1925"/>
    <cellStyle name="Comma 3 3 4" xfId="3002"/>
    <cellStyle name="Comma 3 3 4 2" xfId="3569"/>
    <cellStyle name="Comma 3 3 4 2 2" xfId="5488"/>
    <cellStyle name="Comma 3 3 4 3" xfId="4951"/>
    <cellStyle name="Comma 3 3 5" xfId="1765"/>
    <cellStyle name="Comma 3 3 5 2" xfId="3324"/>
    <cellStyle name="Comma 3 3 5 2 2" xfId="5244"/>
    <cellStyle name="Comma 3 3 5 3" xfId="4586"/>
    <cellStyle name="Comma 3 3 6" xfId="3599"/>
    <cellStyle name="Comma 3 3 6 2" xfId="5511"/>
    <cellStyle name="Comma 3 3 7" xfId="3625"/>
    <cellStyle name="Comma 3 3 7 2" xfId="5535"/>
    <cellStyle name="Comma 3 4" xfId="807"/>
    <cellStyle name="Comma 3 4 2" xfId="808"/>
    <cellStyle name="Comma 3 4 2 2" xfId="2448"/>
    <cellStyle name="Comma 3 4 2 2 2" xfId="2925"/>
    <cellStyle name="Comma 3 4 2 2 2 2" xfId="3526"/>
    <cellStyle name="Comma 3 4 2 2 2 2 2" xfId="5445"/>
    <cellStyle name="Comma 3 4 2 2 2 3" xfId="4906"/>
    <cellStyle name="Comma 3 4 2 2 3" xfId="3407"/>
    <cellStyle name="Comma 3 4 2 2 3 2" xfId="5326"/>
    <cellStyle name="Comma 3 4 2 2 4" xfId="4747"/>
    <cellStyle name="Comma 3 4 2 3" xfId="2820"/>
    <cellStyle name="Comma 3 4 2 3 2" xfId="3466"/>
    <cellStyle name="Comma 3 4 2 3 2 2" xfId="5385"/>
    <cellStyle name="Comma 3 4 2 3 3" xfId="4840"/>
    <cellStyle name="Comma 3 4 2 4" xfId="1928"/>
    <cellStyle name="Comma 3 4 2 4 2" xfId="3346"/>
    <cellStyle name="Comma 3 4 2 4 2 2" xfId="5266"/>
    <cellStyle name="Comma 3 4 2 4 3" xfId="4631"/>
    <cellStyle name="Comma 3 4 3" xfId="2447"/>
    <cellStyle name="Comma 3 4 3 2" xfId="2924"/>
    <cellStyle name="Comma 3 4 3 2 2" xfId="3525"/>
    <cellStyle name="Comma 3 4 3 2 2 2" xfId="5444"/>
    <cellStyle name="Comma 3 4 3 2 3" xfId="4905"/>
    <cellStyle name="Comma 3 4 3 3" xfId="3406"/>
    <cellStyle name="Comma 3 4 3 3 2" xfId="5325"/>
    <cellStyle name="Comma 3 4 3 4" xfId="4746"/>
    <cellStyle name="Comma 3 4 4" xfId="2819"/>
    <cellStyle name="Comma 3 4 4 2" xfId="3465"/>
    <cellStyle name="Comma 3 4 4 2 2" xfId="5384"/>
    <cellStyle name="Comma 3 4 4 3" xfId="4839"/>
    <cellStyle name="Comma 3 4 5" xfId="1927"/>
    <cellStyle name="Comma 3 4 5 2" xfId="3345"/>
    <cellStyle name="Comma 3 4 5 2 2" xfId="5265"/>
    <cellStyle name="Comma 3 4 5 3" xfId="4630"/>
    <cellStyle name="Comma 3 4 6" xfId="3603"/>
    <cellStyle name="Comma 3 4 6 2" xfId="5515"/>
    <cellStyle name="Comma 3 4 7" xfId="3629"/>
    <cellStyle name="Comma 3 4 7 2" xfId="5539"/>
    <cellStyle name="Comma 3 5" xfId="809"/>
    <cellStyle name="Comma 3 5 2" xfId="2449"/>
    <cellStyle name="Comma 3 5 3" xfId="1929"/>
    <cellStyle name="Comma 3 6" xfId="810"/>
    <cellStyle name="Comma 3 7" xfId="2999"/>
    <cellStyle name="Comma 3 7 2" xfId="3566"/>
    <cellStyle name="Comma 3 7 2 2" xfId="5485"/>
    <cellStyle name="Comma 3 7 3" xfId="4948"/>
    <cellStyle name="Comma 3 8" xfId="1749"/>
    <cellStyle name="Comma 3 8 2" xfId="3310"/>
    <cellStyle name="Comma 3 8 2 2" xfId="5230"/>
    <cellStyle name="Comma 3 8 3" xfId="4572"/>
    <cellStyle name="Comma 3 9" xfId="3592"/>
    <cellStyle name="Comma 3 9 2" xfId="5504"/>
    <cellStyle name="Comma 30" xfId="811"/>
    <cellStyle name="Comma 30 2" xfId="2771"/>
    <cellStyle name="Comma 30 3" xfId="2345"/>
    <cellStyle name="Comma 31" xfId="2337"/>
    <cellStyle name="Comma 31 2" xfId="2766"/>
    <cellStyle name="Comma 32" xfId="2355"/>
    <cellStyle name="Comma 32 2" xfId="2775"/>
    <cellStyle name="Comma 33" xfId="2394"/>
    <cellStyle name="Comma 33 2" xfId="2790"/>
    <cellStyle name="Comma 34" xfId="2365"/>
    <cellStyle name="Comma 34 2" xfId="2780"/>
    <cellStyle name="Comma 34 3 2 2 3 2 2" xfId="812"/>
    <cellStyle name="Comma 34 3 2 2 3 2 2 2" xfId="813"/>
    <cellStyle name="Comma 34 3 2 2 3 2 2 2 2" xfId="1654"/>
    <cellStyle name="Comma 34 3 2 2 3 2 2 2 2 2" xfId="3221"/>
    <cellStyle name="Comma 34 3 2 2 3 2 2 2 2 2 2" xfId="5141"/>
    <cellStyle name="Comma 34 3 2 2 3 2 2 2 2 3" xfId="4483"/>
    <cellStyle name="Comma 34 3 2 2 3 2 2 2 3" xfId="3089"/>
    <cellStyle name="Comma 34 3 2 2 3 2 2 2 3 2" xfId="5018"/>
    <cellStyle name="Comma 34 3 2 2 3 2 2 2 4" xfId="4166"/>
    <cellStyle name="Comma 34 3 2 2 3 2 2 3" xfId="1653"/>
    <cellStyle name="Comma 34 3 2 2 3 2 2 3 2" xfId="3220"/>
    <cellStyle name="Comma 34 3 2 2 3 2 2 3 2 2" xfId="5140"/>
    <cellStyle name="Comma 34 3 2 2 3 2 2 3 3" xfId="4482"/>
    <cellStyle name="Comma 34 3 2 2 3 2 2 4" xfId="3088"/>
    <cellStyle name="Comma 34 3 2 2 3 2 2 4 2" xfId="5017"/>
    <cellStyle name="Comma 34 3 2 2 3 2 2 5" xfId="4165"/>
    <cellStyle name="Comma 35" xfId="2392"/>
    <cellStyle name="Comma 35 2" xfId="2789"/>
    <cellStyle name="Comma 36" xfId="33"/>
    <cellStyle name="Comma 36 2" xfId="814"/>
    <cellStyle name="Comma 36 2 2" xfId="1655"/>
    <cellStyle name="Comma 36 2 2 2" xfId="3222"/>
    <cellStyle name="Comma 36 2 2 2 2" xfId="5142"/>
    <cellStyle name="Comma 36 2 2 3" xfId="4484"/>
    <cellStyle name="Comma 36 2 3" xfId="2788"/>
    <cellStyle name="Comma 36 2 4" xfId="3090"/>
    <cellStyle name="Comma 36 2 4 2" xfId="5019"/>
    <cellStyle name="Comma 36 2 5" xfId="4167"/>
    <cellStyle name="Comma 36 3" xfId="2390"/>
    <cellStyle name="Comma 37" xfId="2373"/>
    <cellStyle name="Comma 37 2" xfId="2784"/>
    <cellStyle name="Comma 38" xfId="2366"/>
    <cellStyle name="Comma 38 2" xfId="2781"/>
    <cellStyle name="Comma 39" xfId="2340"/>
    <cellStyle name="Comma 39 2" xfId="36"/>
    <cellStyle name="Comma 39 2 2" xfId="45"/>
    <cellStyle name="Comma 39 2 2 2" xfId="1760"/>
    <cellStyle name="Comma 39 2 2 2 2" xfId="3321"/>
    <cellStyle name="Comma 39 2 2 2 2 2" xfId="5241"/>
    <cellStyle name="Comma 39 2 2 2 3" xfId="4583"/>
    <cellStyle name="Comma 39 2 2 3" xfId="3046"/>
    <cellStyle name="Comma 39 2 2 3 2" xfId="4975"/>
    <cellStyle name="Comma 39 2 2 4" xfId="3652"/>
    <cellStyle name="Comma 39 2 2 4 2" xfId="5562"/>
    <cellStyle name="Comma 39 2 2 5" xfId="3971"/>
    <cellStyle name="Comma 39 2 3" xfId="1253"/>
    <cellStyle name="Comma 39 2 3 2" xfId="3167"/>
    <cellStyle name="Comma 39 2 3 2 2" xfId="5091"/>
    <cellStyle name="Comma 39 2 3 3" xfId="4415"/>
    <cellStyle name="Comma 39 2 4" xfId="1727"/>
    <cellStyle name="Comma 39 2 4 2" xfId="3294"/>
    <cellStyle name="Comma 39 2 4 2 2" xfId="5214"/>
    <cellStyle name="Comma 39 2 4 3" xfId="4556"/>
    <cellStyle name="Comma 39 2 5" xfId="1752"/>
    <cellStyle name="Comma 39 2 5 2" xfId="3313"/>
    <cellStyle name="Comma 39 2 5 2 2" xfId="5233"/>
    <cellStyle name="Comma 39 2 5 3" xfId="4575"/>
    <cellStyle name="Comma 39 2 6" xfId="2769"/>
    <cellStyle name="Comma 39 2 7" xfId="3038"/>
    <cellStyle name="Comma 39 2 7 2" xfId="4967"/>
    <cellStyle name="Comma 39 2 8" xfId="3644"/>
    <cellStyle name="Comma 39 2 8 2" xfId="5554"/>
    <cellStyle name="Comma 39 2 9" xfId="3954"/>
    <cellStyle name="Comma 4" xfId="16"/>
    <cellStyle name="Comma 4 10" xfId="2821"/>
    <cellStyle name="Comma 4 11" xfId="1930"/>
    <cellStyle name="Comma 4 12" xfId="1745"/>
    <cellStyle name="Comma 4 2" xfId="815"/>
    <cellStyle name="Comma 4 2 2" xfId="1931"/>
    <cellStyle name="Comma 4 2 3" xfId="4168"/>
    <cellStyle name="Comma 4 2 4" xfId="3807"/>
    <cellStyle name="Comma 4 3" xfId="816"/>
    <cellStyle name="Comma 4 3 2" xfId="2085"/>
    <cellStyle name="Comma 4 3 2 2" xfId="2263"/>
    <cellStyle name="Comma 4 3 2 2 2" xfId="2708"/>
    <cellStyle name="Comma 4 3 2 3" xfId="2563"/>
    <cellStyle name="Comma 4 3 3" xfId="2121"/>
    <cellStyle name="Comma 4 3 3 2" xfId="2292"/>
    <cellStyle name="Comma 4 3 3 2 2" xfId="2737"/>
    <cellStyle name="Comma 4 3 3 3" xfId="2594"/>
    <cellStyle name="Comma 4 3 4" xfId="2192"/>
    <cellStyle name="Comma 4 3 4 2" xfId="2637"/>
    <cellStyle name="Comma 4 3 5" xfId="2451"/>
    <cellStyle name="Comma 4 3 6" xfId="1932"/>
    <cellStyle name="Comma 4 3 7" xfId="4169"/>
    <cellStyle name="Comma 4 3 8" xfId="3806"/>
    <cellStyle name="Comma 4 4" xfId="1528"/>
    <cellStyle name="Comma 4 4 2" xfId="2086"/>
    <cellStyle name="Comma 4 4 2 2" xfId="2264"/>
    <cellStyle name="Comma 4 4 2 2 2" xfId="2709"/>
    <cellStyle name="Comma 4 4 2 3" xfId="2564"/>
    <cellStyle name="Comma 4 4 3" xfId="2122"/>
    <cellStyle name="Comma 4 4 3 2" xfId="2293"/>
    <cellStyle name="Comma 4 4 3 2 2" xfId="2738"/>
    <cellStyle name="Comma 4 4 3 3" xfId="2595"/>
    <cellStyle name="Comma 4 4 4" xfId="2193"/>
    <cellStyle name="Comma 4 4 4 2" xfId="2638"/>
    <cellStyle name="Comma 4 4 5" xfId="2452"/>
    <cellStyle name="Comma 4 4 6" xfId="1933"/>
    <cellStyle name="Comma 4 5" xfId="1934"/>
    <cellStyle name="Comma 4 5 2" xfId="2087"/>
    <cellStyle name="Comma 4 5 2 2" xfId="2265"/>
    <cellStyle name="Comma 4 5 2 2 2" xfId="2710"/>
    <cellStyle name="Comma 4 5 2 3" xfId="2565"/>
    <cellStyle name="Comma 4 5 3" xfId="2123"/>
    <cellStyle name="Comma 4 5 3 2" xfId="2294"/>
    <cellStyle name="Comma 4 5 3 2 2" xfId="2739"/>
    <cellStyle name="Comma 4 5 3 3" xfId="2596"/>
    <cellStyle name="Comma 4 5 4" xfId="2194"/>
    <cellStyle name="Comma 4 5 4 2" xfId="2639"/>
    <cellStyle name="Comma 4 5 5" xfId="2453"/>
    <cellStyle name="Comma 4 6" xfId="2084"/>
    <cellStyle name="Comma 4 6 2" xfId="2262"/>
    <cellStyle name="Comma 4 6 2 2" xfId="2707"/>
    <cellStyle name="Comma 4 6 2 3" xfId="2889"/>
    <cellStyle name="Comma 4 6 3" xfId="2562"/>
    <cellStyle name="Comma 4 6 4" xfId="2865"/>
    <cellStyle name="Comma 4 7" xfId="2120"/>
    <cellStyle name="Comma 4 7 2" xfId="2291"/>
    <cellStyle name="Comma 4 7 2 2" xfId="2736"/>
    <cellStyle name="Comma 4 7 2 3" xfId="2895"/>
    <cellStyle name="Comma 4 7 3" xfId="2593"/>
    <cellStyle name="Comma 4 7 4" xfId="2872"/>
    <cellStyle name="Comma 4 8" xfId="2191"/>
    <cellStyle name="Comma 4 8 2" xfId="2636"/>
    <cellStyle name="Comma 4 8 3" xfId="2881"/>
    <cellStyle name="Comma 4 9" xfId="2450"/>
    <cellStyle name="Comma 40" xfId="817"/>
    <cellStyle name="Comma 40 2" xfId="2770"/>
    <cellStyle name="Comma 40 3" xfId="2344"/>
    <cellStyle name="Comma 41" xfId="2374"/>
    <cellStyle name="Comma 41 2" xfId="2785"/>
    <cellStyle name="Comma 42" xfId="2333"/>
    <cellStyle name="Comma 42 2" xfId="2765"/>
    <cellStyle name="Comma 43" xfId="2401"/>
    <cellStyle name="Comma 44" xfId="2998"/>
    <cellStyle name="Comma 45" xfId="3012"/>
    <cellStyle name="Comma 46" xfId="818"/>
    <cellStyle name="Comma 46 2" xfId="1656"/>
    <cellStyle name="Comma 46 2 2" xfId="3223"/>
    <cellStyle name="Comma 46 2 2 2" xfId="5143"/>
    <cellStyle name="Comma 46 2 3" xfId="4485"/>
    <cellStyle name="Comma 46 3" xfId="3091"/>
    <cellStyle name="Comma 46 3 2" xfId="5020"/>
    <cellStyle name="Comma 46 4" xfId="4170"/>
    <cellStyle name="Comma 47" xfId="3588"/>
    <cellStyle name="Comma 48" xfId="3591"/>
    <cellStyle name="Comma 49" xfId="3616"/>
    <cellStyle name="Comma 5" xfId="819"/>
    <cellStyle name="Comma 5 10" xfId="4171"/>
    <cellStyle name="Comma 5 11" xfId="1936"/>
    <cellStyle name="Comma 5 11 2" xfId="2088"/>
    <cellStyle name="Comma 5 11 2 2" xfId="2266"/>
    <cellStyle name="Comma 5 11 2 2 2" xfId="2711"/>
    <cellStyle name="Comma 5 11 2 2 3" xfId="2890"/>
    <cellStyle name="Comma 5 11 2 3" xfId="2566"/>
    <cellStyle name="Comma 5 11 2 4" xfId="2866"/>
    <cellStyle name="Comma 5 11 3" xfId="2124"/>
    <cellStyle name="Comma 5 11 3 2" xfId="2295"/>
    <cellStyle name="Comma 5 11 3 2 2" xfId="2740"/>
    <cellStyle name="Comma 5 11 3 2 3" xfId="2896"/>
    <cellStyle name="Comma 5 11 3 3" xfId="2597"/>
    <cellStyle name="Comma 5 11 3 4" xfId="2873"/>
    <cellStyle name="Comma 5 11 4" xfId="2195"/>
    <cellStyle name="Comma 5 11 4 2" xfId="2640"/>
    <cellStyle name="Comma 5 11 4 3" xfId="2883"/>
    <cellStyle name="Comma 5 11 5" xfId="2454"/>
    <cellStyle name="Comma 5 11 6" xfId="2822"/>
    <cellStyle name="Comma 5 2" xfId="820"/>
    <cellStyle name="Comma 5 2 2" xfId="1767"/>
    <cellStyle name="Comma 5 2 2 2" xfId="2455"/>
    <cellStyle name="Comma 5 2 2 2 2" xfId="3609"/>
    <cellStyle name="Comma 5 2 2 2 2 2" xfId="5521"/>
    <cellStyle name="Comma 5 2 2 2 3" xfId="3635"/>
    <cellStyle name="Comma 5 2 2 2 3 2" xfId="5545"/>
    <cellStyle name="Comma 5 2 2 3" xfId="3005"/>
    <cellStyle name="Comma 5 2 2 3 2" xfId="3572"/>
    <cellStyle name="Comma 5 2 2 3 2 2" xfId="5491"/>
    <cellStyle name="Comma 5 2 2 3 3" xfId="4954"/>
    <cellStyle name="Comma 5 2 2 4" xfId="3325"/>
    <cellStyle name="Comma 5 2 2 4 2" xfId="5245"/>
    <cellStyle name="Comma 5 2 2 5" xfId="3600"/>
    <cellStyle name="Comma 5 2 2 5 2" xfId="5512"/>
    <cellStyle name="Comma 5 2 2 6" xfId="3626"/>
    <cellStyle name="Comma 5 2 2 6 2" xfId="5536"/>
    <cellStyle name="Comma 5 2 2 7" xfId="4587"/>
    <cellStyle name="Comma 5 2 3" xfId="1937"/>
    <cellStyle name="Comma 5 2 3 2" xfId="3608"/>
    <cellStyle name="Comma 5 2 3 2 2" xfId="5520"/>
    <cellStyle name="Comma 5 2 3 3" xfId="3634"/>
    <cellStyle name="Comma 5 2 3 3 2" xfId="5544"/>
    <cellStyle name="Comma 5 2 4" xfId="3004"/>
    <cellStyle name="Comma 5 2 4 2" xfId="3571"/>
    <cellStyle name="Comma 5 2 4 2 2" xfId="5490"/>
    <cellStyle name="Comma 5 2 4 3" xfId="4953"/>
    <cellStyle name="Comma 5 2 5" xfId="1747"/>
    <cellStyle name="Comma 5 2 5 2" xfId="3308"/>
    <cellStyle name="Comma 5 2 5 2 2" xfId="5228"/>
    <cellStyle name="Comma 5 2 5 3" xfId="4570"/>
    <cellStyle name="Comma 5 2 6" xfId="3594"/>
    <cellStyle name="Comma 5 2 6 2" xfId="5506"/>
    <cellStyle name="Comma 5 2 7" xfId="3620"/>
    <cellStyle name="Comma 5 2 7 2" xfId="5530"/>
    <cellStyle name="Comma 5 2 8" xfId="4172"/>
    <cellStyle name="Comma 5 2 9" xfId="3808"/>
    <cellStyle name="Comma 5 3" xfId="821"/>
    <cellStyle name="Comma 5 3 2" xfId="1657"/>
    <cellStyle name="Comma 5 3 2 2" xfId="3006"/>
    <cellStyle name="Comma 5 3 2 2 2" xfId="3573"/>
    <cellStyle name="Comma 5 3 2 2 2 2" xfId="5492"/>
    <cellStyle name="Comma 5 3 2 2 3" xfId="4955"/>
    <cellStyle name="Comma 5 3 2 3" xfId="3224"/>
    <cellStyle name="Comma 5 3 2 3 2" xfId="5144"/>
    <cellStyle name="Comma 5 3 2 4" xfId="3610"/>
    <cellStyle name="Comma 5 3 2 4 2" xfId="5522"/>
    <cellStyle name="Comma 5 3 2 5" xfId="3636"/>
    <cellStyle name="Comma 5 3 2 5 2" xfId="5546"/>
    <cellStyle name="Comma 5 3 2 6" xfId="4486"/>
    <cellStyle name="Comma 5 3 3" xfId="1763"/>
    <cellStyle name="Comma 5 3 3 2" xfId="3322"/>
    <cellStyle name="Comma 5 3 3 2 2" xfId="5242"/>
    <cellStyle name="Comma 5 3 3 3" xfId="4584"/>
    <cellStyle name="Comma 5 3 4" xfId="3092"/>
    <cellStyle name="Comma 5 3 4 2" xfId="5021"/>
    <cellStyle name="Comma 5 3 5" xfId="3597"/>
    <cellStyle name="Comma 5 3 5 2" xfId="5509"/>
    <cellStyle name="Comma 5 3 6" xfId="3623"/>
    <cellStyle name="Comma 5 3 6 2" xfId="5533"/>
    <cellStyle name="Comma 5 3 7" xfId="4173"/>
    <cellStyle name="Comma 5 4" xfId="1935"/>
    <cellStyle name="Comma 5 4 2" xfId="3607"/>
    <cellStyle name="Comma 5 4 2 2" xfId="5519"/>
    <cellStyle name="Comma 5 4 3" xfId="3633"/>
    <cellStyle name="Comma 5 4 3 2" xfId="5543"/>
    <cellStyle name="Comma 5 5" xfId="3003"/>
    <cellStyle name="Comma 5 5 2" xfId="3570"/>
    <cellStyle name="Comma 5 5 2 2" xfId="5489"/>
    <cellStyle name="Comma 5 5 3" xfId="4952"/>
    <cellStyle name="Comma 5 6" xfId="1529"/>
    <cellStyle name="Comma 5 7" xfId="1742"/>
    <cellStyle name="Comma 5 7 2" xfId="3306"/>
    <cellStyle name="Comma 5 7 2 2" xfId="5226"/>
    <cellStyle name="Comma 5 7 3" xfId="4568"/>
    <cellStyle name="Comma 5 8" xfId="3589"/>
    <cellStyle name="Comma 5 8 2" xfId="5502"/>
    <cellStyle name="Comma 5 9" xfId="3617"/>
    <cellStyle name="Comma 5 9 2" xfId="5527"/>
    <cellStyle name="Comma 50" xfId="3960"/>
    <cellStyle name="Comma 51" xfId="4353"/>
    <cellStyle name="Comma 52" xfId="5676"/>
    <cellStyle name="Comma 53" xfId="5686"/>
    <cellStyle name="Comma 54" xfId="5639"/>
    <cellStyle name="Comma 55" xfId="5668"/>
    <cellStyle name="Comma 56" xfId="5681"/>
    <cellStyle name="Comma 57" xfId="5627"/>
    <cellStyle name="Comma 58" xfId="37"/>
    <cellStyle name="Comma 58 2" xfId="24"/>
    <cellStyle name="Comma 59" xfId="5660"/>
    <cellStyle name="Comma 6" xfId="822"/>
    <cellStyle name="Comma 6 2" xfId="823"/>
    <cellStyle name="Comma 6 2 2" xfId="2090"/>
    <cellStyle name="Comma 6 2 2 2" xfId="2268"/>
    <cellStyle name="Comma 6 2 2 2 2" xfId="2713"/>
    <cellStyle name="Comma 6 2 2 3" xfId="2568"/>
    <cellStyle name="Comma 6 2 3" xfId="2126"/>
    <cellStyle name="Comma 6 2 3 2" xfId="2297"/>
    <cellStyle name="Comma 6 2 3 2 2" xfId="2742"/>
    <cellStyle name="Comma 6 2 3 3" xfId="2599"/>
    <cellStyle name="Comma 6 2 4" xfId="2197"/>
    <cellStyle name="Comma 6 2 4 2" xfId="2642"/>
    <cellStyle name="Comma 6 2 5" xfId="2457"/>
    <cellStyle name="Comma 6 2 6" xfId="1939"/>
    <cellStyle name="Comma 6 3" xfId="2089"/>
    <cellStyle name="Comma 6 3 2" xfId="2267"/>
    <cellStyle name="Comma 6 3 2 2" xfId="2712"/>
    <cellStyle name="Comma 6 3 2 3" xfId="2891"/>
    <cellStyle name="Comma 6 3 3" xfId="2567"/>
    <cellStyle name="Comma 6 3 4" xfId="2867"/>
    <cellStyle name="Comma 6 4" xfId="2125"/>
    <cellStyle name="Comma 6 4 2" xfId="2296"/>
    <cellStyle name="Comma 6 4 2 2" xfId="2741"/>
    <cellStyle name="Comma 6 4 2 3" xfId="2897"/>
    <cellStyle name="Comma 6 4 3" xfId="2598"/>
    <cellStyle name="Comma 6 4 4" xfId="2874"/>
    <cellStyle name="Comma 6 5" xfId="824"/>
    <cellStyle name="Comma 6 5 2" xfId="2641"/>
    <cellStyle name="Comma 6 5 3" xfId="2884"/>
    <cellStyle name="Comma 6 5 4" xfId="2196"/>
    <cellStyle name="Comma 6 6" xfId="2456"/>
    <cellStyle name="Comma 6 7" xfId="2823"/>
    <cellStyle name="Comma 6 8" xfId="1938"/>
    <cellStyle name="Comma 6 9" xfId="4174"/>
    <cellStyle name="Comma 60" xfId="5582"/>
    <cellStyle name="Comma 61" xfId="5659"/>
    <cellStyle name="Comma 62" xfId="5650"/>
    <cellStyle name="Comma 63" xfId="5566"/>
    <cellStyle name="Comma 64" xfId="4428"/>
    <cellStyle name="Comma 65" xfId="5637"/>
    <cellStyle name="Comma 66" xfId="5614"/>
    <cellStyle name="Comma 67" xfId="5580"/>
    <cellStyle name="Comma 68" xfId="4064"/>
    <cellStyle name="Comma 69" xfId="3991"/>
    <cellStyle name="Comma 7" xfId="48"/>
    <cellStyle name="Comma 7 2" xfId="826"/>
    <cellStyle name="Comma 7 2 2" xfId="2092"/>
    <cellStyle name="Comma 7 2 2 2" xfId="2270"/>
    <cellStyle name="Comma 7 2 2 2 2" xfId="2715"/>
    <cellStyle name="Comma 7 2 2 3" xfId="2570"/>
    <cellStyle name="Comma 7 2 3" xfId="2128"/>
    <cellStyle name="Comma 7 2 3 2" xfId="2299"/>
    <cellStyle name="Comma 7 2 3 2 2" xfId="2744"/>
    <cellStyle name="Comma 7 2 3 3" xfId="2601"/>
    <cellStyle name="Comma 7 2 4" xfId="2199"/>
    <cellStyle name="Comma 7 2 4 2" xfId="2644"/>
    <cellStyle name="Comma 7 2 5" xfId="2459"/>
    <cellStyle name="Comma 7 2 6" xfId="1941"/>
    <cellStyle name="Comma 7 2 7" xfId="4175"/>
    <cellStyle name="Comma 7 2 8" xfId="3809"/>
    <cellStyle name="Comma 7 3" xfId="825"/>
    <cellStyle name="Comma 7 3 2" xfId="2269"/>
    <cellStyle name="Comma 7 3 2 2" xfId="2714"/>
    <cellStyle name="Comma 7 3 3" xfId="2569"/>
    <cellStyle name="Comma 7 3 4" xfId="2091"/>
    <cellStyle name="Comma 7 4" xfId="2127"/>
    <cellStyle name="Comma 7 4 2" xfId="2298"/>
    <cellStyle name="Comma 7 4 2 2" xfId="2743"/>
    <cellStyle name="Comma 7 4 3" xfId="2600"/>
    <cellStyle name="Comma 7 5" xfId="2198"/>
    <cellStyle name="Comma 7 5 2" xfId="2643"/>
    <cellStyle name="Comma 7 6" xfId="2458"/>
    <cellStyle name="Comma 7 7" xfId="1940"/>
    <cellStyle name="Comma 7 8" xfId="1762"/>
    <cellStyle name="Comma 70" xfId="5696"/>
    <cellStyle name="Comma 71" xfId="5702"/>
    <cellStyle name="Comma 72" xfId="5661"/>
    <cellStyle name="Comma 73" xfId="5692"/>
    <cellStyle name="Comma 74" xfId="5667"/>
    <cellStyle name="Comma 75" xfId="5619"/>
    <cellStyle name="Comma 76" xfId="5706"/>
    <cellStyle name="Comma 77" xfId="5818"/>
    <cellStyle name="Comma 78" xfId="5826"/>
    <cellStyle name="Comma 79" xfId="5858"/>
    <cellStyle name="Comma 8" xfId="827"/>
    <cellStyle name="Comma 8 2" xfId="828"/>
    <cellStyle name="Comma 8 2 2" xfId="2461"/>
    <cellStyle name="Comma 8 2 3" xfId="1943"/>
    <cellStyle name="Comma 8 2 4" xfId="4177"/>
    <cellStyle name="Comma 8 2 5" xfId="3810"/>
    <cellStyle name="Comma 8 3" xfId="2460"/>
    <cellStyle name="Comma 8 4" xfId="1942"/>
    <cellStyle name="Comma 8 5" xfId="1735"/>
    <cellStyle name="Comma 8 6" xfId="4176"/>
    <cellStyle name="Comma 80" xfId="5877"/>
    <cellStyle name="Comma 81" xfId="5756"/>
    <cellStyle name="Comma 82" xfId="5804"/>
    <cellStyle name="Comma 83" xfId="5904"/>
    <cellStyle name="Comma 84" xfId="5737"/>
    <cellStyle name="Comma 85" xfId="5765"/>
    <cellStyle name="Comma 86" xfId="5770"/>
    <cellStyle name="Comma 87" xfId="5748"/>
    <cellStyle name="Comma 88" xfId="5864"/>
    <cellStyle name="Comma 89" xfId="5908"/>
    <cellStyle name="Comma 9" xfId="829"/>
    <cellStyle name="Comma 9 2" xfId="1945"/>
    <cellStyle name="Comma 9 2 2" xfId="2463"/>
    <cellStyle name="Comma 9 2 2 2" xfId="2927"/>
    <cellStyle name="Comma 9 2 2 2 2" xfId="3528"/>
    <cellStyle name="Comma 9 2 2 2 2 2" xfId="5447"/>
    <cellStyle name="Comma 9 2 2 2 3" xfId="4908"/>
    <cellStyle name="Comma 9 2 2 3" xfId="3409"/>
    <cellStyle name="Comma 9 2 2 3 2" xfId="5328"/>
    <cellStyle name="Comma 9 2 2 4" xfId="4750"/>
    <cellStyle name="Comma 9 2 3" xfId="2825"/>
    <cellStyle name="Comma 9 2 3 2" xfId="3468"/>
    <cellStyle name="Comma 9 2 3 2 2" xfId="5387"/>
    <cellStyle name="Comma 9 2 3 3" xfId="4843"/>
    <cellStyle name="Comma 9 2 4" xfId="3348"/>
    <cellStyle name="Comma 9 2 4 2" xfId="5268"/>
    <cellStyle name="Comma 9 2 5" xfId="4635"/>
    <cellStyle name="Comma 9 3" xfId="2462"/>
    <cellStyle name="Comma 9 3 2" xfId="2926"/>
    <cellStyle name="Comma 9 3 2 2" xfId="3527"/>
    <cellStyle name="Comma 9 3 2 2 2" xfId="5446"/>
    <cellStyle name="Comma 9 3 2 3" xfId="4907"/>
    <cellStyle name="Comma 9 3 3" xfId="3408"/>
    <cellStyle name="Comma 9 3 3 2" xfId="5327"/>
    <cellStyle name="Comma 9 3 4" xfId="4749"/>
    <cellStyle name="Comma 9 4" xfId="2824"/>
    <cellStyle name="Comma 9 4 2" xfId="3467"/>
    <cellStyle name="Comma 9 4 2 2" xfId="5386"/>
    <cellStyle name="Comma 9 4 3" xfId="4842"/>
    <cellStyle name="Comma 9 5" xfId="1944"/>
    <cellStyle name="Comma 9 5 2" xfId="3347"/>
    <cellStyle name="Comma 9 5 2 2" xfId="5267"/>
    <cellStyle name="Comma 9 5 3" xfId="4634"/>
    <cellStyle name="Comma 90" xfId="5724"/>
    <cellStyle name="Comma 91" xfId="5745"/>
    <cellStyle name="Comma 92" xfId="5753"/>
    <cellStyle name="Comma 93" xfId="5813"/>
    <cellStyle name="Comma 94" xfId="5899"/>
    <cellStyle name="Comma 95" xfId="5789"/>
    <cellStyle name="Comma 96" xfId="5845"/>
    <cellStyle name="Comma 97" xfId="5739"/>
    <cellStyle name="Comma 98" xfId="5731"/>
    <cellStyle name="Comma 99" xfId="5888"/>
    <cellStyle name="comma zerodec" xfId="1810"/>
    <cellStyle name="Comma0" xfId="830"/>
    <cellStyle name="Comma0 2" xfId="2115"/>
    <cellStyle name="Copied" xfId="1530"/>
    <cellStyle name="COST1" xfId="1531"/>
    <cellStyle name="Curråncy [0]_FCST_RESULTS" xfId="831"/>
    <cellStyle name="Currency [0]b" xfId="832"/>
    <cellStyle name="Currency [0]ßmud plant bolted_RESULTS" xfId="833"/>
    <cellStyle name="Currency 2" xfId="834"/>
    <cellStyle name="Currency 2 2" xfId="835"/>
    <cellStyle name="Currency 2 2 2" xfId="2094"/>
    <cellStyle name="Currency 2 2 2 2" xfId="2272"/>
    <cellStyle name="Currency 2 2 2 2 2" xfId="2717"/>
    <cellStyle name="Currency 2 2 2 3" xfId="2572"/>
    <cellStyle name="Currency 2 2 3" xfId="2130"/>
    <cellStyle name="Currency 2 2 3 2" xfId="2301"/>
    <cellStyle name="Currency 2 2 3 2 2" xfId="2746"/>
    <cellStyle name="Currency 2 2 3 3" xfId="2603"/>
    <cellStyle name="Currency 2 2 4" xfId="2201"/>
    <cellStyle name="Currency 2 2 4 2" xfId="2646"/>
    <cellStyle name="Currency 2 2 5" xfId="2465"/>
    <cellStyle name="Currency 2 2 6" xfId="1947"/>
    <cellStyle name="Currency 2 3" xfId="2093"/>
    <cellStyle name="Currency 2 3 2" xfId="2271"/>
    <cellStyle name="Currency 2 3 2 2" xfId="2716"/>
    <cellStyle name="Currency 2 3 3" xfId="2571"/>
    <cellStyle name="Currency 2 4" xfId="2129"/>
    <cellStyle name="Currency 2 4 2" xfId="2300"/>
    <cellStyle name="Currency 2 4 2 2" xfId="2745"/>
    <cellStyle name="Currency 2 4 3" xfId="2602"/>
    <cellStyle name="Currency 2 5" xfId="2200"/>
    <cellStyle name="Currency 2 5 2" xfId="2645"/>
    <cellStyle name="Currency 2 6" xfId="2464"/>
    <cellStyle name="Currency 2 7" xfId="1946"/>
    <cellStyle name="Currency 2 8" xfId="4178"/>
    <cellStyle name="Currency![0]_FCSt (2)" xfId="836"/>
    <cellStyle name="currency(2)" xfId="837"/>
    <cellStyle name="Currency0" xfId="838"/>
    <cellStyle name="Currency0 2" xfId="2114"/>
    <cellStyle name="Currency1" xfId="1811"/>
    <cellStyle name="Date" xfId="839"/>
    <cellStyle name="Date 2" xfId="2112"/>
    <cellStyle name="Dấu phảy 2" xfId="3655"/>
    <cellStyle name="Dấu phảy 3 2" xfId="840"/>
    <cellStyle name="Dấu phảy 3 2 2" xfId="1658"/>
    <cellStyle name="Dấu phảy 3 2 2 2" xfId="3225"/>
    <cellStyle name="Dấu phảy 3 2 2 2 2" xfId="5145"/>
    <cellStyle name="Dấu phảy 3 2 2 3" xfId="4487"/>
    <cellStyle name="Dấu phảy 3 2 2 3 2" xfId="841"/>
    <cellStyle name="Dấu phảy 3 2 2 3 2 2" xfId="1659"/>
    <cellStyle name="Dấu phảy 3 2 2 3 2 2 2" xfId="3226"/>
    <cellStyle name="Dấu phảy 3 2 2 3 2 2 2 2" xfId="5146"/>
    <cellStyle name="Dấu phảy 3 2 2 3 2 2 3" xfId="4488"/>
    <cellStyle name="Dấu phảy 3 2 2 3 2 3" xfId="3094"/>
    <cellStyle name="Dấu phảy 3 2 2 3 2 3 2" xfId="5023"/>
    <cellStyle name="Dấu phảy 3 2 2 3 2 4" xfId="4180"/>
    <cellStyle name="Dấu phảy 3 2 3" xfId="3093"/>
    <cellStyle name="Dấu phảy 3 2 3 2" xfId="5022"/>
    <cellStyle name="Dấu phảy 3 2 4" xfId="4179"/>
    <cellStyle name="Dấu phảy 3 3" xfId="842"/>
    <cellStyle name="Dấu phảy 3 3 2" xfId="1660"/>
    <cellStyle name="Dấu phảy 3 3 2 2" xfId="3227"/>
    <cellStyle name="Dấu phảy 3 3 2 2 2" xfId="5147"/>
    <cellStyle name="Dấu phảy 3 3 2 3" xfId="4489"/>
    <cellStyle name="Dấu phảy 3 3 3" xfId="3095"/>
    <cellStyle name="Dấu phảy 3 3 3 2" xfId="843"/>
    <cellStyle name="Dấu phảy 3 3 3 2 2" xfId="1661"/>
    <cellStyle name="Dấu phảy 3 3 3 2 2 2" xfId="3228"/>
    <cellStyle name="Dấu phảy 3 3 3 2 2 2 2" xfId="5148"/>
    <cellStyle name="Dấu phảy 3 3 3 2 2 3" xfId="4490"/>
    <cellStyle name="Dấu phảy 3 3 3 2 3" xfId="3096"/>
    <cellStyle name="Dấu phảy 3 3 3 2 3 2" xfId="5025"/>
    <cellStyle name="Dấu phảy 3 3 3 2 4" xfId="4182"/>
    <cellStyle name="Dấu phảy 3 3 3 3" xfId="5024"/>
    <cellStyle name="Dấu phảy 3 3 4" xfId="4181"/>
    <cellStyle name="Dấu phảy 3 5" xfId="844"/>
    <cellStyle name="Dấu phảy 3 5 2" xfId="1662"/>
    <cellStyle name="Dấu phảy 3 5 2 2" xfId="3229"/>
    <cellStyle name="Dấu phảy 3 5 2 2 2" xfId="5149"/>
    <cellStyle name="Dấu phảy 3 5 2 3" xfId="4491"/>
    <cellStyle name="Dấu phảy 3 5 3" xfId="845"/>
    <cellStyle name="Dấu phảy 3 5 3 2" xfId="1663"/>
    <cellStyle name="Dấu phảy 3 5 3 2 2" xfId="3230"/>
    <cellStyle name="Dấu phảy 3 5 3 2 2 2" xfId="5150"/>
    <cellStyle name="Dấu phảy 3 5 3 2 3" xfId="4492"/>
    <cellStyle name="Dấu phảy 3 5 3 3" xfId="3098"/>
    <cellStyle name="Dấu phảy 3 5 3 3 2" xfId="5027"/>
    <cellStyle name="Dấu phảy 3 5 3 4" xfId="4184"/>
    <cellStyle name="Dấu phảy 3 5 4" xfId="3097"/>
    <cellStyle name="Dấu phảy 3 5 4 2" xfId="5026"/>
    <cellStyle name="Dấu phảy 3 5 5" xfId="4183"/>
    <cellStyle name="Dấu phảy 3 6" xfId="846"/>
    <cellStyle name="Dấu phảy 3 6 2" xfId="847"/>
    <cellStyle name="Dấu phảy 3 6 2 2" xfId="1665"/>
    <cellStyle name="Dấu phảy 3 6 2 2 2" xfId="848"/>
    <cellStyle name="Dấu phảy 3 6 2 2 2 2" xfId="1666"/>
    <cellStyle name="Dấu phảy 3 6 2 2 2 2 2" xfId="3233"/>
    <cellStyle name="Dấu phảy 3 6 2 2 2 2 2 2" xfId="5153"/>
    <cellStyle name="Dấu phảy 3 6 2 2 2 2 3" xfId="4495"/>
    <cellStyle name="Dấu phảy 3 6 2 2 2 3" xfId="3101"/>
    <cellStyle name="Dấu phảy 3 6 2 2 2 3 2" xfId="5030"/>
    <cellStyle name="Dấu phảy 3 6 2 2 2 4" xfId="4187"/>
    <cellStyle name="Dấu phảy 3 6 2 2 3" xfId="3232"/>
    <cellStyle name="Dấu phảy 3 6 2 2 3 2" xfId="5152"/>
    <cellStyle name="Dấu phảy 3 6 2 2 4" xfId="4494"/>
    <cellStyle name="Dấu phảy 3 6 2 3" xfId="3100"/>
    <cellStyle name="Dấu phảy 3 6 2 3 2" xfId="5029"/>
    <cellStyle name="Dấu phảy 3 6 2 4" xfId="4186"/>
    <cellStyle name="Dấu phảy 3 6 3" xfId="1664"/>
    <cellStyle name="Dấu phảy 3 6 3 2" xfId="3231"/>
    <cellStyle name="Dấu phảy 3 6 3 2 2" xfId="5151"/>
    <cellStyle name="Dấu phảy 3 6 3 3" xfId="4493"/>
    <cellStyle name="Dấu phảy 3 6 4" xfId="3099"/>
    <cellStyle name="Dấu phảy 3 6 4 2" xfId="5028"/>
    <cellStyle name="Dấu phảy 3 6 5" xfId="4185"/>
    <cellStyle name="Đầu ra" xfId="1532"/>
    <cellStyle name="Đầu ra 2" xfId="3171"/>
    <cellStyle name="Đầu ra 2 2" xfId="5652"/>
    <cellStyle name="Đầu ra 2 2 2" xfId="6042"/>
    <cellStyle name="Đầu ra 2 2 3" xfId="6278"/>
    <cellStyle name="Đầu ra 2 2 4" xfId="6056"/>
    <cellStyle name="Đầu ra 2 2 5" xfId="4812"/>
    <cellStyle name="Đầu ra 2 2 6" xfId="6163"/>
    <cellStyle name="Đầu ra 2 3" xfId="6092"/>
    <cellStyle name="Đầu ra 2 4" xfId="5970"/>
    <cellStyle name="Đầu ra 2 5" xfId="6139"/>
    <cellStyle name="Đầu ra 2 6" xfId="4108"/>
    <cellStyle name="Đầu ra 2 7" xfId="6293"/>
    <cellStyle name="Đầu ra 3" xfId="5697"/>
    <cellStyle name="Đầu ra 3 2" xfId="4118"/>
    <cellStyle name="Đầu ra 3 3" xfId="6245"/>
    <cellStyle name="Đầu ra 3 4" xfId="4197"/>
    <cellStyle name="Đầu ra 3 5" xfId="6033"/>
    <cellStyle name="Đầu ra 3 6" xfId="5958"/>
    <cellStyle name="Đầu ra 4" xfId="5991"/>
    <cellStyle name="Đầu ra 5" xfId="4139"/>
    <cellStyle name="Đầu ra 6" xfId="3979"/>
    <cellStyle name="Đầu ra 7" xfId="4017"/>
    <cellStyle name="Đầu ra 8" xfId="4713"/>
    <cellStyle name="Đầu vào" xfId="1533"/>
    <cellStyle name="Đầu vào 2" xfId="3172"/>
    <cellStyle name="Đầu vào 2 2" xfId="5685"/>
    <cellStyle name="Đầu vào 2 2 2" xfId="5969"/>
    <cellStyle name="Đầu vào 2 2 3" xfId="5968"/>
    <cellStyle name="Đầu vào 2 2 4" xfId="6150"/>
    <cellStyle name="Đầu vào 2 2 5" xfId="6221"/>
    <cellStyle name="Đầu vào 2 2 6" xfId="4684"/>
    <cellStyle name="Đầu vào 2 3" xfId="6120"/>
    <cellStyle name="Đầu vào 2 4" xfId="6109"/>
    <cellStyle name="Đầu vào 2 5" xfId="4803"/>
    <cellStyle name="Đầu vào 2 6" xfId="6292"/>
    <cellStyle name="Đầu vào 2 7" xfId="4594"/>
    <cellStyle name="Đầu vào 3" xfId="5576"/>
    <cellStyle name="Đầu vào 3 2" xfId="4734"/>
    <cellStyle name="Đầu vào 3 3" xfId="4738"/>
    <cellStyle name="Đầu vào 3 4" xfId="3955"/>
    <cellStyle name="Đầu vào 3 5" xfId="3913"/>
    <cellStyle name="Đầu vào 3 6" xfId="6133"/>
    <cellStyle name="Đầu vào 4" xfId="6198"/>
    <cellStyle name="Đầu vào 5" xfId="3677"/>
    <cellStyle name="Đầu vào 6" xfId="6216"/>
    <cellStyle name="Đầu vào 7" xfId="4794"/>
    <cellStyle name="Đầu vào 8" xfId="6242"/>
    <cellStyle name="Đề mục 1" xfId="1534"/>
    <cellStyle name="Đề mục 2" xfId="1535"/>
    <cellStyle name="Đề mục 3" xfId="1536"/>
    <cellStyle name="Đề mục 4" xfId="1537"/>
    <cellStyle name="Dezimal [0]_UXO VII" xfId="849"/>
    <cellStyle name="Dezimal_UXO VII" xfId="850"/>
    <cellStyle name="_x0001_dÏÈ¹ " xfId="851"/>
    <cellStyle name="Dollar (zero dec)" xfId="1812"/>
    <cellStyle name="Enter Currency (0)" xfId="1538"/>
    <cellStyle name="Entered" xfId="1539"/>
    <cellStyle name="entry" xfId="852"/>
    <cellStyle name="Excel Built-in Explanatory Text" xfId="853"/>
    <cellStyle name="Explanatory Text 2" xfId="2167"/>
    <cellStyle name="Explanatory Text 3" xfId="1813"/>
    <cellStyle name="Fixed" xfId="854"/>
    <cellStyle name="Fixed 2" xfId="2107"/>
    <cellStyle name="Ghi chú" xfId="1540"/>
    <cellStyle name="Ghi chú 2" xfId="3173"/>
    <cellStyle name="Ghi chú 2 2" xfId="5605"/>
    <cellStyle name="Ghi chú 2 2 2" xfId="4678"/>
    <cellStyle name="Ghi chú 2 2 3" xfId="4688"/>
    <cellStyle name="Ghi chú 2 2 4" xfId="5953"/>
    <cellStyle name="Ghi chú 2 2 5" xfId="4790"/>
    <cellStyle name="Ghi chú 2 2 6" xfId="3999"/>
    <cellStyle name="Ghi chú 2 3" xfId="6176"/>
    <cellStyle name="Ghi chú 2 4" xfId="6102"/>
    <cellStyle name="Ghi chú 2 5" xfId="6184"/>
    <cellStyle name="Ghi chú 2 6" xfId="5945"/>
    <cellStyle name="Ghi chú 2 7" xfId="6217"/>
    <cellStyle name="Ghi chú 3" xfId="5635"/>
    <cellStyle name="Ghi chú 3 2" xfId="4595"/>
    <cellStyle name="Ghi chú 3 3" xfId="6135"/>
    <cellStyle name="Ghi chú 3 4" xfId="6279"/>
    <cellStyle name="Ghi chú 3 5" xfId="4592"/>
    <cellStyle name="Ghi chú 3 6" xfId="5944"/>
    <cellStyle name="Ghi chú 4" xfId="4205"/>
    <cellStyle name="Ghi chú 5" xfId="6143"/>
    <cellStyle name="Ghi chú 6" xfId="6117"/>
    <cellStyle name="Ghi chú 7" xfId="4623"/>
    <cellStyle name="Ghi chú 8" xfId="6144"/>
    <cellStyle name="Good 2" xfId="2168"/>
    <cellStyle name="Good 3" xfId="1814"/>
    <cellStyle name="Grey" xfId="855"/>
    <cellStyle name="Grey 2" xfId="1541"/>
    <cellStyle name="Grey 2 2" xfId="1816"/>
    <cellStyle name="Grey 3" xfId="1815"/>
    <cellStyle name="Grey_giá mới" xfId="1542"/>
    <cellStyle name="Group" xfId="856"/>
    <cellStyle name="ha" xfId="1817"/>
    <cellStyle name="HEADER" xfId="857"/>
    <cellStyle name="HEADER 2" xfId="4190"/>
    <cellStyle name="HEADER 3" xfId="3814"/>
    <cellStyle name="Header1" xfId="858"/>
    <cellStyle name="Header2" xfId="859"/>
    <cellStyle name="Header2 2" xfId="6075"/>
    <cellStyle name="Header2 3" xfId="4627"/>
    <cellStyle name="Header2 4" xfId="6086"/>
    <cellStyle name="Header2 5" xfId="6011"/>
    <cellStyle name="Header2 6" xfId="6297"/>
    <cellStyle name="Heading 1 2" xfId="860"/>
    <cellStyle name="Heading 1 3" xfId="861"/>
    <cellStyle name="Heading 2 2" xfId="862"/>
    <cellStyle name="Heading 2 3" xfId="863"/>
    <cellStyle name="Heading 3 2" xfId="2169"/>
    <cellStyle name="Heading 3 3" xfId="1818"/>
    <cellStyle name="Heading 4 2" xfId="2170"/>
    <cellStyle name="Heading 4 3" xfId="1819"/>
    <cellStyle name="Heading1" xfId="864"/>
    <cellStyle name="Heading1 10" xfId="4604"/>
    <cellStyle name="Heading1 2" xfId="1543"/>
    <cellStyle name="HEADING1 2 2" xfId="1821"/>
    <cellStyle name="HEADING1 3" xfId="1820"/>
    <cellStyle name="HEADING1 4" xfId="3014"/>
    <cellStyle name="HEADING1 5" xfId="1850"/>
    <cellStyle name="Heading1 6" xfId="3815"/>
    <cellStyle name="Heading1 7" xfId="3925"/>
    <cellStyle name="Heading1 8" xfId="4083"/>
    <cellStyle name="Heading1 9" xfId="4101"/>
    <cellStyle name="Heading1_giá mới" xfId="1544"/>
    <cellStyle name="Heading2" xfId="865"/>
    <cellStyle name="Heading2 10" xfId="4796"/>
    <cellStyle name="Heading2 2" xfId="1545"/>
    <cellStyle name="HEADING2 2 2" xfId="1823"/>
    <cellStyle name="HEADING2 3" xfId="1822"/>
    <cellStyle name="HEADING2 4" xfId="3015"/>
    <cellStyle name="HEADING2 5" xfId="3027"/>
    <cellStyle name="Heading2 6" xfId="3817"/>
    <cellStyle name="Heading2 7" xfId="4698"/>
    <cellStyle name="Heading2 8" xfId="6022"/>
    <cellStyle name="Heading2 9" xfId="4677"/>
    <cellStyle name="Heading2_giá mới" xfId="1546"/>
    <cellStyle name="HUY" xfId="1547"/>
    <cellStyle name="Hyperlink" xfId="50" builtinId="8"/>
    <cellStyle name="Hyperlink 2" xfId="866"/>
    <cellStyle name="Hyperlink 2 2" xfId="867"/>
    <cellStyle name="Hyperlink 2 3" xfId="1870"/>
    <cellStyle name="Hyperlink 2 4" xfId="4191"/>
    <cellStyle name="Hyperlink 3" xfId="868"/>
    <cellStyle name="Hyperlink 3 2" xfId="2326"/>
    <cellStyle name="i·0" xfId="869"/>
    <cellStyle name="i·0 2" xfId="4192"/>
    <cellStyle name="i·0 3" xfId="3818"/>
    <cellStyle name="_x0001_íå_x001b_ô " xfId="870"/>
    <cellStyle name="Input [yellow]" xfId="871"/>
    <cellStyle name="Input [yellow] 2" xfId="872"/>
    <cellStyle name="Input [yellow] 2 2" xfId="1826"/>
    <cellStyle name="Input [yellow] 3" xfId="1825"/>
    <cellStyle name="Input [yellow]_giá mới" xfId="1548"/>
    <cellStyle name="Input 2" xfId="2171"/>
    <cellStyle name="Input 3" xfId="2325"/>
    <cellStyle name="Input 4" xfId="2360"/>
    <cellStyle name="Input 5" xfId="2343"/>
    <cellStyle name="Input 6" xfId="1824"/>
    <cellStyle name="Input Cells" xfId="1549"/>
    <cellStyle name="Kiểm tra Ô" xfId="1550"/>
    <cellStyle name="Ledger 17 x 11 in" xfId="15"/>
    <cellStyle name="Ledger 17 x 11 in 2" xfId="1948"/>
    <cellStyle name="Line" xfId="1551"/>
    <cellStyle name="Link Currency (0)" xfId="1552"/>
    <cellStyle name="Linked Cell 2" xfId="2172"/>
    <cellStyle name="Linked Cell 3" xfId="1827"/>
    <cellStyle name="Linked Cells" xfId="1553"/>
    <cellStyle name="Millares [0]_Well Timing" xfId="873"/>
    <cellStyle name="Millares_Well Timing" xfId="874"/>
    <cellStyle name="Milliers [0]_      " xfId="875"/>
    <cellStyle name="Milliers_      " xfId="876"/>
    <cellStyle name="Model" xfId="877"/>
    <cellStyle name="Model 2" xfId="4193"/>
    <cellStyle name="Model 3" xfId="3820"/>
    <cellStyle name="Mon?aire [0]_!!!GO" xfId="1554"/>
    <cellStyle name="Mon?aire_!!!GO" xfId="1555"/>
    <cellStyle name="Moneda [0]_Well Timing" xfId="878"/>
    <cellStyle name="Moneda_Well Timing" xfId="879"/>
    <cellStyle name="Monétaire [0]_      " xfId="880"/>
    <cellStyle name="Monétaire_      " xfId="881"/>
    <cellStyle name="n" xfId="882"/>
    <cellStyle name="n 2" xfId="1828"/>
    <cellStyle name="n 3" xfId="4194"/>
    <cellStyle name="N 4" xfId="3821"/>
    <cellStyle name="N 5" xfId="4598"/>
    <cellStyle name="N 6" xfId="6021"/>
    <cellStyle name="N 7" xfId="4115"/>
    <cellStyle name="N 8" xfId="6070"/>
    <cellStyle name="Neutral 2" xfId="2174"/>
    <cellStyle name="Neutral 3" xfId="1829"/>
    <cellStyle name="New Times Roman" xfId="1830"/>
    <cellStyle name="New Times Roman 2" xfId="1831"/>
    <cellStyle name="Nhấn1" xfId="1556"/>
    <cellStyle name="Nhấn2" xfId="1557"/>
    <cellStyle name="Nhấn3" xfId="1558"/>
    <cellStyle name="Nhấn4" xfId="1559"/>
    <cellStyle name="Nhấn5" xfId="1560"/>
    <cellStyle name="Nhấn6" xfId="1561"/>
    <cellStyle name="no dec" xfId="883"/>
    <cellStyle name="ÑONVÒ" xfId="1562"/>
    <cellStyle name="Normal" xfId="0" builtinId="0"/>
    <cellStyle name="Normal - ??1" xfId="1832"/>
    <cellStyle name="Normal - Style1" xfId="27"/>
    <cellStyle name="Normal - Style1 15" xfId="885"/>
    <cellStyle name="Normal - Style1 2" xfId="46"/>
    <cellStyle name="Normal - Style1 2 10" xfId="3822"/>
    <cellStyle name="Normal - Style1 2 2" xfId="886"/>
    <cellStyle name="Normal - Style1 2 2 2" xfId="1835"/>
    <cellStyle name="Normal - Style1 2 2 2 2" xfId="887"/>
    <cellStyle name="Normal - Style1 2 2 3" xfId="1950"/>
    <cellStyle name="Normal - Style1 2 2 3 2" xfId="2467"/>
    <cellStyle name="Normal - Style1 2 2 3 2 2" xfId="2929"/>
    <cellStyle name="Normal - Style1 2 2 3 2 2 2" xfId="3530"/>
    <cellStyle name="Normal - Style1 2 2 3 2 2 2 2" xfId="5449"/>
    <cellStyle name="Normal - Style1 2 2 3 2 2 3" xfId="4910"/>
    <cellStyle name="Normal - Style1 2 2 3 2 3" xfId="3411"/>
    <cellStyle name="Normal - Style1 2 2 3 2 3 2" xfId="5330"/>
    <cellStyle name="Normal - Style1 2 2 3 2 4" xfId="4752"/>
    <cellStyle name="Normal - Style1 2 2 3 3" xfId="2827"/>
    <cellStyle name="Normal - Style1 2 2 3 3 2" xfId="3470"/>
    <cellStyle name="Normal - Style1 2 2 3 3 2 2" xfId="5389"/>
    <cellStyle name="Normal - Style1 2 2 3 3 3" xfId="4845"/>
    <cellStyle name="Normal - Style1 2 2 3 4" xfId="3350"/>
    <cellStyle name="Normal - Style1 2 2 3 4 2" xfId="5270"/>
    <cellStyle name="Normal - Style1 2 2 3 5" xfId="4638"/>
    <cellStyle name="Normal - Style1 2 2 4" xfId="1951"/>
    <cellStyle name="Normal - Style1 2 2 4 2" xfId="2468"/>
    <cellStyle name="Normal - Style1 2 2 4 2 2" xfId="2930"/>
    <cellStyle name="Normal - Style1 2 2 4 2 2 2" xfId="3531"/>
    <cellStyle name="Normal - Style1 2 2 4 2 2 2 2" xfId="5450"/>
    <cellStyle name="Normal - Style1 2 2 4 2 2 3" xfId="4911"/>
    <cellStyle name="Normal - Style1 2 2 4 2 3" xfId="3412"/>
    <cellStyle name="Normal - Style1 2 2 4 2 3 2" xfId="5331"/>
    <cellStyle name="Normal - Style1 2 2 4 2 4" xfId="4753"/>
    <cellStyle name="Normal - Style1 2 2 4 3" xfId="2828"/>
    <cellStyle name="Normal - Style1 2 2 4 3 2" xfId="3471"/>
    <cellStyle name="Normal - Style1 2 2 4 3 2 2" xfId="5390"/>
    <cellStyle name="Normal - Style1 2 2 4 3 3" xfId="4846"/>
    <cellStyle name="Normal - Style1 2 2 4 4" xfId="3351"/>
    <cellStyle name="Normal - Style1 2 2 4 4 2" xfId="5271"/>
    <cellStyle name="Normal - Style1 2 2 4 5" xfId="4639"/>
    <cellStyle name="Normal - Style1 2 3" xfId="1952"/>
    <cellStyle name="Normal - Style1 2 3 2" xfId="2469"/>
    <cellStyle name="Normal - Style1 2 3 2 2" xfId="2931"/>
    <cellStyle name="Normal - Style1 2 3 2 2 2" xfId="3532"/>
    <cellStyle name="Normal - Style1 2 3 2 2 2 2" xfId="5451"/>
    <cellStyle name="Normal - Style1 2 3 2 2 3" xfId="4912"/>
    <cellStyle name="Normal - Style1 2 3 2 3" xfId="3413"/>
    <cellStyle name="Normal - Style1 2 3 2 3 2" xfId="5332"/>
    <cellStyle name="Normal - Style1 2 3 2 4" xfId="4754"/>
    <cellStyle name="Normal - Style1 2 3 3" xfId="2829"/>
    <cellStyle name="Normal - Style1 2 3 3 2" xfId="3472"/>
    <cellStyle name="Normal - Style1 2 3 3 2 2" xfId="5391"/>
    <cellStyle name="Normal - Style1 2 3 3 3" xfId="4847"/>
    <cellStyle name="Normal - Style1 2 3 4" xfId="3352"/>
    <cellStyle name="Normal - Style1 2 3 4 2" xfId="5272"/>
    <cellStyle name="Normal - Style1 2 3 5" xfId="4640"/>
    <cellStyle name="Normal - Style1 2 4" xfId="1953"/>
    <cellStyle name="Normal - Style1 2 4 2" xfId="2470"/>
    <cellStyle name="Normal - Style1 2 4 2 2" xfId="2932"/>
    <cellStyle name="Normal - Style1 2 4 2 2 2" xfId="3533"/>
    <cellStyle name="Normal - Style1 2 4 2 2 2 2" xfId="5452"/>
    <cellStyle name="Normal - Style1 2 4 2 2 3" xfId="4913"/>
    <cellStyle name="Normal - Style1 2 4 2 3" xfId="3414"/>
    <cellStyle name="Normal - Style1 2 4 2 3 2" xfId="5333"/>
    <cellStyle name="Normal - Style1 2 4 2 4" xfId="4755"/>
    <cellStyle name="Normal - Style1 2 4 3" xfId="2830"/>
    <cellStyle name="Normal - Style1 2 4 3 2" xfId="3473"/>
    <cellStyle name="Normal - Style1 2 4 3 2 2" xfId="5392"/>
    <cellStyle name="Normal - Style1 2 4 3 3" xfId="4848"/>
    <cellStyle name="Normal - Style1 2 4 4" xfId="3353"/>
    <cellStyle name="Normal - Style1 2 4 4 2" xfId="5273"/>
    <cellStyle name="Normal - Style1 2 4 5" xfId="4641"/>
    <cellStyle name="Normal - Style1 2 5" xfId="1949"/>
    <cellStyle name="Normal - Style1 2 5 2" xfId="2466"/>
    <cellStyle name="Normal - Style1 2 5 2 2" xfId="1954"/>
    <cellStyle name="Normal - Style1 2 5 2 2 2" xfId="888"/>
    <cellStyle name="Normal - Style1 2 5 2 2 2 2" xfId="1667"/>
    <cellStyle name="Normal - Style1 2 5 2 2 2 2 2" xfId="2933"/>
    <cellStyle name="Normal - Style1 2 5 2 2 2 2 2 2" xfId="3534"/>
    <cellStyle name="Normal - Style1 2 5 2 2 2 2 2 2 2" xfId="5453"/>
    <cellStyle name="Normal - Style1 2 5 2 2 2 2 2 3" xfId="4914"/>
    <cellStyle name="Normal - Style1 2 5 2 2 2 2 3" xfId="3234"/>
    <cellStyle name="Normal - Style1 2 5 2 2 2 2 3 2" xfId="5154"/>
    <cellStyle name="Normal - Style1 2 5 2 2 2 2 4" xfId="4496"/>
    <cellStyle name="Normal - Style1 2 5 2 2 2 3" xfId="2471"/>
    <cellStyle name="Normal - Style1 2 5 2 2 2 3 2" xfId="3415"/>
    <cellStyle name="Normal - Style1 2 5 2 2 2 3 2 2" xfId="5334"/>
    <cellStyle name="Normal - Style1 2 5 2 2 2 3 3" xfId="4756"/>
    <cellStyle name="Normal - Style1 2 5 2 2 2 4" xfId="3102"/>
    <cellStyle name="Normal - Style1 2 5 2 2 2 4 2" xfId="5031"/>
    <cellStyle name="Normal - Style1 2 5 2 2 2 5" xfId="4198"/>
    <cellStyle name="Normal - Style1 2 5 2 2 3" xfId="1955"/>
    <cellStyle name="Normal - Style1 2 5 2 2 3 2" xfId="2472"/>
    <cellStyle name="Normal - Style1 2 5 2 2 3 2 2" xfId="2934"/>
    <cellStyle name="Normal - Style1 2 5 2 2 3 2 2 2" xfId="3535"/>
    <cellStyle name="Normal - Style1 2 5 2 2 3 2 2 2 2" xfId="5454"/>
    <cellStyle name="Normal - Style1 2 5 2 2 3 2 2 3" xfId="4915"/>
    <cellStyle name="Normal - Style1 2 5 2 2 3 2 3" xfId="3416"/>
    <cellStyle name="Normal - Style1 2 5 2 2 3 2 3 2" xfId="5335"/>
    <cellStyle name="Normal - Style1 2 5 2 2 3 2 4" xfId="4757"/>
    <cellStyle name="Normal - Style1 2 5 2 2 3 3" xfId="2832"/>
    <cellStyle name="Normal - Style1 2 5 2 2 3 3 2" xfId="3475"/>
    <cellStyle name="Normal - Style1 2 5 2 2 3 3 2 2" xfId="5394"/>
    <cellStyle name="Normal - Style1 2 5 2 2 3 3 3" xfId="4850"/>
    <cellStyle name="Normal - Style1 2 5 2 2 3 4" xfId="3355"/>
    <cellStyle name="Normal - Style1 2 5 2 2 3 4 2" xfId="5275"/>
    <cellStyle name="Normal - Style1 2 5 2 2 3 5" xfId="4643"/>
    <cellStyle name="Normal - Style1 2 5 2 2 4" xfId="2831"/>
    <cellStyle name="Normal - Style1 2 5 2 2 4 2" xfId="3474"/>
    <cellStyle name="Normal - Style1 2 5 2 2 4 2 2" xfId="5393"/>
    <cellStyle name="Normal - Style1 2 5 2 2 4 3" xfId="4849"/>
    <cellStyle name="Normal - Style1 2 5 2 2 5" xfId="3354"/>
    <cellStyle name="Normal - Style1 2 5 2 2 5 2" xfId="5274"/>
    <cellStyle name="Normal - Style1 2 5 2 2 6" xfId="4642"/>
    <cellStyle name="Normal - Style1 2 5 2 3" xfId="2928"/>
    <cellStyle name="Normal - Style1 2 5 2 3 2" xfId="3529"/>
    <cellStyle name="Normal - Style1 2 5 2 3 2 2" xfId="5448"/>
    <cellStyle name="Normal - Style1 2 5 2 3 3" xfId="4909"/>
    <cellStyle name="Normal - Style1 2 5 2 4" xfId="3410"/>
    <cellStyle name="Normal - Style1 2 5 2 4 2" xfId="5329"/>
    <cellStyle name="Normal - Style1 2 5 2 5" xfId="4751"/>
    <cellStyle name="Normal - Style1 2 5 3" xfId="2826"/>
    <cellStyle name="Normal - Style1 2 5 3 2" xfId="3469"/>
    <cellStyle name="Normal - Style1 2 5 3 2 2" xfId="5388"/>
    <cellStyle name="Normal - Style1 2 5 3 3" xfId="4844"/>
    <cellStyle name="Normal - Style1 2 5 4" xfId="3349"/>
    <cellStyle name="Normal - Style1 2 5 4 2" xfId="5269"/>
    <cellStyle name="Normal - Style1 2 5 5" xfId="1956"/>
    <cellStyle name="Normal - Style1 2 5 5 2" xfId="2473"/>
    <cellStyle name="Normal - Style1 2 5 5 2 2" xfId="2935"/>
    <cellStyle name="Normal - Style1 2 5 5 2 2 2" xfId="3536"/>
    <cellStyle name="Normal - Style1 2 5 5 2 2 2 2" xfId="5455"/>
    <cellStyle name="Normal - Style1 2 5 5 2 2 3" xfId="4916"/>
    <cellStyle name="Normal - Style1 2 5 5 2 3" xfId="3417"/>
    <cellStyle name="Normal - Style1 2 5 5 2 3 2" xfId="5336"/>
    <cellStyle name="Normal - Style1 2 5 5 2 4" xfId="4758"/>
    <cellStyle name="Normal - Style1 2 5 5 3" xfId="2833"/>
    <cellStyle name="Normal - Style1 2 5 5 3 2" xfId="3476"/>
    <cellStyle name="Normal - Style1 2 5 5 3 2 2" xfId="5395"/>
    <cellStyle name="Normal - Style1 2 5 5 3 3" xfId="4851"/>
    <cellStyle name="Normal - Style1 2 5 5 4" xfId="3356"/>
    <cellStyle name="Normal - Style1 2 5 5 4 2" xfId="5276"/>
    <cellStyle name="Normal - Style1 2 5 5 5" xfId="4644"/>
    <cellStyle name="Normal - Style1 2 5 6" xfId="4637"/>
    <cellStyle name="Normal - Style1 2 6" xfId="2402"/>
    <cellStyle name="Normal - Style1 2 6 2" xfId="2905"/>
    <cellStyle name="Normal - Style1 2 6 2 2" xfId="3507"/>
    <cellStyle name="Normal - Style1 2 6 2 2 2" xfId="5426"/>
    <cellStyle name="Normal - Style1 2 6 2 3" xfId="4887"/>
    <cellStyle name="Normal - Style1 2 6 3" xfId="3388"/>
    <cellStyle name="Normal - Style1 2 6 3 2" xfId="5307"/>
    <cellStyle name="Normal - Style1 2 6 4" xfId="4720"/>
    <cellStyle name="Normal - Style1 2 7" xfId="2796"/>
    <cellStyle name="Normal - Style1 2 7 2" xfId="889"/>
    <cellStyle name="Normal - Style1 2 7 2 2" xfId="1668"/>
    <cellStyle name="Normal - Style1 2 7 2 2 2" xfId="2474"/>
    <cellStyle name="Normal - Style1 2 7 2 2 2 2" xfId="2936"/>
    <cellStyle name="Normal - Style1 2 7 2 2 2 2 2" xfId="3537"/>
    <cellStyle name="Normal - Style1 2 7 2 2 2 2 2 2" xfId="5456"/>
    <cellStyle name="Normal - Style1 2 7 2 2 2 2 3" xfId="4917"/>
    <cellStyle name="Normal - Style1 2 7 2 2 2 3" xfId="3418"/>
    <cellStyle name="Normal - Style1 2 7 2 2 2 3 2" xfId="5337"/>
    <cellStyle name="Normal - Style1 2 7 2 2 2 4" xfId="4759"/>
    <cellStyle name="Normal - Style1 2 7 2 2 3" xfId="2834"/>
    <cellStyle name="Normal - Style1 2 7 2 2 3 2" xfId="3477"/>
    <cellStyle name="Normal - Style1 2 7 2 2 3 2 2" xfId="5396"/>
    <cellStyle name="Normal - Style1 2 7 2 2 3 3" xfId="4852"/>
    <cellStyle name="Normal - Style1 2 7 2 2 4" xfId="1957"/>
    <cellStyle name="Normal - Style1 2 7 2 2 4 2" xfId="3357"/>
    <cellStyle name="Normal - Style1 2 7 2 2 4 2 2" xfId="5277"/>
    <cellStyle name="Normal - Style1 2 7 2 2 4 3" xfId="4645"/>
    <cellStyle name="Normal - Style1 2 7 2 2 5" xfId="3235"/>
    <cellStyle name="Normal - Style1 2 7 2 2 5 2" xfId="5155"/>
    <cellStyle name="Normal - Style1 2 7 2 2 6" xfId="4497"/>
    <cellStyle name="Normal - Style1 2 7 2 3" xfId="2403"/>
    <cellStyle name="Normal - Style1 2 7 2 3 2" xfId="2906"/>
    <cellStyle name="Normal - Style1 2 7 2 3 2 2" xfId="3508"/>
    <cellStyle name="Normal - Style1 2 7 2 3 2 2 2" xfId="5427"/>
    <cellStyle name="Normal - Style1 2 7 2 3 2 3" xfId="4888"/>
    <cellStyle name="Normal - Style1 2 7 2 3 3" xfId="3389"/>
    <cellStyle name="Normal - Style1 2 7 2 3 3 2" xfId="5308"/>
    <cellStyle name="Normal - Style1 2 7 2 3 4" xfId="4721"/>
    <cellStyle name="Normal - Style1 2 7 2 4" xfId="2797"/>
    <cellStyle name="Normal - Style1 2 7 2 4 2" xfId="3448"/>
    <cellStyle name="Normal - Style1 2 7 2 4 2 2" xfId="5367"/>
    <cellStyle name="Normal - Style1 2 7 2 4 3" xfId="4820"/>
    <cellStyle name="Normal - Style1 2 7 2 5" xfId="1836"/>
    <cellStyle name="Normal - Style1 2 7 2 5 2" xfId="3329"/>
    <cellStyle name="Normal - Style1 2 7 2 5 2 2" xfId="5249"/>
    <cellStyle name="Normal - Style1 2 7 2 5 3" xfId="4597"/>
    <cellStyle name="Normal - Style1 2 7 2 6" xfId="3103"/>
    <cellStyle name="Normal - Style1 2 7 2 6 2" xfId="5032"/>
    <cellStyle name="Normal - Style1 2 7 2 7" xfId="4199"/>
    <cellStyle name="Normal - Style1 2 7 3" xfId="3447"/>
    <cellStyle name="Normal - Style1 2 7 3 2" xfId="5366"/>
    <cellStyle name="Normal - Style1 2 7 4" xfId="4819"/>
    <cellStyle name="Normal - Style1 2 8" xfId="1834"/>
    <cellStyle name="Normal - Style1 2 8 2" xfId="1958"/>
    <cellStyle name="Normal - Style1 2 8 2 2" xfId="2475"/>
    <cellStyle name="Normal - Style1 2 8 2 2 2" xfId="2937"/>
    <cellStyle name="Normal - Style1 2 8 2 2 2 2" xfId="3538"/>
    <cellStyle name="Normal - Style1 2 8 2 2 2 2 2" xfId="5457"/>
    <cellStyle name="Normal - Style1 2 8 2 2 2 3" xfId="4918"/>
    <cellStyle name="Normal - Style1 2 8 2 2 3" xfId="3419"/>
    <cellStyle name="Normal - Style1 2 8 2 2 3 2" xfId="5338"/>
    <cellStyle name="Normal - Style1 2 8 2 2 4" xfId="4760"/>
    <cellStyle name="Normal - Style1 2 8 2 3" xfId="2835"/>
    <cellStyle name="Normal - Style1 2 8 2 3 2" xfId="3478"/>
    <cellStyle name="Normal - Style1 2 8 2 3 2 2" xfId="5397"/>
    <cellStyle name="Normal - Style1 2 8 2 3 3" xfId="4853"/>
    <cellStyle name="Normal - Style1 2 8 2 4" xfId="3358"/>
    <cellStyle name="Normal - Style1 2 8 2 4 2" xfId="5278"/>
    <cellStyle name="Normal - Style1 2 8 2 5" xfId="4646"/>
    <cellStyle name="Normal - Style1 2 8 3" xfId="3328"/>
    <cellStyle name="Normal - Style1 2 8 3 2" xfId="5248"/>
    <cellStyle name="Normal - Style1 2 8 4" xfId="4596"/>
    <cellStyle name="Normal - Style1 2 9" xfId="3972"/>
    <cellStyle name="Normal - Style1 3" xfId="884"/>
    <cellStyle name="Normal - Style1 4" xfId="1833"/>
    <cellStyle name="Normal - Style1 5" xfId="3964"/>
    <cellStyle name="Normal - Style1_giá mới" xfId="1563"/>
    <cellStyle name="Normal - 유형1" xfId="1837"/>
    <cellStyle name="Normal 10" xfId="3"/>
    <cellStyle name="Normal 10 14" xfId="1564"/>
    <cellStyle name="Normal 10 2" xfId="890"/>
    <cellStyle name="Normal 10 2 2" xfId="891"/>
    <cellStyle name="Normal 10 2 2 2" xfId="892"/>
    <cellStyle name="Normal 10 2 2 2 2" xfId="2331"/>
    <cellStyle name="Normal 10 2 3" xfId="893"/>
    <cellStyle name="Normal 10 2 3 2" xfId="894"/>
    <cellStyle name="Normal 10 2 3 2 2" xfId="1670"/>
    <cellStyle name="Normal 10 2 3 2 2 2" xfId="3237"/>
    <cellStyle name="Normal 10 2 3 2 2 2 2" xfId="5157"/>
    <cellStyle name="Normal 10 2 3 2 2 3" xfId="4499"/>
    <cellStyle name="Normal 10 2 3 2 3" xfId="3105"/>
    <cellStyle name="Normal 10 2 3 2 3 2" xfId="5034"/>
    <cellStyle name="Normal 10 2 3 2 4" xfId="4202"/>
    <cellStyle name="Normal 10 2 3 3" xfId="1669"/>
    <cellStyle name="Normal 10 2 3 3 2" xfId="3236"/>
    <cellStyle name="Normal 10 2 3 3 2 2" xfId="5156"/>
    <cellStyle name="Normal 10 2 3 3 3" xfId="4498"/>
    <cellStyle name="Normal 10 2 3 4" xfId="1959"/>
    <cellStyle name="Normal 10 2 3 5" xfId="3104"/>
    <cellStyle name="Normal 10 2 3 5 2" xfId="5033"/>
    <cellStyle name="Normal 10 2 3 6" xfId="4201"/>
    <cellStyle name="Normal 10 2 4" xfId="4200"/>
    <cellStyle name="Normal 10 2 5" xfId="3929"/>
    <cellStyle name="Normal 10 3" xfId="895"/>
    <cellStyle name="Normal 10 3 2" xfId="896"/>
    <cellStyle name="Normal 10 3 2 2" xfId="897"/>
    <cellStyle name="Normal 10 3 2 3" xfId="1961"/>
    <cellStyle name="Normal 10 3 3" xfId="1960"/>
    <cellStyle name="Normal 10 4" xfId="1962"/>
    <cellStyle name="Normal 10 5" xfId="1963"/>
    <cellStyle name="Normal 10 6" xfId="898"/>
    <cellStyle name="Normal 10 6 2" xfId="1964"/>
    <cellStyle name="Normal 100" xfId="1839"/>
    <cellStyle name="Normal 100 2" xfId="1965"/>
    <cellStyle name="Normal 100 2 2" xfId="2202"/>
    <cellStyle name="Normal 100 2 2 2" xfId="2647"/>
    <cellStyle name="Normal 100 2 3" xfId="2476"/>
    <cellStyle name="Normal 100 3" xfId="2095"/>
    <cellStyle name="Normal 100 3 2" xfId="2273"/>
    <cellStyle name="Normal 100 3 2 2" xfId="2718"/>
    <cellStyle name="Normal 100 3 3" xfId="2573"/>
    <cellStyle name="Normal 100 4" xfId="1966"/>
    <cellStyle name="Normal 100 4 2" xfId="2096"/>
    <cellStyle name="Normal 100 4 2 2" xfId="2274"/>
    <cellStyle name="Normal 100 4 2 2 2" xfId="2719"/>
    <cellStyle name="Normal 100 4 2 3" xfId="2574"/>
    <cellStyle name="Normal 100 4 3" xfId="2132"/>
    <cellStyle name="Normal 100 4 3 2" xfId="2303"/>
    <cellStyle name="Normal 100 4 3 2 2" xfId="2748"/>
    <cellStyle name="Normal 100 4 3 3" xfId="2605"/>
    <cellStyle name="Normal 100 4 4" xfId="2203"/>
    <cellStyle name="Normal 100 4 4 2" xfId="2648"/>
    <cellStyle name="Normal 100 4 5" xfId="2477"/>
    <cellStyle name="Normal 100 5" xfId="2131"/>
    <cellStyle name="Normal 100 5 2" xfId="2302"/>
    <cellStyle name="Normal 100 5 2 2" xfId="2747"/>
    <cellStyle name="Normal 100 5 3" xfId="2604"/>
    <cellStyle name="Normal 100 6" xfId="2175"/>
    <cellStyle name="Normal 100 6 2" xfId="2622"/>
    <cellStyle name="Normal 100 7" xfId="2404"/>
    <cellStyle name="Normal 101" xfId="2357"/>
    <cellStyle name="Normal 102" xfId="2148"/>
    <cellStyle name="Normal 102 2" xfId="2618"/>
    <cellStyle name="Normal 103" xfId="2208"/>
    <cellStyle name="Normal 103 2" xfId="2653"/>
    <cellStyle name="Normal 104" xfId="2188"/>
    <cellStyle name="Normal 104 2" xfId="2633"/>
    <cellStyle name="Normal 105" xfId="1967"/>
    <cellStyle name="Normal 105 2" xfId="2478"/>
    <cellStyle name="Normal 105 2 2" xfId="2938"/>
    <cellStyle name="Normal 105 2 2 2" xfId="3539"/>
    <cellStyle name="Normal 105 2 2 2 2" xfId="5458"/>
    <cellStyle name="Normal 105 2 2 3" xfId="4919"/>
    <cellStyle name="Normal 105 2 3" xfId="3420"/>
    <cellStyle name="Normal 105 2 3 2" xfId="5339"/>
    <cellStyle name="Normal 105 2 4" xfId="4761"/>
    <cellStyle name="Normal 105 3" xfId="2837"/>
    <cellStyle name="Normal 105 3 2" xfId="3479"/>
    <cellStyle name="Normal 105 3 2 2" xfId="5398"/>
    <cellStyle name="Normal 105 3 3" xfId="4855"/>
    <cellStyle name="Normal 105 4" xfId="3359"/>
    <cellStyle name="Normal 105 4 2" xfId="5279"/>
    <cellStyle name="Normal 105 5" xfId="4647"/>
    <cellStyle name="Normal 106" xfId="2398"/>
    <cellStyle name="Normal 106 2" xfId="2791"/>
    <cellStyle name="Normal 107" xfId="2399"/>
    <cellStyle name="Normal 107 2" xfId="2792"/>
    <cellStyle name="Normal 108" xfId="2173"/>
    <cellStyle name="Normal 108 2" xfId="2621"/>
    <cellStyle name="Normal 109" xfId="2400"/>
    <cellStyle name="Normal 109 2" xfId="2904"/>
    <cellStyle name="Normal 109 2 2" xfId="3506"/>
    <cellStyle name="Normal 109 2 2 2" xfId="5425"/>
    <cellStyle name="Normal 109 2 3" xfId="4886"/>
    <cellStyle name="Normal 109 3" xfId="3387"/>
    <cellStyle name="Normal 109 3 2" xfId="5306"/>
    <cellStyle name="Normal 109 4" xfId="4719"/>
    <cellStyle name="Normal 11" xfId="899"/>
    <cellStyle name="Normal 11 2" xfId="1969"/>
    <cellStyle name="Normal 11 3" xfId="2317"/>
    <cellStyle name="Normal 11 4" xfId="2479"/>
    <cellStyle name="Normal 11 4 2" xfId="2939"/>
    <cellStyle name="Normal 11 4 2 2" xfId="3540"/>
    <cellStyle name="Normal 11 4 2 2 2" xfId="5459"/>
    <cellStyle name="Normal 11 4 2 3" xfId="4920"/>
    <cellStyle name="Normal 11 4 3" xfId="3421"/>
    <cellStyle name="Normal 11 4 3 2" xfId="5340"/>
    <cellStyle name="Normal 11 4 4" xfId="4762"/>
    <cellStyle name="Normal 11 5" xfId="2838"/>
    <cellStyle name="Normal 11 5 2" xfId="3480"/>
    <cellStyle name="Normal 11 5 2 2" xfId="5399"/>
    <cellStyle name="Normal 11 5 3" xfId="4856"/>
    <cellStyle name="Normal 11 6" xfId="1968"/>
    <cellStyle name="Normal 11 6 2" xfId="3360"/>
    <cellStyle name="Normal 11 6 2 2" xfId="5280"/>
    <cellStyle name="Normal 11 6 3" xfId="4648"/>
    <cellStyle name="Normal 110" xfId="2997"/>
    <cellStyle name="Normal 111" xfId="3011"/>
    <cellStyle name="Normal 112" xfId="1740"/>
    <cellStyle name="Normal 113" xfId="900"/>
    <cellStyle name="Normal 114" xfId="1855"/>
    <cellStyle name="Normal 115" xfId="3019"/>
    <cellStyle name="Normal 116" xfId="3031"/>
    <cellStyle name="Normal 116 2" xfId="3585"/>
    <cellStyle name="Normal 116 2 2" xfId="5500"/>
    <cellStyle name="Normal 116 3" xfId="4960"/>
    <cellStyle name="Normal 117" xfId="3032"/>
    <cellStyle name="Normal 117 2" xfId="3586"/>
    <cellStyle name="Normal 117 2 2" xfId="5501"/>
    <cellStyle name="Normal 117 3" xfId="4961"/>
    <cellStyle name="Normal 118" xfId="3587"/>
    <cellStyle name="Normal 119" xfId="3593"/>
    <cellStyle name="Normal 12" xfId="901"/>
    <cellStyle name="Normal 12 2" xfId="902"/>
    <cellStyle name="Normal 12 2 2" xfId="1971"/>
    <cellStyle name="Normal 12 2 2 2" xfId="2097"/>
    <cellStyle name="Normal 12 2 2 2 2" xfId="2275"/>
    <cellStyle name="Normal 12 2 2 2 2 2" xfId="2720"/>
    <cellStyle name="Normal 12 2 2 2 3" xfId="2575"/>
    <cellStyle name="Normal 12 2 2 3" xfId="2133"/>
    <cellStyle name="Normal 12 2 2 3 2" xfId="2304"/>
    <cellStyle name="Normal 12 2 2 3 2 2" xfId="2749"/>
    <cellStyle name="Normal 12 2 2 3 3" xfId="2606"/>
    <cellStyle name="Normal 12 2 2 4" xfId="2204"/>
    <cellStyle name="Normal 12 2 2 4 2" xfId="2649"/>
    <cellStyle name="Normal 12 2 2 5" xfId="2481"/>
    <cellStyle name="Normal 12 2 3" xfId="2940"/>
    <cellStyle name="Normal 12 2 3 2" xfId="3541"/>
    <cellStyle name="Normal 12 2 3 2 2" xfId="5460"/>
    <cellStyle name="Normal 12 2 3 3" xfId="4921"/>
    <cellStyle name="Normal 12 2 4" xfId="2480"/>
    <cellStyle name="Normal 12 2 4 2" xfId="3422"/>
    <cellStyle name="Normal 12 2 4 2 2" xfId="5341"/>
    <cellStyle name="Normal 12 2 4 3" xfId="4763"/>
    <cellStyle name="Normal 12 3" xfId="903"/>
    <cellStyle name="Normal 12 3 2" xfId="2141"/>
    <cellStyle name="Normal 12 3 2 2" xfId="2311"/>
    <cellStyle name="Normal 12 3 2 2 2" xfId="2756"/>
    <cellStyle name="Normal 12 3 2 3" xfId="2613"/>
    <cellStyle name="Normal 12 3 3" xfId="2176"/>
    <cellStyle name="Normal 12 3 3 2" xfId="2623"/>
    <cellStyle name="Normal 12 3 4" xfId="2405"/>
    <cellStyle name="Normal 12 4" xfId="2839"/>
    <cellStyle name="Normal 12 4 2" xfId="3481"/>
    <cellStyle name="Normal 12 4 2 2" xfId="5400"/>
    <cellStyle name="Normal 12 4 3" xfId="4857"/>
    <cellStyle name="Normal 12 5" xfId="1970"/>
    <cellStyle name="Normal 12 5 2" xfId="3361"/>
    <cellStyle name="Normal 12 5 2 2" xfId="5281"/>
    <cellStyle name="Normal 12 5 3" xfId="4649"/>
    <cellStyle name="Normal 120" xfId="3615"/>
    <cellStyle name="Normal 121" xfId="3958"/>
    <cellStyle name="Normal 122" xfId="4436"/>
    <cellStyle name="Normal 123" xfId="5620"/>
    <cellStyle name="Normal 124" xfId="5674"/>
    <cellStyle name="Normal 125" xfId="5621"/>
    <cellStyle name="Normal 126" xfId="5663"/>
    <cellStyle name="Normal 127" xfId="5586"/>
    <cellStyle name="Normal 128" xfId="5602"/>
    <cellStyle name="Normal 129" xfId="4097"/>
    <cellStyle name="Normal 13" xfId="904"/>
    <cellStyle name="Normal 13 2" xfId="905"/>
    <cellStyle name="Normal 13 2 2" xfId="2941"/>
    <cellStyle name="Normal 13 2 2 2" xfId="3542"/>
    <cellStyle name="Normal 13 2 2 2 2" xfId="5461"/>
    <cellStyle name="Normal 13 2 2 3" xfId="4922"/>
    <cellStyle name="Normal 13 2 3" xfId="2482"/>
    <cellStyle name="Normal 13 2 3 2" xfId="3423"/>
    <cellStyle name="Normal 13 2 3 2 2" xfId="5342"/>
    <cellStyle name="Normal 13 2 3 3" xfId="4764"/>
    <cellStyle name="Normal 13 3" xfId="2840"/>
    <cellStyle name="Normal 13 3 2" xfId="3482"/>
    <cellStyle name="Normal 13 3 2 2" xfId="5401"/>
    <cellStyle name="Normal 13 3 3" xfId="4858"/>
    <cellStyle name="Normal 13 4" xfId="1972"/>
    <cellStyle name="Normal 13 4 2" xfId="3362"/>
    <cellStyle name="Normal 13 4 2 2" xfId="5282"/>
    <cellStyle name="Normal 13 4 3" xfId="4650"/>
    <cellStyle name="Normal 13 5" xfId="4206"/>
    <cellStyle name="Normal 13 6" xfId="3824"/>
    <cellStyle name="Normal 130" xfId="4420"/>
    <cellStyle name="Normal 131" xfId="5624"/>
    <cellStyle name="Normal 132" xfId="4424"/>
    <cellStyle name="Normal 133" xfId="5589"/>
    <cellStyle name="Normal 134" xfId="5594"/>
    <cellStyle name="Normal 135" xfId="5670"/>
    <cellStyle name="Normal 136" xfId="5672"/>
    <cellStyle name="Normal 137" xfId="5642"/>
    <cellStyle name="Normal 138" xfId="5682"/>
    <cellStyle name="Normal 139" xfId="5701"/>
    <cellStyle name="Normal 14" xfId="906"/>
    <cellStyle name="Normal 14 2" xfId="1973"/>
    <cellStyle name="Normal 14 2 2" xfId="30"/>
    <cellStyle name="Normal 140" xfId="5640"/>
    <cellStyle name="Normal 141" xfId="5634"/>
    <cellStyle name="Normal 142" xfId="5677"/>
    <cellStyle name="Normal 143" xfId="5616"/>
    <cellStyle name="Normal 144" xfId="4417"/>
    <cellStyle name="Normal 145" xfId="3989"/>
    <cellStyle name="Normal 146" xfId="5703"/>
    <cellStyle name="Normal 147" xfId="5779"/>
    <cellStyle name="Normal 148" xfId="5884"/>
    <cellStyle name="Normal 149" xfId="5837"/>
    <cellStyle name="Normal 15" xfId="39"/>
    <cellStyle name="Normal 15 2" xfId="1565"/>
    <cellStyle name="Normal 15 2 2" xfId="2276"/>
    <cellStyle name="Normal 15 2 2 2" xfId="2721"/>
    <cellStyle name="Normal 15 2 3" xfId="2576"/>
    <cellStyle name="Normal 15 2 4" xfId="2098"/>
    <cellStyle name="Normal 15 3" xfId="907"/>
    <cellStyle name="Normal 15 3 2" xfId="2305"/>
    <cellStyle name="Normal 15 3 2 2" xfId="2750"/>
    <cellStyle name="Normal 15 3 3" xfId="2607"/>
    <cellStyle name="Normal 15 3 4" xfId="2134"/>
    <cellStyle name="Normal 15 4" xfId="1754"/>
    <cellStyle name="Normal 15 4 2" xfId="2650"/>
    <cellStyle name="Normal 15 4 3" xfId="2205"/>
    <cellStyle name="Normal 15 4 4" xfId="3315"/>
    <cellStyle name="Normal 15 4 4 2" xfId="5235"/>
    <cellStyle name="Normal 15 4 5" xfId="4577"/>
    <cellStyle name="Normal 15 5" xfId="2483"/>
    <cellStyle name="Normal 15 6" xfId="1974"/>
    <cellStyle name="Normal 15 7" xfId="3040"/>
    <cellStyle name="Normal 15 7 2" xfId="4969"/>
    <cellStyle name="Normal 15 8" xfId="3646"/>
    <cellStyle name="Normal 15 8 2" xfId="5556"/>
    <cellStyle name="Normal 15 9" xfId="3967"/>
    <cellStyle name="Normal 150" xfId="5910"/>
    <cellStyle name="Normal 151" xfId="5772"/>
    <cellStyle name="Normal 152" xfId="5819"/>
    <cellStyle name="Normal 153" xfId="5812"/>
    <cellStyle name="Normal 154" xfId="5881"/>
    <cellStyle name="Normal 155" xfId="5861"/>
    <cellStyle name="Normal 156" xfId="5809"/>
    <cellStyle name="Normal 157" xfId="5763"/>
    <cellStyle name="Normal 158" xfId="5918"/>
    <cellStyle name="Normal 159" xfId="5784"/>
    <cellStyle name="Normal 16" xfId="908"/>
    <cellStyle name="Normal 16 2" xfId="909"/>
    <cellStyle name="Normal 16 2 2" xfId="1976"/>
    <cellStyle name="Normal 16 2 3" xfId="1975"/>
    <cellStyle name="Normal 16 2 4" xfId="4208"/>
    <cellStyle name="Normal 16 2 5" xfId="3934"/>
    <cellStyle name="Normal 160" xfId="5866"/>
    <cellStyle name="Normal 161" xfId="5917"/>
    <cellStyle name="Normal 162" xfId="5873"/>
    <cellStyle name="Normal 163" xfId="5752"/>
    <cellStyle name="Normal 164" xfId="5720"/>
    <cellStyle name="Normal 165" xfId="5717"/>
    <cellStyle name="Normal 166" xfId="5742"/>
    <cellStyle name="Normal 167" xfId="5810"/>
    <cellStyle name="Normal 168" xfId="5847"/>
    <cellStyle name="Normal 169" xfId="5708"/>
    <cellStyle name="Normal 17" xfId="910"/>
    <cellStyle name="Normal 17 2" xfId="2484"/>
    <cellStyle name="Normal 17 2 2" xfId="2942"/>
    <cellStyle name="Normal 17 2 2 2" xfId="3543"/>
    <cellStyle name="Normal 17 2 2 2 2" xfId="5462"/>
    <cellStyle name="Normal 17 2 2 3" xfId="4923"/>
    <cellStyle name="Normal 17 2 3" xfId="3424"/>
    <cellStyle name="Normal 17 2 3 2" xfId="5343"/>
    <cellStyle name="Normal 17 2 4" xfId="4765"/>
    <cellStyle name="Normal 17 3" xfId="2319"/>
    <cellStyle name="Normal 17 4" xfId="2841"/>
    <cellStyle name="Normal 17 4 2" xfId="3483"/>
    <cellStyle name="Normal 17 4 2 2" xfId="5402"/>
    <cellStyle name="Normal 17 4 3" xfId="4859"/>
    <cellStyle name="Normal 17 5" xfId="1977"/>
    <cellStyle name="Normal 17 5 2" xfId="3363"/>
    <cellStyle name="Normal 17 5 2 2" xfId="5283"/>
    <cellStyle name="Normal 17 5 3" xfId="4652"/>
    <cellStyle name="Normal 170" xfId="5785"/>
    <cellStyle name="Normal 171" xfId="5920"/>
    <cellStyle name="Normal 172" xfId="5893"/>
    <cellStyle name="Normal 173" xfId="5811"/>
    <cellStyle name="Normal 174" xfId="5727"/>
    <cellStyle name="Normal 175" xfId="5786"/>
    <cellStyle name="Normal 176" xfId="5840"/>
    <cellStyle name="Normal 177" xfId="5835"/>
    <cellStyle name="Normal 178" xfId="5711"/>
    <cellStyle name="Normal 179" xfId="5800"/>
    <cellStyle name="Normal 18" xfId="911"/>
    <cellStyle name="Normal 18 2" xfId="1978"/>
    <cellStyle name="Normal 180" xfId="5879"/>
    <cellStyle name="Normal 181" xfId="5862"/>
    <cellStyle name="Normal 182" xfId="5774"/>
    <cellStyle name="Normal 183" xfId="5721"/>
    <cellStyle name="Normal 184" xfId="5849"/>
    <cellStyle name="Normal 185" xfId="5892"/>
    <cellStyle name="Normal 186" xfId="5766"/>
    <cellStyle name="Normal 187" xfId="5922"/>
    <cellStyle name="Normal 188" xfId="5921"/>
    <cellStyle name="Normal 189" xfId="5897"/>
    <cellStyle name="Normal 19" xfId="912"/>
    <cellStyle name="Normal 19 2" xfId="1874"/>
    <cellStyle name="Normal 19 3" xfId="913"/>
    <cellStyle name="Normal 19 4 2" xfId="914"/>
    <cellStyle name="Normal 19 8" xfId="915"/>
    <cellStyle name="Normal 190" xfId="3656"/>
    <cellStyle name="Normal 191" xfId="4411"/>
    <cellStyle name="Normal 192" xfId="6090"/>
    <cellStyle name="Normal 193" xfId="3931"/>
    <cellStyle name="Normal 194" xfId="3823"/>
    <cellStyle name="Normal 2" xfId="12"/>
    <cellStyle name="Normal 2 10" xfId="916"/>
    <cellStyle name="Normal 2 10 10 4" xfId="1981"/>
    <cellStyle name="Normal 2 10 10 4 2" xfId="2486"/>
    <cellStyle name="Normal 2 10 10 4 2 2" xfId="2944"/>
    <cellStyle name="Normal 2 10 10 4 2 2 2" xfId="3545"/>
    <cellStyle name="Normal 2 10 10 4 2 2 2 2" xfId="5464"/>
    <cellStyle name="Normal 2 10 10 4 2 2 3" xfId="4925"/>
    <cellStyle name="Normal 2 10 10 4 2 3" xfId="3426"/>
    <cellStyle name="Normal 2 10 10 4 2 3 2" xfId="5345"/>
    <cellStyle name="Normal 2 10 10 4 2 4" xfId="4767"/>
    <cellStyle name="Normal 2 10 10 4 3" xfId="2843"/>
    <cellStyle name="Normal 2 10 10 4 3 2" xfId="3485"/>
    <cellStyle name="Normal 2 10 10 4 3 2 2" xfId="5404"/>
    <cellStyle name="Normal 2 10 10 4 3 3" xfId="4861"/>
    <cellStyle name="Normal 2 10 10 4 4" xfId="3365"/>
    <cellStyle name="Normal 2 10 10 4 4 2" xfId="5285"/>
    <cellStyle name="Normal 2 10 10 4 5" xfId="4654"/>
    <cellStyle name="Normal 2 10 2" xfId="917"/>
    <cellStyle name="Normal 2 10 2 2" xfId="1671"/>
    <cellStyle name="Normal 2 10 2 2 2" xfId="918"/>
    <cellStyle name="Normal 2 10 2 2 2 2" xfId="1672"/>
    <cellStyle name="Normal 2 10 2 2 2 2 2" xfId="919"/>
    <cellStyle name="Normal 2 10 2 2 2 2 2 10" xfId="920"/>
    <cellStyle name="Normal 2 10 2 2 2 2 2 10 2" xfId="1674"/>
    <cellStyle name="Normal 2 10 2 2 2 2 2 10 2 2" xfId="3241"/>
    <cellStyle name="Normal 2 10 2 2 2 2 2 10 2 2 2" xfId="5161"/>
    <cellStyle name="Normal 2 10 2 2 2 2 2 10 2 3" xfId="4503"/>
    <cellStyle name="Normal 2 10 2 2 2 2 2 10 3" xfId="3109"/>
    <cellStyle name="Normal 2 10 2 2 2 2 2 10 3 2" xfId="5038"/>
    <cellStyle name="Normal 2 10 2 2 2 2 2 10 4" xfId="4214"/>
    <cellStyle name="Normal 2 10 2 2 2 2 2 11" xfId="1673"/>
    <cellStyle name="Normal 2 10 2 2 2 2 2 11 2" xfId="3240"/>
    <cellStyle name="Normal 2 10 2 2 2 2 2 11 2 2" xfId="5160"/>
    <cellStyle name="Normal 2 10 2 2 2 2 2 11 3" xfId="4502"/>
    <cellStyle name="Normal 2 10 2 2 2 2 2 12" xfId="3108"/>
    <cellStyle name="Normal 2 10 2 2 2 2 2 12 2" xfId="5037"/>
    <cellStyle name="Normal 2 10 2 2 2 2 2 13" xfId="4213"/>
    <cellStyle name="Normal 2 10 2 2 2 2 2 2" xfId="921"/>
    <cellStyle name="Normal 2 10 2 2 2 2 2 2 2" xfId="922"/>
    <cellStyle name="Normal 2 10 2 2 2 2 2 2 2 2" xfId="923"/>
    <cellStyle name="Normal 2 10 2 2 2 2 2 2 2 2 2" xfId="1677"/>
    <cellStyle name="Normal 2 10 2 2 2 2 2 2 2 2 2 2" xfId="3244"/>
    <cellStyle name="Normal 2 10 2 2 2 2 2 2 2 2 2 2 2" xfId="5164"/>
    <cellStyle name="Normal 2 10 2 2 2 2 2 2 2 2 2 3" xfId="4506"/>
    <cellStyle name="Normal 2 10 2 2 2 2 2 2 2 2 3" xfId="3112"/>
    <cellStyle name="Normal 2 10 2 2 2 2 2 2 2 2 3 2" xfId="5041"/>
    <cellStyle name="Normal 2 10 2 2 2 2 2 2 2 2 4" xfId="4217"/>
    <cellStyle name="Normal 2 10 2 2 2 2 2 2 2 3" xfId="924"/>
    <cellStyle name="Normal 2 10 2 2 2 2 2 2 2 3 2" xfId="1678"/>
    <cellStyle name="Normal 2 10 2 2 2 2 2 2 2 3 2 2" xfId="3245"/>
    <cellStyle name="Normal 2 10 2 2 2 2 2 2 2 3 2 2 2" xfId="5165"/>
    <cellStyle name="Normal 2 10 2 2 2 2 2 2 2 3 2 3" xfId="4507"/>
    <cellStyle name="Normal 2 10 2 2 2 2 2 2 2 3 3" xfId="3113"/>
    <cellStyle name="Normal 2 10 2 2 2 2 2 2 2 3 3 2" xfId="5042"/>
    <cellStyle name="Normal 2 10 2 2 2 2 2 2 2 3 4" xfId="4218"/>
    <cellStyle name="Normal 2 10 2 2 2 2 2 2 2 4" xfId="1676"/>
    <cellStyle name="Normal 2 10 2 2 2 2 2 2 2 4 2" xfId="3243"/>
    <cellStyle name="Normal 2 10 2 2 2 2 2 2 2 4 2 2" xfId="5163"/>
    <cellStyle name="Normal 2 10 2 2 2 2 2 2 2 4 3" xfId="4505"/>
    <cellStyle name="Normal 2 10 2 2 2 2 2 2 2 5" xfId="3111"/>
    <cellStyle name="Normal 2 10 2 2 2 2 2 2 2 5 2" xfId="5040"/>
    <cellStyle name="Normal 2 10 2 2 2 2 2 2 2 6" xfId="4216"/>
    <cellStyle name="Normal 2 10 2 2 2 2 2 2 3" xfId="925"/>
    <cellStyle name="Normal 2 10 2 2 2 2 2 2 3 2" xfId="1679"/>
    <cellStyle name="Normal 2 10 2 2 2 2 2 2 3 2 2" xfId="3246"/>
    <cellStyle name="Normal 2 10 2 2 2 2 2 2 3 2 2 2" xfId="5166"/>
    <cellStyle name="Normal 2 10 2 2 2 2 2 2 3 2 3" xfId="4508"/>
    <cellStyle name="Normal 2 10 2 2 2 2 2 2 3 3" xfId="3114"/>
    <cellStyle name="Normal 2 10 2 2 2 2 2 2 3 3 2" xfId="5043"/>
    <cellStyle name="Normal 2 10 2 2 2 2 2 2 3 4" xfId="4219"/>
    <cellStyle name="Normal 2 10 2 2 2 2 2 2 4" xfId="1675"/>
    <cellStyle name="Normal 2 10 2 2 2 2 2 2 4 2" xfId="3242"/>
    <cellStyle name="Normal 2 10 2 2 2 2 2 2 4 2 2" xfId="5162"/>
    <cellStyle name="Normal 2 10 2 2 2 2 2 2 4 3" xfId="4504"/>
    <cellStyle name="Normal 2 10 2 2 2 2 2 2 5" xfId="3110"/>
    <cellStyle name="Normal 2 10 2 2 2 2 2 2 5 2" xfId="5039"/>
    <cellStyle name="Normal 2 10 2 2 2 2 2 2 6" xfId="4215"/>
    <cellStyle name="Normal 2 10 2 2 2 2 2 3" xfId="926"/>
    <cellStyle name="Normal 2 10 2 2 2 2 2 3 2" xfId="927"/>
    <cellStyle name="Normal 2 10 2 2 2 2 2 3 2 2" xfId="1681"/>
    <cellStyle name="Normal 2 10 2 2 2 2 2 3 2 2 2" xfId="3248"/>
    <cellStyle name="Normal 2 10 2 2 2 2 2 3 2 2 2 2" xfId="5168"/>
    <cellStyle name="Normal 2 10 2 2 2 2 2 3 2 2 3" xfId="4510"/>
    <cellStyle name="Normal 2 10 2 2 2 2 2 3 2 3" xfId="3116"/>
    <cellStyle name="Normal 2 10 2 2 2 2 2 3 2 3 2" xfId="5045"/>
    <cellStyle name="Normal 2 10 2 2 2 2 2 3 2 4" xfId="4221"/>
    <cellStyle name="Normal 2 10 2 2 2 2 2 3 3" xfId="1680"/>
    <cellStyle name="Normal 2 10 2 2 2 2 2 3 3 2" xfId="3247"/>
    <cellStyle name="Normal 2 10 2 2 2 2 2 3 3 2 2" xfId="5167"/>
    <cellStyle name="Normal 2 10 2 2 2 2 2 3 3 3" xfId="4509"/>
    <cellStyle name="Normal 2 10 2 2 2 2 2 3 4" xfId="3115"/>
    <cellStyle name="Normal 2 10 2 2 2 2 2 3 4 2" xfId="5044"/>
    <cellStyle name="Normal 2 10 2 2 2 2 2 3 5" xfId="4220"/>
    <cellStyle name="Normal 2 10 2 2 2 2 2 4" xfId="928"/>
    <cellStyle name="Normal 2 10 2 2 2 2 2 4 2" xfId="929"/>
    <cellStyle name="Normal 2 10 2 2 2 2 2 4 2 2" xfId="1683"/>
    <cellStyle name="Normal 2 10 2 2 2 2 2 4 2 2 2" xfId="3250"/>
    <cellStyle name="Normal 2 10 2 2 2 2 2 4 2 2 2 2" xfId="5170"/>
    <cellStyle name="Normal 2 10 2 2 2 2 2 4 2 2 3" xfId="4512"/>
    <cellStyle name="Normal 2 10 2 2 2 2 2 4 2 3" xfId="3118"/>
    <cellStyle name="Normal 2 10 2 2 2 2 2 4 2 3 2" xfId="5047"/>
    <cellStyle name="Normal 2 10 2 2 2 2 2 4 2 4" xfId="4223"/>
    <cellStyle name="Normal 2 10 2 2 2 2 2 4 3" xfId="930"/>
    <cellStyle name="Normal 2 10 2 2 2 2 2 4 3 2" xfId="1684"/>
    <cellStyle name="Normal 2 10 2 2 2 2 2 4 3 2 2" xfId="3251"/>
    <cellStyle name="Normal 2 10 2 2 2 2 2 4 3 2 2 2" xfId="5171"/>
    <cellStyle name="Normal 2 10 2 2 2 2 2 4 3 2 3" xfId="4513"/>
    <cellStyle name="Normal 2 10 2 2 2 2 2 4 3 3" xfId="3119"/>
    <cellStyle name="Normal 2 10 2 2 2 2 2 4 3 3 2" xfId="5048"/>
    <cellStyle name="Normal 2 10 2 2 2 2 2 4 3 4" xfId="4224"/>
    <cellStyle name="Normal 2 10 2 2 2 2 2 4 4" xfId="931"/>
    <cellStyle name="Normal 2 10 2 2 2 2 2 4 4 2" xfId="1685"/>
    <cellStyle name="Normal 2 10 2 2 2 2 2 4 4 2 2" xfId="3252"/>
    <cellStyle name="Normal 2 10 2 2 2 2 2 4 4 2 2 2" xfId="5172"/>
    <cellStyle name="Normal 2 10 2 2 2 2 2 4 4 2 3" xfId="4514"/>
    <cellStyle name="Normal 2 10 2 2 2 2 2 4 4 3" xfId="3120"/>
    <cellStyle name="Normal 2 10 2 2 2 2 2 4 4 3 2" xfId="5049"/>
    <cellStyle name="Normal 2 10 2 2 2 2 2 4 4 4" xfId="4225"/>
    <cellStyle name="Normal 2 10 2 2 2 2 2 4 5" xfId="932"/>
    <cellStyle name="Normal 2 10 2 2 2 2 2 4 5 2" xfId="1686"/>
    <cellStyle name="Normal 2 10 2 2 2 2 2 4 5 2 2" xfId="3253"/>
    <cellStyle name="Normal 2 10 2 2 2 2 2 4 5 2 2 2" xfId="5173"/>
    <cellStyle name="Normal 2 10 2 2 2 2 2 4 5 2 3" xfId="4515"/>
    <cellStyle name="Normal 2 10 2 2 2 2 2 4 5 3" xfId="3121"/>
    <cellStyle name="Normal 2 10 2 2 2 2 2 4 5 3 2" xfId="5050"/>
    <cellStyle name="Normal 2 10 2 2 2 2 2 4 5 4" xfId="4226"/>
    <cellStyle name="Normal 2 10 2 2 2 2 2 4 6" xfId="1682"/>
    <cellStyle name="Normal 2 10 2 2 2 2 2 4 6 2" xfId="3249"/>
    <cellStyle name="Normal 2 10 2 2 2 2 2 4 6 2 2" xfId="5169"/>
    <cellStyle name="Normal 2 10 2 2 2 2 2 4 6 3" xfId="4511"/>
    <cellStyle name="Normal 2 10 2 2 2 2 2 4 7" xfId="3117"/>
    <cellStyle name="Normal 2 10 2 2 2 2 2 4 7 2" xfId="5046"/>
    <cellStyle name="Normal 2 10 2 2 2 2 2 4 8" xfId="4222"/>
    <cellStyle name="Normal 2 10 2 2 2 2 2 5" xfId="933"/>
    <cellStyle name="Normal 2 10 2 2 2 2 2 5 2" xfId="1687"/>
    <cellStyle name="Normal 2 10 2 2 2 2 2 5 2 2" xfId="3254"/>
    <cellStyle name="Normal 2 10 2 2 2 2 2 5 2 2 2" xfId="5174"/>
    <cellStyle name="Normal 2 10 2 2 2 2 2 5 2 3" xfId="4516"/>
    <cellStyle name="Normal 2 10 2 2 2 2 2 5 3" xfId="3122"/>
    <cellStyle name="Normal 2 10 2 2 2 2 2 5 3 2" xfId="5051"/>
    <cellStyle name="Normal 2 10 2 2 2 2 2 5 4" xfId="4227"/>
    <cellStyle name="Normal 2 10 2 2 2 2 2 6" xfId="934"/>
    <cellStyle name="Normal 2 10 2 2 2 2 2 6 2" xfId="935"/>
    <cellStyle name="Normal 2 10 2 2 2 2 2 6 2 2" xfId="1689"/>
    <cellStyle name="Normal 2 10 2 2 2 2 2 6 2 2 2" xfId="3256"/>
    <cellStyle name="Normal 2 10 2 2 2 2 2 6 2 2 2 2" xfId="5176"/>
    <cellStyle name="Normal 2 10 2 2 2 2 2 6 2 2 3" xfId="4518"/>
    <cellStyle name="Normal 2 10 2 2 2 2 2 6 2 3" xfId="3124"/>
    <cellStyle name="Normal 2 10 2 2 2 2 2 6 2 3 2" xfId="5053"/>
    <cellStyle name="Normal 2 10 2 2 2 2 2 6 2 4" xfId="4229"/>
    <cellStyle name="Normal 2 10 2 2 2 2 2 6 3" xfId="1688"/>
    <cellStyle name="Normal 2 10 2 2 2 2 2 6 3 2" xfId="3255"/>
    <cellStyle name="Normal 2 10 2 2 2 2 2 6 3 2 2" xfId="5175"/>
    <cellStyle name="Normal 2 10 2 2 2 2 2 6 3 3" xfId="4517"/>
    <cellStyle name="Normal 2 10 2 2 2 2 2 6 4" xfId="3123"/>
    <cellStyle name="Normal 2 10 2 2 2 2 2 6 4 2" xfId="5052"/>
    <cellStyle name="Normal 2 10 2 2 2 2 2 6 5" xfId="4228"/>
    <cellStyle name="Normal 2 10 2 2 2 2 2 7" xfId="936"/>
    <cellStyle name="Normal 2 10 2 2 2 2 2 7 2" xfId="1690"/>
    <cellStyle name="Normal 2 10 2 2 2 2 2 7 2 2" xfId="3257"/>
    <cellStyle name="Normal 2 10 2 2 2 2 2 7 2 2 2" xfId="5177"/>
    <cellStyle name="Normal 2 10 2 2 2 2 2 7 2 3" xfId="4519"/>
    <cellStyle name="Normal 2 10 2 2 2 2 2 7 3" xfId="3125"/>
    <cellStyle name="Normal 2 10 2 2 2 2 2 7 3 2" xfId="5054"/>
    <cellStyle name="Normal 2 10 2 2 2 2 2 7 4" xfId="4230"/>
    <cellStyle name="Normal 2 10 2 2 2 2 2 8" xfId="937"/>
    <cellStyle name="Normal 2 10 2 2 2 2 2 8 2" xfId="938"/>
    <cellStyle name="Normal 2 10 2 2 2 2 2 8 2 2" xfId="1692"/>
    <cellStyle name="Normal 2 10 2 2 2 2 2 8 2 2 2" xfId="3259"/>
    <cellStyle name="Normal 2 10 2 2 2 2 2 8 2 2 2 2" xfId="5179"/>
    <cellStyle name="Normal 2 10 2 2 2 2 2 8 2 2 3" xfId="4521"/>
    <cellStyle name="Normal 2 10 2 2 2 2 2 8 2 3" xfId="3127"/>
    <cellStyle name="Normal 2 10 2 2 2 2 2 8 2 3 2" xfId="5056"/>
    <cellStyle name="Normal 2 10 2 2 2 2 2 8 2 4" xfId="4232"/>
    <cellStyle name="Normal 2 10 2 2 2 2 2 8 3" xfId="939"/>
    <cellStyle name="Normal 2 10 2 2 2 2 2 8 3 2" xfId="1693"/>
    <cellStyle name="Normal 2 10 2 2 2 2 2 8 3 2 2" xfId="3260"/>
    <cellStyle name="Normal 2 10 2 2 2 2 2 8 3 2 2 2" xfId="5180"/>
    <cellStyle name="Normal 2 10 2 2 2 2 2 8 3 2 3" xfId="4522"/>
    <cellStyle name="Normal 2 10 2 2 2 2 2 8 3 3" xfId="3128"/>
    <cellStyle name="Normal 2 10 2 2 2 2 2 8 3 3 2" xfId="5057"/>
    <cellStyle name="Normal 2 10 2 2 2 2 2 8 3 4" xfId="4233"/>
    <cellStyle name="Normal 2 10 2 2 2 2 2 8 4" xfId="940"/>
    <cellStyle name="Normal 2 10 2 2 2 2 2 8 4 2" xfId="1694"/>
    <cellStyle name="Normal 2 10 2 2 2 2 2 8 4 2 2" xfId="3261"/>
    <cellStyle name="Normal 2 10 2 2 2 2 2 8 4 2 2 2" xfId="5181"/>
    <cellStyle name="Normal 2 10 2 2 2 2 2 8 4 2 3" xfId="4523"/>
    <cellStyle name="Normal 2 10 2 2 2 2 2 8 4 3" xfId="3129"/>
    <cellStyle name="Normal 2 10 2 2 2 2 2 8 4 3 2" xfId="5058"/>
    <cellStyle name="Normal 2 10 2 2 2 2 2 8 4 4" xfId="4234"/>
    <cellStyle name="Normal 2 10 2 2 2 2 2 8 5" xfId="1691"/>
    <cellStyle name="Normal 2 10 2 2 2 2 2 8 5 2" xfId="3258"/>
    <cellStyle name="Normal 2 10 2 2 2 2 2 8 5 2 2" xfId="5178"/>
    <cellStyle name="Normal 2 10 2 2 2 2 2 8 5 3" xfId="4520"/>
    <cellStyle name="Normal 2 10 2 2 2 2 2 8 6" xfId="3126"/>
    <cellStyle name="Normal 2 10 2 2 2 2 2 8 6 2" xfId="5055"/>
    <cellStyle name="Normal 2 10 2 2 2 2 2 8 7" xfId="4231"/>
    <cellStyle name="Normal 2 10 2 2 2 2 2 9" xfId="941"/>
    <cellStyle name="Normal 2 10 2 2 2 2 2 9 2" xfId="1695"/>
    <cellStyle name="Normal 2 10 2 2 2 2 2 9 2 2" xfId="3262"/>
    <cellStyle name="Normal 2 10 2 2 2 2 2 9 2 2 2" xfId="5182"/>
    <cellStyle name="Normal 2 10 2 2 2 2 2 9 2 3" xfId="4524"/>
    <cellStyle name="Normal 2 10 2 2 2 2 2 9 3" xfId="3130"/>
    <cellStyle name="Normal 2 10 2 2 2 2 2 9 3 2" xfId="5059"/>
    <cellStyle name="Normal 2 10 2 2 2 2 2 9 4" xfId="4235"/>
    <cellStyle name="Normal 2 10 2 2 2 2 3" xfId="3239"/>
    <cellStyle name="Normal 2 10 2 2 2 2 3 2" xfId="5159"/>
    <cellStyle name="Normal 2 10 2 2 2 2 4" xfId="4501"/>
    <cellStyle name="Normal 2 10 2 2 2 3" xfId="942"/>
    <cellStyle name="Normal 2 10 2 2 2 3 2" xfId="943"/>
    <cellStyle name="Normal 2 10 2 2 2 3 2 2" xfId="1697"/>
    <cellStyle name="Normal 2 10 2 2 2 3 2 2 2" xfId="3264"/>
    <cellStyle name="Normal 2 10 2 2 2 3 2 2 2 2" xfId="5184"/>
    <cellStyle name="Normal 2 10 2 2 2 3 2 2 3" xfId="4526"/>
    <cellStyle name="Normal 2 10 2 2 2 3 2 3" xfId="3132"/>
    <cellStyle name="Normal 2 10 2 2 2 3 2 3 2" xfId="5061"/>
    <cellStyle name="Normal 2 10 2 2 2 3 2 4" xfId="4237"/>
    <cellStyle name="Normal 2 10 2 2 2 3 3" xfId="1696"/>
    <cellStyle name="Normal 2 10 2 2 2 3 3 2" xfId="3263"/>
    <cellStyle name="Normal 2 10 2 2 2 3 3 2 2" xfId="5183"/>
    <cellStyle name="Normal 2 10 2 2 2 3 3 3" xfId="4525"/>
    <cellStyle name="Normal 2 10 2 2 2 3 4" xfId="3131"/>
    <cellStyle name="Normal 2 10 2 2 2 3 4 2" xfId="5060"/>
    <cellStyle name="Normal 2 10 2 2 2 3 5" xfId="4236"/>
    <cellStyle name="Normal 2 10 2 2 2 4" xfId="3107"/>
    <cellStyle name="Normal 2 10 2 2 2 4 2" xfId="5036"/>
    <cellStyle name="Normal 2 10 2 2 2 5" xfId="4212"/>
    <cellStyle name="Normal 2 10 2 2 3" xfId="944"/>
    <cellStyle name="Normal 2 10 2 2 3 2" xfId="1698"/>
    <cellStyle name="Normal 2 10 2 2 3 2 2" xfId="3265"/>
    <cellStyle name="Normal 2 10 2 2 3 2 2 2" xfId="5185"/>
    <cellStyle name="Normal 2 10 2 2 3 2 3" xfId="4527"/>
    <cellStyle name="Normal 2 10 2 2 3 3" xfId="3133"/>
    <cellStyle name="Normal 2 10 2 2 3 3 2" xfId="5062"/>
    <cellStyle name="Normal 2 10 2 2 3 4" xfId="4238"/>
    <cellStyle name="Normal 2 10 2 2 4" xfId="3238"/>
    <cellStyle name="Normal 2 10 2 2 4 2" xfId="5158"/>
    <cellStyle name="Normal 2 10 2 2 5" xfId="4500"/>
    <cellStyle name="Normal 2 10 2 3" xfId="1982"/>
    <cellStyle name="Normal 2 10 2 4" xfId="945"/>
    <cellStyle name="Normal 2 10 2 4 2" xfId="946"/>
    <cellStyle name="Normal 2 10 2 4 2 2" xfId="1700"/>
    <cellStyle name="Normal 2 10 2 4 2 2 2" xfId="3267"/>
    <cellStyle name="Normal 2 10 2 4 2 2 2 2" xfId="5187"/>
    <cellStyle name="Normal 2 10 2 4 2 2 3" xfId="4529"/>
    <cellStyle name="Normal 2 10 2 4 2 3" xfId="3135"/>
    <cellStyle name="Normal 2 10 2 4 2 3 2" xfId="5064"/>
    <cellStyle name="Normal 2 10 2 4 2 4" xfId="4240"/>
    <cellStyle name="Normal 2 10 2 4 3" xfId="1699"/>
    <cellStyle name="Normal 2 10 2 4 3 2" xfId="3266"/>
    <cellStyle name="Normal 2 10 2 4 3 2 2" xfId="5186"/>
    <cellStyle name="Normal 2 10 2 4 3 3" xfId="4528"/>
    <cellStyle name="Normal 2 10 2 4 4" xfId="3134"/>
    <cellStyle name="Normal 2 10 2 4 4 2" xfId="5063"/>
    <cellStyle name="Normal 2 10 2 4 5" xfId="4239"/>
    <cellStyle name="Normal 2 10 2 5" xfId="3106"/>
    <cellStyle name="Normal 2 10 2 5 2" xfId="5035"/>
    <cellStyle name="Normal 2 10 2 6" xfId="4211"/>
    <cellStyle name="Normal 2 10 3" xfId="2485"/>
    <cellStyle name="Normal 2 10 3 2" xfId="2943"/>
    <cellStyle name="Normal 2 10 3 2 2" xfId="3544"/>
    <cellStyle name="Normal 2 10 3 2 2 2" xfId="5463"/>
    <cellStyle name="Normal 2 10 3 2 3" xfId="4924"/>
    <cellStyle name="Normal 2 10 3 3" xfId="3425"/>
    <cellStyle name="Normal 2 10 3 3 2" xfId="5344"/>
    <cellStyle name="Normal 2 10 3 4" xfId="4766"/>
    <cellStyle name="Normal 2 10 4" xfId="2842"/>
    <cellStyle name="Normal 2 10 4 2" xfId="947"/>
    <cellStyle name="Normal 2 10 4 2 2" xfId="1701"/>
    <cellStyle name="Normal 2 10 4 2 2 2" xfId="3268"/>
    <cellStyle name="Normal 2 10 4 2 2 2 2" xfId="5188"/>
    <cellStyle name="Normal 2 10 4 2 2 3" xfId="4530"/>
    <cellStyle name="Normal 2 10 4 2 3" xfId="3136"/>
    <cellStyle name="Normal 2 10 4 2 3 2" xfId="5065"/>
    <cellStyle name="Normal 2 10 4 2 4" xfId="4241"/>
    <cellStyle name="Normal 2 10 4 3" xfId="3484"/>
    <cellStyle name="Normal 2 10 4 3 2" xfId="5403"/>
    <cellStyle name="Normal 2 10 4 4" xfId="4860"/>
    <cellStyle name="Normal 2 10 5" xfId="948"/>
    <cellStyle name="Normal 2 10 5 2" xfId="1702"/>
    <cellStyle name="Normal 2 10 5 2 2" xfId="949"/>
    <cellStyle name="Normal 2 10 5 2 2 2" xfId="1703"/>
    <cellStyle name="Normal 2 10 5 2 2 2 2" xfId="3270"/>
    <cellStyle name="Normal 2 10 5 2 2 2 2 2" xfId="5190"/>
    <cellStyle name="Normal 2 10 5 2 2 2 3" xfId="4532"/>
    <cellStyle name="Normal 2 10 5 2 2 3" xfId="3138"/>
    <cellStyle name="Normal 2 10 5 2 2 3 2" xfId="5067"/>
    <cellStyle name="Normal 2 10 5 2 2 4" xfId="4243"/>
    <cellStyle name="Normal 2 10 5 2 3" xfId="3269"/>
    <cellStyle name="Normal 2 10 5 2 3 2" xfId="5189"/>
    <cellStyle name="Normal 2 10 5 2 4" xfId="4531"/>
    <cellStyle name="Normal 2 10 5 3" xfId="3137"/>
    <cellStyle name="Normal 2 10 5 3 2" xfId="5066"/>
    <cellStyle name="Normal 2 10 5 4" xfId="4242"/>
    <cellStyle name="Normal 2 10 6" xfId="950"/>
    <cellStyle name="Normal 2 10 6 2" xfId="951"/>
    <cellStyle name="Normal 2 10 6 2 2" xfId="1705"/>
    <cellStyle name="Normal 2 10 6 2 2 2" xfId="952"/>
    <cellStyle name="Normal 2 10 6 2 2 2 2" xfId="1706"/>
    <cellStyle name="Normal 2 10 6 2 2 2 2 2" xfId="3273"/>
    <cellStyle name="Normal 2 10 6 2 2 2 2 2 2" xfId="5193"/>
    <cellStyle name="Normal 2 10 6 2 2 2 2 3" xfId="4535"/>
    <cellStyle name="Normal 2 10 6 2 2 2 3" xfId="3141"/>
    <cellStyle name="Normal 2 10 6 2 2 2 3 2" xfId="5070"/>
    <cellStyle name="Normal 2 10 6 2 2 2 4" xfId="4246"/>
    <cellStyle name="Normal 2 10 6 2 2 3" xfId="3272"/>
    <cellStyle name="Normal 2 10 6 2 2 3 2" xfId="5192"/>
    <cellStyle name="Normal 2 10 6 2 2 4" xfId="4534"/>
    <cellStyle name="Normal 2 10 6 2 3" xfId="3140"/>
    <cellStyle name="Normal 2 10 6 2 3 2" xfId="5069"/>
    <cellStyle name="Normal 2 10 6 2 4" xfId="4245"/>
    <cellStyle name="Normal 2 10 6 3" xfId="1704"/>
    <cellStyle name="Normal 2 10 6 3 2" xfId="953"/>
    <cellStyle name="Normal 2 10 6 3 2 2" xfId="1707"/>
    <cellStyle name="Normal 2 10 6 3 2 2 2" xfId="3274"/>
    <cellStyle name="Normal 2 10 6 3 2 2 2 2" xfId="5194"/>
    <cellStyle name="Normal 2 10 6 3 2 2 3" xfId="4536"/>
    <cellStyle name="Normal 2 10 6 3 2 3" xfId="3142"/>
    <cellStyle name="Normal 2 10 6 3 2 3 2" xfId="5071"/>
    <cellStyle name="Normal 2 10 6 3 2 4" xfId="4247"/>
    <cellStyle name="Normal 2 10 6 3 3" xfId="3271"/>
    <cellStyle name="Normal 2 10 6 3 3 2" xfId="5191"/>
    <cellStyle name="Normal 2 10 6 3 4" xfId="4533"/>
    <cellStyle name="Normal 2 10 6 4" xfId="3139"/>
    <cellStyle name="Normal 2 10 6 4 2" xfId="5068"/>
    <cellStyle name="Normal 2 10 6 5" xfId="4244"/>
    <cellStyle name="Normal 2 10 7" xfId="1980"/>
    <cellStyle name="Normal 2 10 7 2" xfId="3364"/>
    <cellStyle name="Normal 2 10 7 2 2" xfId="5284"/>
    <cellStyle name="Normal 2 10 7 3" xfId="4653"/>
    <cellStyle name="Normal 2 10 8" xfId="4210"/>
    <cellStyle name="Normal 2 10 9" xfId="3949"/>
    <cellStyle name="Normal 2 11" xfId="954"/>
    <cellStyle name="Normal 2 11 2" xfId="2487"/>
    <cellStyle name="Normal 2 11 2 2" xfId="2945"/>
    <cellStyle name="Normal 2 11 2 2 2" xfId="3546"/>
    <cellStyle name="Normal 2 11 2 2 2 2" xfId="5465"/>
    <cellStyle name="Normal 2 11 2 2 3" xfId="4926"/>
    <cellStyle name="Normal 2 11 2 3" xfId="3427"/>
    <cellStyle name="Normal 2 11 2 3 2" xfId="5346"/>
    <cellStyle name="Normal 2 11 2 4" xfId="4768"/>
    <cellStyle name="Normal 2 11 3" xfId="2844"/>
    <cellStyle name="Normal 2 11 3 2" xfId="3486"/>
    <cellStyle name="Normal 2 11 3 2 2" xfId="5405"/>
    <cellStyle name="Normal 2 11 3 3" xfId="4862"/>
    <cellStyle name="Normal 2 11 4" xfId="1983"/>
    <cellStyle name="Normal 2 11 4 2" xfId="3366"/>
    <cellStyle name="Normal 2 11 4 2 2" xfId="5286"/>
    <cellStyle name="Normal 2 11 4 3" xfId="4655"/>
    <cellStyle name="Normal 2 12" xfId="1979"/>
    <cellStyle name="Normal 2 13" xfId="2410"/>
    <cellStyle name="Normal 2 13 2" xfId="2909"/>
    <cellStyle name="Normal 2 13 2 2" xfId="3511"/>
    <cellStyle name="Normal 2 13 2 2 2" xfId="5430"/>
    <cellStyle name="Normal 2 13 2 3" xfId="4891"/>
    <cellStyle name="Normal 2 13 3" xfId="3392"/>
    <cellStyle name="Normal 2 13 3 2" xfId="5311"/>
    <cellStyle name="Normal 2 13 4" xfId="4725"/>
    <cellStyle name="Normal 2 14" xfId="955"/>
    <cellStyle name="Normal 2 14 2" xfId="1708"/>
    <cellStyle name="Normal 2 14 2 2" xfId="3275"/>
    <cellStyle name="Normal 2 14 2 2 2" xfId="5195"/>
    <cellStyle name="Normal 2 14 2 3" xfId="4537"/>
    <cellStyle name="Normal 2 14 3" xfId="2802"/>
    <cellStyle name="Normal 2 14 3 2" xfId="3451"/>
    <cellStyle name="Normal 2 14 3 2 2" xfId="5370"/>
    <cellStyle name="Normal 2 14 3 3" xfId="4824"/>
    <cellStyle name="Normal 2 14 4" xfId="3143"/>
    <cellStyle name="Normal 2 14 4 2" xfId="5072"/>
    <cellStyle name="Normal 2 14 5" xfId="4248"/>
    <cellStyle name="Normal 2 15" xfId="1984"/>
    <cellStyle name="Normal 2 15 2" xfId="1985"/>
    <cellStyle name="Normal 2 15 3" xfId="2488"/>
    <cellStyle name="Normal 2 15 3 2" xfId="2946"/>
    <cellStyle name="Normal 2 15 3 2 2" xfId="3547"/>
    <cellStyle name="Normal 2 15 3 2 2 2" xfId="5466"/>
    <cellStyle name="Normal 2 15 3 2 3" xfId="4927"/>
    <cellStyle name="Normal 2 15 3 3" xfId="3428"/>
    <cellStyle name="Normal 2 15 3 3 2" xfId="5347"/>
    <cellStyle name="Normal 2 15 3 4" xfId="4769"/>
    <cellStyle name="Normal 2 15 4" xfId="2845"/>
    <cellStyle name="Normal 2 15 4 2" xfId="3487"/>
    <cellStyle name="Normal 2 15 4 2 2" xfId="5406"/>
    <cellStyle name="Normal 2 15 4 3" xfId="4863"/>
    <cellStyle name="Normal 2 15 5" xfId="3367"/>
    <cellStyle name="Normal 2 15 5 2" xfId="5287"/>
    <cellStyle name="Normal 2 15 6" xfId="4656"/>
    <cellStyle name="Normal 2 16" xfId="1871"/>
    <cellStyle name="Normal 2 16 2" xfId="3331"/>
    <cellStyle name="Normal 2 16 2 2" xfId="5251"/>
    <cellStyle name="Normal 2 16 3" xfId="4606"/>
    <cellStyle name="Normal 2 17" xfId="4435"/>
    <cellStyle name="Normal 2 2" xfId="2"/>
    <cellStyle name="Normal 2 2 10" xfId="1737"/>
    <cellStyle name="Normal 2 2 10 2" xfId="3302"/>
    <cellStyle name="Normal 2 2 10 2 2" xfId="5222"/>
    <cellStyle name="Normal 2 2 10 3" xfId="4564"/>
    <cellStyle name="Normal 2 2 2" xfId="11"/>
    <cellStyle name="Normal 2 2 2 2" xfId="956"/>
    <cellStyle name="Normal 2 2 2 2 2" xfId="957"/>
    <cellStyle name="Normal 2 2 2 2 3" xfId="1611"/>
    <cellStyle name="Normal 2 2 2 2 4" xfId="1988"/>
    <cellStyle name="Normal 2 2 2 2 5" xfId="4249"/>
    <cellStyle name="Normal 2 2 2 3" xfId="1987"/>
    <cellStyle name="Normal 2 2 3" xfId="958"/>
    <cellStyle name="Normal 2 2 3 2" xfId="1989"/>
    <cellStyle name="Normal 2 2 4" xfId="959"/>
    <cellStyle name="Normal 2 2 4 2" xfId="1991"/>
    <cellStyle name="Normal 2 2 4 2 2" xfId="1992"/>
    <cellStyle name="Normal 2 2 4 3" xfId="1990"/>
    <cellStyle name="Normal 2 2 4 4" xfId="4251"/>
    <cellStyle name="Normal 2 2 5" xfId="960"/>
    <cellStyle name="Normal 2 2 5 2" xfId="2142"/>
    <cellStyle name="Normal 2 2 6" xfId="1986"/>
    <cellStyle name="Normal 2 2 6 2" xfId="2489"/>
    <cellStyle name="Normal 2 2 6 2 2" xfId="2947"/>
    <cellStyle name="Normal 2 2 6 2 2 2" xfId="3548"/>
    <cellStyle name="Normal 2 2 6 2 2 2 2" xfId="5467"/>
    <cellStyle name="Normal 2 2 6 2 2 3" xfId="4928"/>
    <cellStyle name="Normal 2 2 6 2 3" xfId="3429"/>
    <cellStyle name="Normal 2 2 6 2 3 2" xfId="5348"/>
    <cellStyle name="Normal 2 2 6 2 4" xfId="4770"/>
    <cellStyle name="Normal 2 2 6 3" xfId="2846"/>
    <cellStyle name="Normal 2 2 6 3 2" xfId="3488"/>
    <cellStyle name="Normal 2 2 6 3 2 2" xfId="5407"/>
    <cellStyle name="Normal 2 2 6 3 3" xfId="4864"/>
    <cellStyle name="Normal 2 2 6 4" xfId="3368"/>
    <cellStyle name="Normal 2 2 6 4 2" xfId="5288"/>
    <cellStyle name="Normal 2 2 6 5" xfId="4657"/>
    <cellStyle name="Normal 2 2 7" xfId="2409"/>
    <cellStyle name="Normal 2 2 7 2" xfId="2908"/>
    <cellStyle name="Normal 2 2 7 2 2" xfId="3510"/>
    <cellStyle name="Normal 2 2 7 2 2 2" xfId="5429"/>
    <cellStyle name="Normal 2 2 7 2 3" xfId="4890"/>
    <cellStyle name="Normal 2 2 7 3" xfId="3391"/>
    <cellStyle name="Normal 2 2 7 3 2" xfId="5310"/>
    <cellStyle name="Normal 2 2 7 4" xfId="4724"/>
    <cellStyle name="Normal 2 2 8" xfId="2801"/>
    <cellStyle name="Normal 2 2 8 2" xfId="3450"/>
    <cellStyle name="Normal 2 2 8 2 2" xfId="5369"/>
    <cellStyle name="Normal 2 2 8 3" xfId="4823"/>
    <cellStyle name="Normal 2 2 9" xfId="1869"/>
    <cellStyle name="Normal 2 2 9 2" xfId="3330"/>
    <cellStyle name="Normal 2 2 9 2 2" xfId="5250"/>
    <cellStyle name="Normal 2 2 9 3" xfId="4605"/>
    <cellStyle name="Normal 2 3" xfId="961"/>
    <cellStyle name="Normal 2 3 2" xfId="962"/>
    <cellStyle name="Normal 2 3 2 2" xfId="963"/>
    <cellStyle name="Normal 2 3 2 3" xfId="1993"/>
    <cellStyle name="Normal 2 3 2 4" xfId="4253"/>
    <cellStyle name="Normal 2 3 2 5" xfId="3930"/>
    <cellStyle name="Normal 2 3 3" xfId="25"/>
    <cellStyle name="Normal 2 3 3 2" xfId="964"/>
    <cellStyle name="Normal 2 3 3 2 2" xfId="2099"/>
    <cellStyle name="Normal 2 3 3 2 2 2" xfId="2277"/>
    <cellStyle name="Normal 2 3 3 2 2 2 2" xfId="2722"/>
    <cellStyle name="Normal 2 3 3 2 2 3" xfId="2577"/>
    <cellStyle name="Normal 2 3 3 2 3" xfId="2135"/>
    <cellStyle name="Normal 2 3 3 2 3 2" xfId="2306"/>
    <cellStyle name="Normal 2 3 3 2 3 2 2" xfId="2751"/>
    <cellStyle name="Normal 2 3 3 2 3 3" xfId="2608"/>
    <cellStyle name="Normal 2 3 3 2 4" xfId="2206"/>
    <cellStyle name="Normal 2 3 3 2 4 2" xfId="2651"/>
    <cellStyle name="Normal 2 3 3 2 5" xfId="2490"/>
    <cellStyle name="Normal 2 3 3 2 6" xfId="1994"/>
    <cellStyle name="Normal 2 3 3 3" xfId="3962"/>
    <cellStyle name="Normal 2 3 3 4" xfId="3938"/>
    <cellStyle name="Normal 2 3 4" xfId="965"/>
    <cellStyle name="Normal 2 3 4 2" xfId="2772"/>
    <cellStyle name="Normal 2 3 4 2 2" xfId="2974"/>
    <cellStyle name="Normal 2 3 4 2 2 2" xfId="3564"/>
    <cellStyle name="Normal 2 3 4 2 2 2 2" xfId="5483"/>
    <cellStyle name="Normal 2 3 4 2 2 3" xfId="4945"/>
    <cellStyle name="Normal 2 3 4 2 3" xfId="3445"/>
    <cellStyle name="Normal 2 3 4 2 3 2" xfId="5364"/>
    <cellStyle name="Normal 2 3 4 2 4" xfId="4817"/>
    <cellStyle name="Normal 2 3 4 3" xfId="2902"/>
    <cellStyle name="Normal 2 3 4 3 2" xfId="3504"/>
    <cellStyle name="Normal 2 3 4 3 2 2" xfId="5423"/>
    <cellStyle name="Normal 2 3 4 3 3" xfId="4884"/>
    <cellStyle name="Normal 2 3 4 4" xfId="2346"/>
    <cellStyle name="Normal 2 3 4 4 2" xfId="3385"/>
    <cellStyle name="Normal 2 3 4 4 2 2" xfId="5304"/>
    <cellStyle name="Normal 2 3 4 4 3" xfId="4711"/>
    <cellStyle name="Normal 2 3 5" xfId="4252"/>
    <cellStyle name="Normal 2 4" xfId="966"/>
    <cellStyle name="Normal 2 4 2" xfId="967"/>
    <cellStyle name="Normal 2 4 2 2" xfId="968"/>
    <cellStyle name="Normal 2 4 2 2 2" xfId="969"/>
    <cellStyle name="Normal 2 4 2 2 3" xfId="1997"/>
    <cellStyle name="Normal 2 4 2 3" xfId="1996"/>
    <cellStyle name="Normal 2 4 2 4" xfId="4255"/>
    <cellStyle name="Normal 2 4 2 5" xfId="3826"/>
    <cellStyle name="Normal 2 4 3" xfId="970"/>
    <cellStyle name="Normal 2 4 3 2" xfId="1998"/>
    <cellStyle name="Normal 2 4 39" xfId="1999"/>
    <cellStyle name="Normal 2 4 4" xfId="1995"/>
    <cellStyle name="Normal 2 4 41" xfId="971"/>
    <cellStyle name="Normal 2 4 41 2" xfId="2000"/>
    <cellStyle name="Normal 2 4 41 2 2" xfId="2492"/>
    <cellStyle name="Normal 2 4 41 3" xfId="2491"/>
    <cellStyle name="Normal 2 4 5" xfId="4254"/>
    <cellStyle name="Normal 2 4 6" xfId="3663"/>
    <cellStyle name="Normal 2 4 8" xfId="2001"/>
    <cellStyle name="Normal 2 4 8 2" xfId="2002"/>
    <cellStyle name="Normal 2 4_21. M2-Phạt-1_Bảng thống kê giá trị phạt (dùng cho quyết toán giai đoạn)" xfId="56"/>
    <cellStyle name="Normal 2 5" xfId="972"/>
    <cellStyle name="Normal 2 5 2" xfId="2493"/>
    <cellStyle name="Normal 2 5 2 2" xfId="2949"/>
    <cellStyle name="Normal 2 5 2 2 2" xfId="3549"/>
    <cellStyle name="Normal 2 5 2 2 2 2" xfId="5468"/>
    <cellStyle name="Normal 2 5 2 2 3" xfId="4929"/>
    <cellStyle name="Normal 2 5 2 3" xfId="3430"/>
    <cellStyle name="Normal 2 5 2 3 2" xfId="5349"/>
    <cellStyle name="Normal 2 5 2 4" xfId="4771"/>
    <cellStyle name="Normal 2 5 3" xfId="2847"/>
    <cellStyle name="Normal 2 5 3 2" xfId="3489"/>
    <cellStyle name="Normal 2 5 3 2 2" xfId="5408"/>
    <cellStyle name="Normal 2 5 3 3" xfId="4865"/>
    <cellStyle name="Normal 2 5 4" xfId="2003"/>
    <cellStyle name="Normal 2 5 4 2" xfId="3369"/>
    <cellStyle name="Normal 2 5 4 2 2" xfId="5289"/>
    <cellStyle name="Normal 2 5 4 3" xfId="4658"/>
    <cellStyle name="Normal 2 5 5" xfId="4256"/>
    <cellStyle name="Normal 2 5 6" xfId="3947"/>
    <cellStyle name="Normal 2 6" xfId="2004"/>
    <cellStyle name="Normal 2 7" xfId="2005"/>
    <cellStyle name="Normal 2 7 2" xfId="2006"/>
    <cellStyle name="Normal 2 8" xfId="2007"/>
    <cellStyle name="Normal 2 8 2" xfId="2494"/>
    <cellStyle name="Normal 2 8 2 2" xfId="2950"/>
    <cellStyle name="Normal 2 8 2 2 2" xfId="3550"/>
    <cellStyle name="Normal 2 8 2 2 2 2" xfId="5469"/>
    <cellStyle name="Normal 2 8 2 2 3" xfId="4930"/>
    <cellStyle name="Normal 2 8 2 3" xfId="3431"/>
    <cellStyle name="Normal 2 8 2 3 2" xfId="5350"/>
    <cellStyle name="Normal 2 8 2 4" xfId="4772"/>
    <cellStyle name="Normal 2 8 3" xfId="2848"/>
    <cellStyle name="Normal 2 8 3 2" xfId="3490"/>
    <cellStyle name="Normal 2 8 3 2 2" xfId="5409"/>
    <cellStyle name="Normal 2 8 3 3" xfId="4866"/>
    <cellStyle name="Normal 2 8 4" xfId="3370"/>
    <cellStyle name="Normal 2 8 4 2" xfId="5290"/>
    <cellStyle name="Normal 2 8 5" xfId="4659"/>
    <cellStyle name="Normal 2 9" xfId="973"/>
    <cellStyle name="Normal 2 9 2" xfId="2009"/>
    <cellStyle name="Normal 2 9 3" xfId="2008"/>
    <cellStyle name="Normal 2_101024(MECHANICAL-BY 권소장)" xfId="974"/>
    <cellStyle name="Normal 20" xfId="975"/>
    <cellStyle name="Normal 20 2" xfId="2010"/>
    <cellStyle name="Normal 21" xfId="976"/>
    <cellStyle name="Normal 21 2" xfId="1566"/>
    <cellStyle name="Normal 21 3" xfId="1875"/>
    <cellStyle name="Normal 21 4" xfId="3827"/>
    <cellStyle name="Normal 22" xfId="977"/>
    <cellStyle name="Normal 22 2" xfId="1567"/>
    <cellStyle name="Normal 22 2 2" xfId="2628"/>
    <cellStyle name="Normal 22 2 3" xfId="2183"/>
    <cellStyle name="Normal 22 3" xfId="2412"/>
    <cellStyle name="Normal 22 4" xfId="1873"/>
    <cellStyle name="Normal 22 5" xfId="4258"/>
    <cellStyle name="Normal 22 6" xfId="3828"/>
    <cellStyle name="Normal 23" xfId="978"/>
    <cellStyle name="Normal 23 2" xfId="979"/>
    <cellStyle name="Normal 23 2 2" xfId="1709"/>
    <cellStyle name="Normal 23 2 2 2" xfId="2656"/>
    <cellStyle name="Normal 23 2 2 3" xfId="3276"/>
    <cellStyle name="Normal 23 2 2 3 2" xfId="5196"/>
    <cellStyle name="Normal 23 2 2 4" xfId="4538"/>
    <cellStyle name="Normal 23 2 3" xfId="2211"/>
    <cellStyle name="Normal 23 2 4" xfId="3144"/>
    <cellStyle name="Normal 23 2 4 2" xfId="5073"/>
    <cellStyle name="Normal 23 2 5" xfId="4260"/>
    <cellStyle name="Normal 23 2 6" xfId="3936"/>
    <cellStyle name="Normal 23 3" xfId="2511"/>
    <cellStyle name="Normal 23 4" xfId="4259"/>
    <cellStyle name="Normal 23 5" xfId="3921"/>
    <cellStyle name="Normal 23 5 2 2 4" xfId="34"/>
    <cellStyle name="Normal 23 5 2 2 4 2" xfId="43"/>
    <cellStyle name="Normal 23 5 2 2 4 2 2" xfId="1758"/>
    <cellStyle name="Normal 23 5 2 2 4 2 2 2" xfId="3319"/>
    <cellStyle name="Normal 23 5 2 2 4 2 2 2 2" xfId="5239"/>
    <cellStyle name="Normal 23 5 2 2 4 2 2 3" xfId="4581"/>
    <cellStyle name="Normal 23 5 2 2 4 2 3" xfId="3044"/>
    <cellStyle name="Normal 23 5 2 2 4 2 3 2" xfId="4973"/>
    <cellStyle name="Normal 23 5 2 2 4 2 4" xfId="3650"/>
    <cellStyle name="Normal 23 5 2 2 4 2 4 2" xfId="5560"/>
    <cellStyle name="Normal 23 5 2 2 4 2 5" xfId="3969"/>
    <cellStyle name="Normal 23 5 2 2 4 3" xfId="1250"/>
    <cellStyle name="Normal 23 5 2 2 4 3 2" xfId="3164"/>
    <cellStyle name="Normal 23 5 2 2 4 3 2 2" xfId="5088"/>
    <cellStyle name="Normal 23 5 2 2 4 3 3" xfId="4412"/>
    <cellStyle name="Normal 23 5 2 2 4 4" xfId="1724"/>
    <cellStyle name="Normal 23 5 2 2 4 4 2" xfId="3291"/>
    <cellStyle name="Normal 23 5 2 2 4 4 2 2" xfId="5211"/>
    <cellStyle name="Normal 23 5 2 2 4 4 3" xfId="4553"/>
    <cellStyle name="Normal 23 5 2 2 4 5" xfId="1750"/>
    <cellStyle name="Normal 23 5 2 2 4 5 2" xfId="3311"/>
    <cellStyle name="Normal 23 5 2 2 4 5 2 2" xfId="5231"/>
    <cellStyle name="Normal 23 5 2 2 4 5 3" xfId="4573"/>
    <cellStyle name="Normal 23 5 2 2 4 6" xfId="3036"/>
    <cellStyle name="Normal 23 5 2 2 4 6 2" xfId="4965"/>
    <cellStyle name="Normal 23 5 2 2 4 7" xfId="3642"/>
    <cellStyle name="Normal 23 5 2 2 4 7 2" xfId="5552"/>
    <cellStyle name="Normal 23 5 2 2 4 8" xfId="3952"/>
    <cellStyle name="Normal 23 5 2 2 5" xfId="32"/>
    <cellStyle name="Normal 23 5 2 2 5 2" xfId="42"/>
    <cellStyle name="Normal 23 5 2 2 5 2 2" xfId="1757"/>
    <cellStyle name="Normal 23 5 2 2 5 2 2 2" xfId="3318"/>
    <cellStyle name="Normal 23 5 2 2 5 2 2 2 2" xfId="5238"/>
    <cellStyle name="Normal 23 5 2 2 5 2 2 3" xfId="4580"/>
    <cellStyle name="Normal 23 5 2 2 5 2 3" xfId="3043"/>
    <cellStyle name="Normal 23 5 2 2 5 2 3 2" xfId="4972"/>
    <cellStyle name="Normal 23 5 2 2 5 2 4" xfId="3649"/>
    <cellStyle name="Normal 23 5 2 2 5 2 4 2" xfId="5559"/>
    <cellStyle name="Normal 23 5 2 2 5 2 5" xfId="3968"/>
    <cellStyle name="Normal 23 5 2 2 5 3" xfId="1251"/>
    <cellStyle name="Normal 23 5 2 2 5 3 2" xfId="3165"/>
    <cellStyle name="Normal 23 5 2 2 5 3 2 2" xfId="5089"/>
    <cellStyle name="Normal 23 5 2 2 5 3 3" xfId="4413"/>
    <cellStyle name="Normal 23 5 2 2 5 4" xfId="1725"/>
    <cellStyle name="Normal 23 5 2 2 5 4 2" xfId="3292"/>
    <cellStyle name="Normal 23 5 2 2 5 4 2 2" xfId="5212"/>
    <cellStyle name="Normal 23 5 2 2 5 4 3" xfId="4554"/>
    <cellStyle name="Normal 23 5 2 2 5 5" xfId="1748"/>
    <cellStyle name="Normal 23 5 2 2 5 5 2" xfId="3309"/>
    <cellStyle name="Normal 23 5 2 2 5 5 2 2" xfId="5229"/>
    <cellStyle name="Normal 23 5 2 2 5 5 3" xfId="4571"/>
    <cellStyle name="Normal 23 5 2 2 5 6" xfId="3035"/>
    <cellStyle name="Normal 23 5 2 2 5 6 2" xfId="4964"/>
    <cellStyle name="Normal 23 5 2 2 5 7" xfId="3641"/>
    <cellStyle name="Normal 23 5 2 2 5 7 2" xfId="5551"/>
    <cellStyle name="Normal 23 5 2 2 5 8" xfId="3951"/>
    <cellStyle name="Normal 24" xfId="1254"/>
    <cellStyle name="Normal 24 2" xfId="980"/>
    <cellStyle name="Normal 24 2 2" xfId="981"/>
    <cellStyle name="Normal 24 2 3" xfId="2011"/>
    <cellStyle name="Normal 24 2 4" xfId="1840"/>
    <cellStyle name="Normal 24 3" xfId="1728"/>
    <cellStyle name="Normal 24 3 2" xfId="2678"/>
    <cellStyle name="Normal 24 3 3" xfId="2233"/>
    <cellStyle name="Normal 24 3 4" xfId="3295"/>
    <cellStyle name="Normal 24 3 4 2" xfId="5215"/>
    <cellStyle name="Normal 24 3 5" xfId="4557"/>
    <cellStyle name="Normal 24 4" xfId="2318"/>
    <cellStyle name="Normal 24 5" xfId="2533"/>
    <cellStyle name="Normal 24 5 2" xfId="1841"/>
    <cellStyle name="Normal 24 5 2 2" xfId="2012"/>
    <cellStyle name="Normal 24 5 2 2 2" xfId="2495"/>
    <cellStyle name="Normal 24 5 2 2 2 2" xfId="2951"/>
    <cellStyle name="Normal 24 5 2 2 2 2 2" xfId="3551"/>
    <cellStyle name="Normal 24 5 2 2 2 2 2 2" xfId="5470"/>
    <cellStyle name="Normal 24 5 2 2 2 2 3" xfId="4931"/>
    <cellStyle name="Normal 24 5 2 2 2 3" xfId="3432"/>
    <cellStyle name="Normal 24 5 2 2 2 3 2" xfId="5351"/>
    <cellStyle name="Normal 24 5 2 2 2 4" xfId="4773"/>
    <cellStyle name="Normal 24 5 2 2 3" xfId="2849"/>
    <cellStyle name="Normal 24 5 2 2 3 2" xfId="3491"/>
    <cellStyle name="Normal 24 5 2 2 3 2 2" xfId="5410"/>
    <cellStyle name="Normal 24 5 2 2 3 3" xfId="4867"/>
    <cellStyle name="Normal 24 5 2 2 4" xfId="3371"/>
    <cellStyle name="Normal 24 5 2 2 4 2" xfId="5291"/>
    <cellStyle name="Normal 24 5 2 2 5" xfId="4660"/>
    <cellStyle name="Normal 24 5 2 3" xfId="2143"/>
    <cellStyle name="Normal 24 6" xfId="2057"/>
    <cellStyle name="Normal 24 7" xfId="3168"/>
    <cellStyle name="Normal 24 7 2" xfId="5092"/>
    <cellStyle name="Normal 24 8" xfId="4416"/>
    <cellStyle name="Normal 24 9" xfId="3922"/>
    <cellStyle name="Normal 25" xfId="982"/>
    <cellStyle name="Normal 25 2" xfId="1568"/>
    <cellStyle name="Normal 25 2 2" xfId="2658"/>
    <cellStyle name="Normal 25 2 3" xfId="2213"/>
    <cellStyle name="Normal 25 3" xfId="1710"/>
    <cellStyle name="Normal 25 3 2" xfId="2513"/>
    <cellStyle name="Normal 25 3 3" xfId="3277"/>
    <cellStyle name="Normal 25 3 3 2" xfId="5197"/>
    <cellStyle name="Normal 25 3 4" xfId="4539"/>
    <cellStyle name="Normal 25 4" xfId="2038"/>
    <cellStyle name="Normal 25 5" xfId="1842"/>
    <cellStyle name="Normal 25 6" xfId="3145"/>
    <cellStyle name="Normal 25 6 2" xfId="5074"/>
    <cellStyle name="Normal 25 7" xfId="4261"/>
    <cellStyle name="Normal 26" xfId="1569"/>
    <cellStyle name="Normal 26 2" xfId="2235"/>
    <cellStyle name="Normal 26 2 2" xfId="2680"/>
    <cellStyle name="Normal 26 2 3 2 2" xfId="983"/>
    <cellStyle name="Normal 26 2 3 2 2 2" xfId="1711"/>
    <cellStyle name="Normal 26 2 3 2 2 2 2" xfId="3278"/>
    <cellStyle name="Normal 26 2 3 2 2 2 2 2" xfId="5198"/>
    <cellStyle name="Normal 26 2 3 2 2 2 3" xfId="4540"/>
    <cellStyle name="Normal 26 2 3 2 2 3" xfId="3146"/>
    <cellStyle name="Normal 26 2 3 2 2 3 2" xfId="5075"/>
    <cellStyle name="Normal 26 2 3 2 2 4" xfId="4262"/>
    <cellStyle name="Normal 26 3" xfId="2535"/>
    <cellStyle name="Normal 27" xfId="1570"/>
    <cellStyle name="Normal 27 2" xfId="2214"/>
    <cellStyle name="Normal 27 2 2" xfId="984"/>
    <cellStyle name="Normal 27 2 2 2" xfId="985"/>
    <cellStyle name="Normal 27 2 2 2 2" xfId="1713"/>
    <cellStyle name="Normal 27 2 2 2 2 2" xfId="3280"/>
    <cellStyle name="Normal 27 2 2 2 2 2 2" xfId="5200"/>
    <cellStyle name="Normal 27 2 2 2 2 3" xfId="4542"/>
    <cellStyle name="Normal 27 2 2 2 3" xfId="3148"/>
    <cellStyle name="Normal 27 2 2 2 3 2" xfId="5077"/>
    <cellStyle name="Normal 27 2 2 2 4" xfId="4264"/>
    <cellStyle name="Normal 27 2 2 3" xfId="1712"/>
    <cellStyle name="Normal 27 2 2 3 2" xfId="3279"/>
    <cellStyle name="Normal 27 2 2 3 2 2" xfId="5199"/>
    <cellStyle name="Normal 27 2 2 3 3" xfId="4541"/>
    <cellStyle name="Normal 27 2 2 4" xfId="2659"/>
    <cellStyle name="Normal 27 2 2 5" xfId="3147"/>
    <cellStyle name="Normal 27 2 2 5 2" xfId="5076"/>
    <cellStyle name="Normal 27 2 2 6" xfId="4263"/>
    <cellStyle name="Normal 27 3" xfId="2514"/>
    <cellStyle name="Normal 28" xfId="986"/>
    <cellStyle name="Normal 28 2" xfId="1714"/>
    <cellStyle name="Normal 28 2 2" xfId="2677"/>
    <cellStyle name="Normal 28 2 3" xfId="2232"/>
    <cellStyle name="Normal 28 2 4" xfId="3281"/>
    <cellStyle name="Normal 28 2 4 2" xfId="5201"/>
    <cellStyle name="Normal 28 2 5" xfId="4543"/>
    <cellStyle name="Normal 28 3" xfId="2532"/>
    <cellStyle name="Normal 28 4" xfId="2056"/>
    <cellStyle name="Normal 28 5" xfId="3149"/>
    <cellStyle name="Normal 28 5 2" xfId="5078"/>
    <cellStyle name="Normal 28 6" xfId="4265"/>
    <cellStyle name="Normal 29" xfId="1571"/>
    <cellStyle name="Normal 29 2" xfId="1572"/>
    <cellStyle name="Normal 29 2 2" xfId="2681"/>
    <cellStyle name="Normal 29 2 3" xfId="2236"/>
    <cellStyle name="Normal 29 3" xfId="2536"/>
    <cellStyle name="Normal 3" xfId="40"/>
    <cellStyle name="Normal 3 10" xfId="987"/>
    <cellStyle name="Normal 3 10 2" xfId="1715"/>
    <cellStyle name="Normal 3 10 2 2" xfId="2497"/>
    <cellStyle name="Normal 3 10 2 2 2" xfId="2953"/>
    <cellStyle name="Normal 3 10 2 2 2 2" xfId="3553"/>
    <cellStyle name="Normal 3 10 2 2 2 2 2" xfId="5472"/>
    <cellStyle name="Normal 3 10 2 2 2 3" xfId="4933"/>
    <cellStyle name="Normal 3 10 2 2 3" xfId="3434"/>
    <cellStyle name="Normal 3 10 2 2 3 2" xfId="5353"/>
    <cellStyle name="Normal 3 10 2 2 4" xfId="4775"/>
    <cellStyle name="Normal 3 10 2 3" xfId="2851"/>
    <cellStyle name="Normal 3 10 2 3 2" xfId="3493"/>
    <cellStyle name="Normal 3 10 2 3 2 2" xfId="5412"/>
    <cellStyle name="Normal 3 10 2 3 3" xfId="4869"/>
    <cellStyle name="Normal 3 10 2 4" xfId="2015"/>
    <cellStyle name="Normal 3 10 2 4 2" xfId="3373"/>
    <cellStyle name="Normal 3 10 2 4 2 2" xfId="5293"/>
    <cellStyle name="Normal 3 10 2 4 3" xfId="4662"/>
    <cellStyle name="Normal 3 10 2 5" xfId="3282"/>
    <cellStyle name="Normal 3 10 2 5 2" xfId="5202"/>
    <cellStyle name="Normal 3 10 2 6" xfId="4544"/>
    <cellStyle name="Normal 3 10 3" xfId="2496"/>
    <cellStyle name="Normal 3 10 3 2" xfId="2952"/>
    <cellStyle name="Normal 3 10 3 2 2" xfId="3552"/>
    <cellStyle name="Normal 3 10 3 2 2 2" xfId="5471"/>
    <cellStyle name="Normal 3 10 3 2 3" xfId="4932"/>
    <cellStyle name="Normal 3 10 3 3" xfId="3433"/>
    <cellStyle name="Normal 3 10 3 3 2" xfId="5352"/>
    <cellStyle name="Normal 3 10 3 4" xfId="4774"/>
    <cellStyle name="Normal 3 10 4" xfId="2850"/>
    <cellStyle name="Normal 3 10 4 2" xfId="3492"/>
    <cellStyle name="Normal 3 10 4 2 2" xfId="5411"/>
    <cellStyle name="Normal 3 10 4 3" xfId="4868"/>
    <cellStyle name="Normal 3 10 5" xfId="2014"/>
    <cellStyle name="Normal 3 10 5 2" xfId="3372"/>
    <cellStyle name="Normal 3 10 5 2 2" xfId="5292"/>
    <cellStyle name="Normal 3 10 5 3" xfId="4661"/>
    <cellStyle name="Normal 3 10 6" xfId="3150"/>
    <cellStyle name="Normal 3 10 6 2" xfId="5079"/>
    <cellStyle name="Normal 3 10 7" xfId="4266"/>
    <cellStyle name="Normal 3 11" xfId="1736"/>
    <cellStyle name="Normal 3 12" xfId="3041"/>
    <cellStyle name="Normal 3 12 2" xfId="4970"/>
    <cellStyle name="Normal 3 13" xfId="988"/>
    <cellStyle name="Normal 3 14" xfId="1844"/>
    <cellStyle name="Normal 3 14 2" xfId="2144"/>
    <cellStyle name="Normal 3 14 2 2" xfId="2312"/>
    <cellStyle name="Normal 3 14 2 2 2" xfId="2758"/>
    <cellStyle name="Normal 3 14 2 3" xfId="2615"/>
    <cellStyle name="Normal 3 14 3" xfId="2177"/>
    <cellStyle name="Normal 3 14 3 2" xfId="2625"/>
    <cellStyle name="Normal 3 14 4" xfId="2407"/>
    <cellStyle name="Normal 3 15" xfId="3647"/>
    <cellStyle name="Normal 3 15 2" xfId="5557"/>
    <cellStyle name="Normal 3 16" xfId="2016"/>
    <cellStyle name="Normal 3 17" xfId="3660"/>
    <cellStyle name="Normal 3 17 2" xfId="6010"/>
    <cellStyle name="Normal 3 18" xfId="5497"/>
    <cellStyle name="Normal 3 2" xfId="41"/>
    <cellStyle name="Normal 3 2 2" xfId="990"/>
    <cellStyle name="Normal 3 2 2 2" xfId="57"/>
    <cellStyle name="Normal 3 2 2 3" xfId="4267"/>
    <cellStyle name="Normal 3 2 2 4" xfId="3939"/>
    <cellStyle name="Normal 3 2 3" xfId="989"/>
    <cellStyle name="Normal 3 2 3 2" xfId="2145"/>
    <cellStyle name="Normal 3 2 4" xfId="1756"/>
    <cellStyle name="Normal 3 2 4 2" xfId="3317"/>
    <cellStyle name="Normal 3 2 4 2 2" xfId="5237"/>
    <cellStyle name="Normal 3 2 4 3" xfId="4579"/>
    <cellStyle name="Normal 3 2 5" xfId="3042"/>
    <cellStyle name="Normal 3 2 5 2" xfId="4971"/>
    <cellStyle name="Normal 3 2 6" xfId="3648"/>
    <cellStyle name="Normal 3 2 6 2" xfId="5558"/>
    <cellStyle name="Normal 3 2 7" xfId="6012"/>
    <cellStyle name="Normal 3 3" xfId="49"/>
    <cellStyle name="Normal 3 3 2" xfId="992"/>
    <cellStyle name="Normal 3 3 3" xfId="991"/>
    <cellStyle name="Normal 3 3 4" xfId="2013"/>
    <cellStyle name="Normal 3 3 5" xfId="3973"/>
    <cellStyle name="Normal 3 3 6" xfId="3924"/>
    <cellStyle name="Normal 3 4" xfId="993"/>
    <cellStyle name="Normal 3 4 2" xfId="994"/>
    <cellStyle name="Normal 3 4 2 2" xfId="2757"/>
    <cellStyle name="Normal 3 4 3" xfId="2614"/>
    <cellStyle name="Normal 3 4 4" xfId="4268"/>
    <cellStyle name="Normal 3 4 5" xfId="3932"/>
    <cellStyle name="Normal 3 5" xfId="995"/>
    <cellStyle name="Normal 3 5 2" xfId="2624"/>
    <cellStyle name="Normal 3 6" xfId="996"/>
    <cellStyle name="Normal 3 6 2" xfId="1716"/>
    <cellStyle name="Normal 3 6 2 2" xfId="3283"/>
    <cellStyle name="Normal 3 6 2 2 2" xfId="5203"/>
    <cellStyle name="Normal 3 6 2 3" xfId="4545"/>
    <cellStyle name="Normal 3 6 3" xfId="2406"/>
    <cellStyle name="Normal 3 6 4" xfId="3151"/>
    <cellStyle name="Normal 3 6 4 2" xfId="5080"/>
    <cellStyle name="Normal 3 6 5" xfId="4269"/>
    <cellStyle name="Normal 3 7" xfId="54"/>
    <cellStyle name="Normal 3 7 2" xfId="1843"/>
    <cellStyle name="Normal 3 8" xfId="1755"/>
    <cellStyle name="Normal 3 8 2" xfId="3316"/>
    <cellStyle name="Normal 3 8 2 2" xfId="5236"/>
    <cellStyle name="Normal 3 8 3" xfId="4578"/>
    <cellStyle name="Normal 3 9" xfId="55"/>
    <cellStyle name="Normal 3 9 2" xfId="21"/>
    <cellStyle name="Normal 3_100503 BoQ Tiep Viet" xfId="997"/>
    <cellStyle name="Normal 30" xfId="1573"/>
    <cellStyle name="Normal 30 2" xfId="2231"/>
    <cellStyle name="Normal 30 2 2" xfId="2676"/>
    <cellStyle name="Normal 30 3" xfId="2531"/>
    <cellStyle name="Normal 30 4" xfId="2055"/>
    <cellStyle name="Normal 31" xfId="2059"/>
    <cellStyle name="Normal 31 2" xfId="2237"/>
    <cellStyle name="Normal 31 2 2" xfId="2682"/>
    <cellStyle name="Normal 31 3" xfId="2537"/>
    <cellStyle name="Normal 32" xfId="2054"/>
    <cellStyle name="Normal 32 2" xfId="2230"/>
    <cellStyle name="Normal 32 2 2" xfId="2675"/>
    <cellStyle name="Normal 32 3" xfId="2530"/>
    <cellStyle name="Normal 33" xfId="2039"/>
    <cellStyle name="Normal 33 2" xfId="2215"/>
    <cellStyle name="Normal 33 2 2" xfId="2660"/>
    <cellStyle name="Normal 33 3" xfId="2515"/>
    <cellStyle name="Normal 34" xfId="2063"/>
    <cellStyle name="Normal 34 2" xfId="2241"/>
    <cellStyle name="Normal 34 2 2" xfId="2686"/>
    <cellStyle name="Normal 34 3" xfId="2541"/>
    <cellStyle name="Normal 35" xfId="998"/>
    <cellStyle name="Normal 35 2" xfId="2212"/>
    <cellStyle name="Normal 35 2 2" xfId="2657"/>
    <cellStyle name="Normal 35 3" xfId="2512"/>
    <cellStyle name="Normal 35 4" xfId="2037"/>
    <cellStyle name="Normal 36" xfId="2062"/>
    <cellStyle name="Normal 36 2" xfId="2240"/>
    <cellStyle name="Normal 36 2 2" xfId="2685"/>
    <cellStyle name="Normal 36 3" xfId="2540"/>
    <cellStyle name="Normal 37" xfId="2058"/>
    <cellStyle name="Normal 37 2" xfId="2234"/>
    <cellStyle name="Normal 37 2 2" xfId="2679"/>
    <cellStyle name="Normal 37 3" xfId="2534"/>
    <cellStyle name="Normal 38" xfId="2060"/>
    <cellStyle name="Normal 38 2" xfId="2238"/>
    <cellStyle name="Normal 38 2 2" xfId="2683"/>
    <cellStyle name="Normal 38 3" xfId="2538"/>
    <cellStyle name="Normal 39" xfId="2065"/>
    <cellStyle name="Normal 39 2" xfId="2017"/>
    <cellStyle name="Normal 39 2 2" xfId="2100"/>
    <cellStyle name="Normal 39 2 2 2" xfId="2278"/>
    <cellStyle name="Normal 39 2 2 2 2" xfId="2723"/>
    <cellStyle name="Normal 39 2 2 3" xfId="2578"/>
    <cellStyle name="Normal 39 2 3" xfId="2136"/>
    <cellStyle name="Normal 39 2 3 2" xfId="2307"/>
    <cellStyle name="Normal 39 2 3 2 2" xfId="2752"/>
    <cellStyle name="Normal 39 2 3 3" xfId="2609"/>
    <cellStyle name="Normal 39 2 4" xfId="2207"/>
    <cellStyle name="Normal 39 2 4 2" xfId="2652"/>
    <cellStyle name="Normal 39 2 5" xfId="2498"/>
    <cellStyle name="Normal 39 3" xfId="2243"/>
    <cellStyle name="Normal 39 3 2" xfId="2688"/>
    <cellStyle name="Normal 39 4" xfId="2543"/>
    <cellStyle name="Normal 4" xfId="10"/>
    <cellStyle name="Normal 4 10" xfId="3033"/>
    <cellStyle name="Normal 4 10 2" xfId="4962"/>
    <cellStyle name="Normal 4 11" xfId="6072"/>
    <cellStyle name="Normal 4 2" xfId="20"/>
    <cellStyle name="Normal 4 2 10" xfId="3618"/>
    <cellStyle name="Normal 4 2 10 2" xfId="5528"/>
    <cellStyle name="Normal 4 2 11" xfId="3961"/>
    <cellStyle name="Normal 4 2 12" xfId="3831"/>
    <cellStyle name="Normal 4 2 2" xfId="999"/>
    <cellStyle name="Normal 4 2 2 10" xfId="3937"/>
    <cellStyle name="Normal 4 2 2 2" xfId="1717"/>
    <cellStyle name="Normal 4 2 2 2 2" xfId="3009"/>
    <cellStyle name="Normal 4 2 2 2 2 2" xfId="3576"/>
    <cellStyle name="Normal 4 2 2 2 2 2 2" xfId="5495"/>
    <cellStyle name="Normal 4 2 2 2 2 3" xfId="3613"/>
    <cellStyle name="Normal 4 2 2 2 2 3 2" xfId="5525"/>
    <cellStyle name="Normal 4 2 2 2 2 4" xfId="3639"/>
    <cellStyle name="Normal 4 2 2 2 2 4 2" xfId="5549"/>
    <cellStyle name="Normal 4 2 2 2 2 5" xfId="4958"/>
    <cellStyle name="Normal 4 2 2 2 3" xfId="1768"/>
    <cellStyle name="Normal 4 2 2 2 3 2" xfId="3326"/>
    <cellStyle name="Normal 4 2 2 2 3 2 2" xfId="5246"/>
    <cellStyle name="Normal 4 2 2 2 3 3" xfId="4588"/>
    <cellStyle name="Normal 4 2 2 2 4" xfId="3284"/>
    <cellStyle name="Normal 4 2 2 2 4 2" xfId="5204"/>
    <cellStyle name="Normal 4 2 2 2 5" xfId="3601"/>
    <cellStyle name="Normal 4 2 2 2 5 2" xfId="5513"/>
    <cellStyle name="Normal 4 2 2 2 6" xfId="3627"/>
    <cellStyle name="Normal 4 2 2 2 6 2" xfId="5537"/>
    <cellStyle name="Normal 4 2 2 2 7" xfId="4546"/>
    <cellStyle name="Normal 4 2 2 3" xfId="2019"/>
    <cellStyle name="Normal 4 2 2 3 2" xfId="3612"/>
    <cellStyle name="Normal 4 2 2 3 2 2" xfId="5524"/>
    <cellStyle name="Normal 4 2 2 3 3" xfId="3638"/>
    <cellStyle name="Normal 4 2 2 3 3 2" xfId="5548"/>
    <cellStyle name="Normal 4 2 2 4" xfId="3008"/>
    <cellStyle name="Normal 4 2 2 4 2" xfId="3575"/>
    <cellStyle name="Normal 4 2 2 4 2 2" xfId="5494"/>
    <cellStyle name="Normal 4 2 2 4 3" xfId="4957"/>
    <cellStyle name="Normal 4 2 2 5" xfId="1741"/>
    <cellStyle name="Normal 4 2 2 5 2" xfId="3305"/>
    <cellStyle name="Normal 4 2 2 5 2 2" xfId="5225"/>
    <cellStyle name="Normal 4 2 2 5 3" xfId="4567"/>
    <cellStyle name="Normal 4 2 2 6" xfId="3152"/>
    <cellStyle name="Normal 4 2 2 6 2" xfId="5081"/>
    <cellStyle name="Normal 4 2 2 7" xfId="3595"/>
    <cellStyle name="Normal 4 2 2 7 2" xfId="5507"/>
    <cellStyle name="Normal 4 2 2 8" xfId="3621"/>
    <cellStyle name="Normal 4 2 2 8 2" xfId="5531"/>
    <cellStyle name="Normal 4 2 2 9" xfId="4271"/>
    <cellStyle name="Normal 4 2 3" xfId="1000"/>
    <cellStyle name="Normal 4 2 3 10" xfId="4272"/>
    <cellStyle name="Normal 4 2 3 2" xfId="1718"/>
    <cellStyle name="Normal 4 2 3 2 2" xfId="2965"/>
    <cellStyle name="Normal 4 2 3 2 2 2" xfId="3563"/>
    <cellStyle name="Normal 4 2 3 2 2 2 2" xfId="5482"/>
    <cellStyle name="Normal 4 2 3 2 2 3" xfId="4943"/>
    <cellStyle name="Normal 4 2 3 2 3" xfId="2617"/>
    <cellStyle name="Normal 4 2 3 2 3 2" xfId="3444"/>
    <cellStyle name="Normal 4 2 3 2 3 2 2" xfId="5363"/>
    <cellStyle name="Normal 4 2 3 2 3 3" xfId="4797"/>
    <cellStyle name="Normal 4 2 3 2 4" xfId="3285"/>
    <cellStyle name="Normal 4 2 3 2 4 2" xfId="5205"/>
    <cellStyle name="Normal 4 2 3 2 5" xfId="3614"/>
    <cellStyle name="Normal 4 2 3 2 5 2" xfId="5526"/>
    <cellStyle name="Normal 4 2 3 2 6" xfId="3640"/>
    <cellStyle name="Normal 4 2 3 2 6 2" xfId="5550"/>
    <cellStyle name="Normal 4 2 3 2 7" xfId="4547"/>
    <cellStyle name="Normal 4 2 3 3" xfId="2876"/>
    <cellStyle name="Normal 4 2 3 3 2" xfId="3503"/>
    <cellStyle name="Normal 4 2 3 3 2 2" xfId="5422"/>
    <cellStyle name="Normal 4 2 3 3 3" xfId="4880"/>
    <cellStyle name="Normal 4 2 3 4" xfId="2147"/>
    <cellStyle name="Normal 4 2 3 4 2" xfId="3383"/>
    <cellStyle name="Normal 4 2 3 4 2 2" xfId="5303"/>
    <cellStyle name="Normal 4 2 3 4 3" xfId="4690"/>
    <cellStyle name="Normal 4 2 3 5" xfId="3010"/>
    <cellStyle name="Normal 4 2 3 5 2" xfId="3577"/>
    <cellStyle name="Normal 4 2 3 5 2 2" xfId="5496"/>
    <cellStyle name="Normal 4 2 3 5 3" xfId="4959"/>
    <cellStyle name="Normal 4 2 3 6" xfId="1764"/>
    <cellStyle name="Normal 4 2 3 6 2" xfId="3323"/>
    <cellStyle name="Normal 4 2 3 6 2 2" xfId="5243"/>
    <cellStyle name="Normal 4 2 3 6 3" xfId="4585"/>
    <cellStyle name="Normal 4 2 3 7" xfId="3153"/>
    <cellStyle name="Normal 4 2 3 7 2" xfId="5082"/>
    <cellStyle name="Normal 4 2 3 8" xfId="3598"/>
    <cellStyle name="Normal 4 2 3 8 2" xfId="5510"/>
    <cellStyle name="Normal 4 2 3 9" xfId="3624"/>
    <cellStyle name="Normal 4 2 3 9 2" xfId="5534"/>
    <cellStyle name="Normal 4 2 4" xfId="53"/>
    <cellStyle name="Normal 4 2 4 2" xfId="2907"/>
    <cellStyle name="Normal 4 2 4 2 2" xfId="3509"/>
    <cellStyle name="Normal 4 2 4 2 2 2" xfId="5428"/>
    <cellStyle name="Normal 4 2 4 2 3" xfId="4889"/>
    <cellStyle name="Normal 4 2 4 3" xfId="2408"/>
    <cellStyle name="Normal 4 2 4 3 2" xfId="3390"/>
    <cellStyle name="Normal 4 2 4 3 2 2" xfId="5309"/>
    <cellStyle name="Normal 4 2 4 3 3" xfId="4723"/>
    <cellStyle name="Normal 4 2 4 4" xfId="3048"/>
    <cellStyle name="Normal 4 2 4 4 2" xfId="4977"/>
    <cellStyle name="Normal 4 2 4 5" xfId="3611"/>
    <cellStyle name="Normal 4 2 4 5 2" xfId="5523"/>
    <cellStyle name="Normal 4 2 4 6" xfId="3637"/>
    <cellStyle name="Normal 4 2 4 6 2" xfId="5547"/>
    <cellStyle name="Normal 4 2 4 7" xfId="3975"/>
    <cellStyle name="Normal 4 2 5" xfId="1613"/>
    <cellStyle name="Normal 4 2 5 2" xfId="2798"/>
    <cellStyle name="Normal 4 2 5 2 2" xfId="3449"/>
    <cellStyle name="Normal 4 2 5 2 2 2" xfId="1610"/>
    <cellStyle name="Normal 4 2 5 2 2 2 2" xfId="1734"/>
    <cellStyle name="Normal 4 2 5 2 2 2 2 2" xfId="3301"/>
    <cellStyle name="Normal 4 2 5 2 2 2 2 2 2" xfId="5221"/>
    <cellStyle name="Normal 4 2 5 2 2 2 2 3" xfId="4563"/>
    <cellStyle name="Normal 4 2 5 2 2 2 3" xfId="3178"/>
    <cellStyle name="Normal 4 2 5 2 2 2 3 2" xfId="5098"/>
    <cellStyle name="Normal 4 2 5 2 2 2 4" xfId="4440"/>
    <cellStyle name="Normal 4 2 5 2 2 3" xfId="5368"/>
    <cellStyle name="Normal 4 2 5 2 3" xfId="4821"/>
    <cellStyle name="Normal 4 2 5 3" xfId="3180"/>
    <cellStyle name="Normal 4 2 5 3 2" xfId="5100"/>
    <cellStyle name="Normal 4 2 5 4" xfId="4442"/>
    <cellStyle name="Normal 4 2 6" xfId="1744"/>
    <cellStyle name="Normal 4 2 6 2" xfId="3307"/>
    <cellStyle name="Normal 4 2 6 2 2" xfId="5227"/>
    <cellStyle name="Normal 4 2 6 3" xfId="4569"/>
    <cellStyle name="Normal 4 2 7" xfId="3007"/>
    <cellStyle name="Normal 4 2 7 2" xfId="3574"/>
    <cellStyle name="Normal 4 2 7 2 2" xfId="5493"/>
    <cellStyle name="Normal 4 2 7 3" xfId="4956"/>
    <cellStyle name="Normal 4 2 8" xfId="3034"/>
    <cellStyle name="Normal 4 2 8 2" xfId="4963"/>
    <cellStyle name="Normal 4 2 9" xfId="3590"/>
    <cellStyle name="Normal 4 2 9 2" xfId="5503"/>
    <cellStyle name="Normal 4 3" xfId="1001"/>
    <cellStyle name="Normal 4 3 2" xfId="2020"/>
    <cellStyle name="Normal 4 3 3" xfId="4273"/>
    <cellStyle name="Normal 4 3 4" xfId="3830"/>
    <cellStyle name="Normal 4 4" xfId="1002"/>
    <cellStyle name="Normal 4 4 2" xfId="2954"/>
    <cellStyle name="Normal 4 4 2 2" xfId="3554"/>
    <cellStyle name="Normal 4 4 2 2 2" xfId="5473"/>
    <cellStyle name="Normal 4 4 2 3" xfId="4934"/>
    <cellStyle name="Normal 4 4 3" xfId="2499"/>
    <cellStyle name="Normal 4 4 3 2" xfId="3435"/>
    <cellStyle name="Normal 4 4 3 2 2" xfId="5354"/>
    <cellStyle name="Normal 4 4 3 3" xfId="4776"/>
    <cellStyle name="Normal 4 4 4" xfId="4274"/>
    <cellStyle name="Normal 4 4 5" xfId="3945"/>
    <cellStyle name="Normal 4 5" xfId="52"/>
    <cellStyle name="Normal 4 5 2" xfId="2021"/>
    <cellStyle name="Normal 4 5 3" xfId="3047"/>
    <cellStyle name="Normal 4 5 3 2" xfId="4976"/>
    <cellStyle name="Normal 4 5 4" xfId="3974"/>
    <cellStyle name="Normal 4 6" xfId="1003"/>
    <cellStyle name="Normal 4 6 2" xfId="2852"/>
    <cellStyle name="Normal 4 6 2 2" xfId="3494"/>
    <cellStyle name="Normal 4 6 2 2 2" xfId="5413"/>
    <cellStyle name="Normal 4 6 2 3" xfId="4870"/>
    <cellStyle name="Normal 4 7" xfId="1612"/>
    <cellStyle name="Normal 4 7 2" xfId="2018"/>
    <cellStyle name="Normal 4 7 2 2" xfId="3374"/>
    <cellStyle name="Normal 4 7 2 2 2" xfId="5294"/>
    <cellStyle name="Normal 4 7 2 3" xfId="4663"/>
    <cellStyle name="Normal 4 7 3" xfId="3179"/>
    <cellStyle name="Normal 4 7 3 2" xfId="5099"/>
    <cellStyle name="Normal 4 7 4" xfId="4441"/>
    <cellStyle name="Normal 4 8" xfId="1739"/>
    <cellStyle name="Normal 4 8 2" xfId="3304"/>
    <cellStyle name="Normal 4 8 2 2" xfId="5224"/>
    <cellStyle name="Normal 4 8 3" xfId="4566"/>
    <cellStyle name="Normal 4 9" xfId="1743"/>
    <cellStyle name="Normal 40" xfId="2051"/>
    <cellStyle name="Normal 40 2" xfId="2227"/>
    <cellStyle name="Normal 40 2 2" xfId="2672"/>
    <cellStyle name="Normal 40 3" xfId="2527"/>
    <cellStyle name="Normal 41" xfId="1004"/>
    <cellStyle name="Normal 41 2" xfId="2245"/>
    <cellStyle name="Normal 41 2 2" xfId="2690"/>
    <cellStyle name="Normal 41 3" xfId="2545"/>
    <cellStyle name="Normal 41 4" xfId="2067"/>
    <cellStyle name="Normal 42" xfId="2068"/>
    <cellStyle name="Normal 42 2" xfId="2246"/>
    <cellStyle name="Normal 42 2 2" xfId="2691"/>
    <cellStyle name="Normal 42 3" xfId="2546"/>
    <cellStyle name="Normal 43" xfId="2040"/>
    <cellStyle name="Normal 43 2" xfId="35"/>
    <cellStyle name="Normal 43 2 2" xfId="44"/>
    <cellStyle name="Normal 43 2 2 2" xfId="1759"/>
    <cellStyle name="Normal 43 2 2 2 2" xfId="3320"/>
    <cellStyle name="Normal 43 2 2 2 2 2" xfId="5240"/>
    <cellStyle name="Normal 43 2 2 2 3" xfId="4582"/>
    <cellStyle name="Normal 43 2 2 3" xfId="2661"/>
    <cellStyle name="Normal 43 2 2 4" xfId="3045"/>
    <cellStyle name="Normal 43 2 2 4 2" xfId="4974"/>
    <cellStyle name="Normal 43 2 2 5" xfId="3651"/>
    <cellStyle name="Normal 43 2 2 5 2" xfId="5561"/>
    <cellStyle name="Normal 43 2 2 6" xfId="3970"/>
    <cellStyle name="Normal 43 2 3" xfId="1252"/>
    <cellStyle name="Normal 43 2 3 2" xfId="3166"/>
    <cellStyle name="Normal 43 2 3 2 2" xfId="5090"/>
    <cellStyle name="Normal 43 2 3 3" xfId="4414"/>
    <cellStyle name="Normal 43 2 4" xfId="1726"/>
    <cellStyle name="Normal 43 2 4 2" xfId="3293"/>
    <cellStyle name="Normal 43 2 4 2 2" xfId="5213"/>
    <cellStyle name="Normal 43 2 4 3" xfId="4555"/>
    <cellStyle name="Normal 43 2 5" xfId="1751"/>
    <cellStyle name="Normal 43 2 5 2" xfId="3312"/>
    <cellStyle name="Normal 43 2 5 2 2" xfId="5232"/>
    <cellStyle name="Normal 43 2 5 3" xfId="4574"/>
    <cellStyle name="Normal 43 2 6" xfId="2216"/>
    <cellStyle name="Normal 43 2 7" xfId="3037"/>
    <cellStyle name="Normal 43 2 7 2" xfId="4966"/>
    <cellStyle name="Normal 43 2 8" xfId="3643"/>
    <cellStyle name="Normal 43 2 8 2" xfId="5553"/>
    <cellStyle name="Normal 43 2 9" xfId="3953"/>
    <cellStyle name="Normal 43 3" xfId="2516"/>
    <cellStyle name="Normal 44" xfId="2049"/>
    <cellStyle name="Normal 44 2" xfId="2225"/>
    <cellStyle name="Normal 44 2 2" xfId="2670"/>
    <cellStyle name="Normal 44 3" xfId="2525"/>
    <cellStyle name="Normal 45" xfId="2041"/>
    <cellStyle name="Normal 45 2" xfId="2217"/>
    <cellStyle name="Normal 45 2 2" xfId="2662"/>
    <cellStyle name="Normal 45 3" xfId="2517"/>
    <cellStyle name="Normal 46" xfId="1005"/>
    <cellStyle name="Normal 46 2" xfId="1719"/>
    <cellStyle name="Normal 46 2 2" xfId="2501"/>
    <cellStyle name="Normal 46 2 2 2" xfId="2956"/>
    <cellStyle name="Normal 46 2 2 2 2" xfId="3556"/>
    <cellStyle name="Normal 46 2 2 2 2 2" xfId="5475"/>
    <cellStyle name="Normal 46 2 2 2 3" xfId="4936"/>
    <cellStyle name="Normal 46 2 2 3" xfId="3437"/>
    <cellStyle name="Normal 46 2 2 3 2" xfId="5356"/>
    <cellStyle name="Normal 46 2 2 4" xfId="4778"/>
    <cellStyle name="Normal 46 2 3" xfId="2854"/>
    <cellStyle name="Normal 46 2 3 2" xfId="3496"/>
    <cellStyle name="Normal 46 2 3 2 2" xfId="5415"/>
    <cellStyle name="Normal 46 2 3 3" xfId="4872"/>
    <cellStyle name="Normal 46 2 4" xfId="2023"/>
    <cellStyle name="Normal 46 2 4 2" xfId="3376"/>
    <cellStyle name="Normal 46 2 4 2 2" xfId="5296"/>
    <cellStyle name="Normal 46 2 4 3" xfId="4665"/>
    <cellStyle name="Normal 46 2 5" xfId="3286"/>
    <cellStyle name="Normal 46 2 5 2" xfId="5206"/>
    <cellStyle name="Normal 46 2 6" xfId="4548"/>
    <cellStyle name="Normal 46 3" xfId="2500"/>
    <cellStyle name="Normal 46 3 2" xfId="2955"/>
    <cellStyle name="Normal 46 3 2 2" xfId="3555"/>
    <cellStyle name="Normal 46 3 2 2 2" xfId="5474"/>
    <cellStyle name="Normal 46 3 2 3" xfId="4935"/>
    <cellStyle name="Normal 46 3 3" xfId="3436"/>
    <cellStyle name="Normal 46 3 3 2" xfId="5355"/>
    <cellStyle name="Normal 46 3 4" xfId="4777"/>
    <cellStyle name="Normal 46 4" xfId="2853"/>
    <cellStyle name="Normal 46 4 2" xfId="3495"/>
    <cellStyle name="Normal 46 4 2 2" xfId="5414"/>
    <cellStyle name="Normal 46 4 3" xfId="4871"/>
    <cellStyle name="Normal 46 5" xfId="2022"/>
    <cellStyle name="Normal 46 5 2" xfId="3375"/>
    <cellStyle name="Normal 46 5 2 2" xfId="5295"/>
    <cellStyle name="Normal 46 5 3" xfId="4664"/>
    <cellStyle name="Normal 46 6" xfId="3154"/>
    <cellStyle name="Normal 46 6 2" xfId="5083"/>
    <cellStyle name="Normal 46 7" xfId="4275"/>
    <cellStyle name="Normal 47" xfId="2069"/>
    <cellStyle name="Normal 47 2" xfId="2247"/>
    <cellStyle name="Normal 47 2 2" xfId="1006"/>
    <cellStyle name="Normal 47 2 2 2" xfId="1720"/>
    <cellStyle name="Normal 47 2 2 2 2" xfId="3287"/>
    <cellStyle name="Normal 47 2 2 2 2 2" xfId="5207"/>
    <cellStyle name="Normal 47 2 2 2 3" xfId="4549"/>
    <cellStyle name="Normal 47 2 2 3" xfId="2692"/>
    <cellStyle name="Normal 47 2 2 4" xfId="3155"/>
    <cellStyle name="Normal 47 2 2 4 2" xfId="5084"/>
    <cellStyle name="Normal 47 2 2 5" xfId="4276"/>
    <cellStyle name="Normal 47 3" xfId="2547"/>
    <cellStyle name="Normal 48" xfId="2043"/>
    <cellStyle name="Normal 48 2" xfId="2322"/>
    <cellStyle name="Normal 48 3" xfId="2219"/>
    <cellStyle name="Normal 48 3 2" xfId="2664"/>
    <cellStyle name="Normal 48 4" xfId="2519"/>
    <cellStyle name="Normal 49" xfId="1007"/>
    <cellStyle name="Normal 49 2" xfId="2025"/>
    <cellStyle name="Normal 49 2 2" xfId="2503"/>
    <cellStyle name="Normal 49 2 2 2" xfId="2958"/>
    <cellStyle name="Normal 49 2 2 2 2" xfId="3558"/>
    <cellStyle name="Normal 49 2 2 2 2 2" xfId="5477"/>
    <cellStyle name="Normal 49 2 2 2 3" xfId="4938"/>
    <cellStyle name="Normal 49 2 2 3" xfId="3439"/>
    <cellStyle name="Normal 49 2 2 3 2" xfId="5358"/>
    <cellStyle name="Normal 49 2 2 4" xfId="4780"/>
    <cellStyle name="Normal 49 2 3" xfId="2856"/>
    <cellStyle name="Normal 49 2 3 2" xfId="3498"/>
    <cellStyle name="Normal 49 2 3 2 2" xfId="5417"/>
    <cellStyle name="Normal 49 2 3 3" xfId="4874"/>
    <cellStyle name="Normal 49 2 4" xfId="3378"/>
    <cellStyle name="Normal 49 2 4 2" xfId="5298"/>
    <cellStyle name="Normal 49 2 5" xfId="4667"/>
    <cellStyle name="Normal 49 3" xfId="2502"/>
    <cellStyle name="Normal 49 3 2" xfId="2957"/>
    <cellStyle name="Normal 49 3 2 2" xfId="3557"/>
    <cellStyle name="Normal 49 3 2 2 2" xfId="5476"/>
    <cellStyle name="Normal 49 3 2 3" xfId="4937"/>
    <cellStyle name="Normal 49 3 3" xfId="3438"/>
    <cellStyle name="Normal 49 3 3 2" xfId="5357"/>
    <cellStyle name="Normal 49 3 4" xfId="4779"/>
    <cellStyle name="Normal 49 4" xfId="2855"/>
    <cellStyle name="Normal 49 4 2" xfId="3497"/>
    <cellStyle name="Normal 49 4 2 2" xfId="5416"/>
    <cellStyle name="Normal 49 4 3" xfId="4873"/>
    <cellStyle name="Normal 49 5" xfId="2024"/>
    <cellStyle name="Normal 49 5 2" xfId="3377"/>
    <cellStyle name="Normal 49 5 2 2" xfId="5297"/>
    <cellStyle name="Normal 49 5 3" xfId="4666"/>
    <cellStyle name="Normal 5" xfId="1008"/>
    <cellStyle name="Normal 5 2" xfId="1009"/>
    <cellStyle name="Normal 5 2 2" xfId="2027"/>
    <cellStyle name="Normal 5 2 3" xfId="4278"/>
    <cellStyle name="Normal 5 2 4" xfId="3832"/>
    <cellStyle name="Normal 5 3" xfId="1010"/>
    <cellStyle name="Normal 5 3 2" xfId="2028"/>
    <cellStyle name="Normal 5 3 3" xfId="4279"/>
    <cellStyle name="Normal 5 3 4" xfId="3935"/>
    <cellStyle name="Normal 5 4" xfId="2101"/>
    <cellStyle name="Normal 5 4 2" xfId="2279"/>
    <cellStyle name="Normal 5 4 2 2" xfId="2724"/>
    <cellStyle name="Normal 5 4 3" xfId="2579"/>
    <cellStyle name="Normal 5 5" xfId="2137"/>
    <cellStyle name="Normal 5 5 2" xfId="2308"/>
    <cellStyle name="Normal 5 5 2 2" xfId="2753"/>
    <cellStyle name="Normal 5 5 3" xfId="2610"/>
    <cellStyle name="Normal 5 6" xfId="2209"/>
    <cellStyle name="Normal 5 6 2" xfId="2654"/>
    <cellStyle name="Normal 5 7" xfId="2504"/>
    <cellStyle name="Normal 5 8" xfId="2026"/>
    <cellStyle name="Normal 5 9" xfId="4277"/>
    <cellStyle name="Normal 50" xfId="2061"/>
    <cellStyle name="Normal 50 2" xfId="2239"/>
    <cellStyle name="Normal 50 2 2" xfId="2684"/>
    <cellStyle name="Normal 50 3" xfId="2539"/>
    <cellStyle name="Normal 51" xfId="2070"/>
    <cellStyle name="Normal 51 2" xfId="2248"/>
    <cellStyle name="Normal 51 2 2" xfId="2693"/>
    <cellStyle name="Normal 51 3" xfId="2548"/>
    <cellStyle name="Normal 52" xfId="2053"/>
    <cellStyle name="Normal 52 2" xfId="2229"/>
    <cellStyle name="Normal 52 2 2" xfId="2674"/>
    <cellStyle name="Normal 52 3" xfId="2529"/>
    <cellStyle name="Normal 53" xfId="2044"/>
    <cellStyle name="Normal 53 2" xfId="2220"/>
    <cellStyle name="Normal 53 2 2" xfId="2665"/>
    <cellStyle name="Normal 53 3" xfId="2520"/>
    <cellStyle name="Normal 54" xfId="1011"/>
    <cellStyle name="Normal 54 2" xfId="1721"/>
    <cellStyle name="Normal 54 2 2" xfId="2669"/>
    <cellStyle name="Normal 54 2 3" xfId="2224"/>
    <cellStyle name="Normal 54 2 4" xfId="3288"/>
    <cellStyle name="Normal 54 2 4 2" xfId="5208"/>
    <cellStyle name="Normal 54 2 5" xfId="4550"/>
    <cellStyle name="Normal 54 3" xfId="2524"/>
    <cellStyle name="Normal 54 4" xfId="2048"/>
    <cellStyle name="Normal 54 5" xfId="3156"/>
    <cellStyle name="Normal 54 5 2" xfId="5085"/>
    <cellStyle name="Normal 54 6" xfId="4280"/>
    <cellStyle name="Normal 55" xfId="2045"/>
    <cellStyle name="Normal 55 2" xfId="2029"/>
    <cellStyle name="Normal 55 2 2" xfId="2505"/>
    <cellStyle name="Normal 55 2 2 2" xfId="2959"/>
    <cellStyle name="Normal 55 2 2 2 2" xfId="3559"/>
    <cellStyle name="Normal 55 2 2 2 2 2" xfId="5478"/>
    <cellStyle name="Normal 55 2 2 2 3" xfId="4939"/>
    <cellStyle name="Normal 55 2 2 3" xfId="3440"/>
    <cellStyle name="Normal 55 2 2 3 2" xfId="5359"/>
    <cellStyle name="Normal 55 2 2 4" xfId="4781"/>
    <cellStyle name="Normal 55 2 3" xfId="2857"/>
    <cellStyle name="Normal 55 2 3 2" xfId="3499"/>
    <cellStyle name="Normal 55 2 3 2 2" xfId="5418"/>
    <cellStyle name="Normal 55 2 3 3" xfId="4875"/>
    <cellStyle name="Normal 55 2 4" xfId="3379"/>
    <cellStyle name="Normal 55 2 4 2" xfId="5299"/>
    <cellStyle name="Normal 55 2 5" xfId="4670"/>
    <cellStyle name="Normal 55 3" xfId="2221"/>
    <cellStyle name="Normal 55 3 2" xfId="2666"/>
    <cellStyle name="Normal 55 4" xfId="2521"/>
    <cellStyle name="Normal 56" xfId="2052"/>
    <cellStyle name="Normal 56 2" xfId="2228"/>
    <cellStyle name="Normal 56 2 2" xfId="2673"/>
    <cellStyle name="Normal 56 3" xfId="2528"/>
    <cellStyle name="Normal 57" xfId="1012"/>
    <cellStyle name="Normal 57 2" xfId="2242"/>
    <cellStyle name="Normal 57 2 2" xfId="2687"/>
    <cellStyle name="Normal 57 3" xfId="2542"/>
    <cellStyle name="Normal 57 4" xfId="2064"/>
    <cellStyle name="Normal 57 5" xfId="4281"/>
    <cellStyle name="Normal 58" xfId="2072"/>
    <cellStyle name="Normal 58 2" xfId="2250"/>
    <cellStyle name="Normal 58 2 2" xfId="2695"/>
    <cellStyle name="Normal 58 3" xfId="2550"/>
    <cellStyle name="Normal 59" xfId="2073"/>
    <cellStyle name="Normal 59 2" xfId="2251"/>
    <cellStyle name="Normal 59 2 2" xfId="2696"/>
    <cellStyle name="Normal 59 3" xfId="2551"/>
    <cellStyle name="Normal 6" xfId="1013"/>
    <cellStyle name="Normal 6 2" xfId="1014"/>
    <cellStyle name="Normal 6 2 2" xfId="1015"/>
    <cellStyle name="Normal 6 2 3" xfId="2030"/>
    <cellStyle name="Normal 6 3" xfId="1016"/>
    <cellStyle name="Normal 6 4" xfId="1746"/>
    <cellStyle name="Normal 6 5" xfId="4282"/>
    <cellStyle name="Normal 60" xfId="2050"/>
    <cellStyle name="Normal 60 2" xfId="2226"/>
    <cellStyle name="Normal 60 2 2" xfId="2671"/>
    <cellStyle name="Normal 60 3" xfId="2526"/>
    <cellStyle name="Normal 61" xfId="2046"/>
    <cellStyle name="Normal 61 2" xfId="2222"/>
    <cellStyle name="Normal 61 2 2" xfId="2667"/>
    <cellStyle name="Normal 61 3" xfId="2522"/>
    <cellStyle name="Normal 62" xfId="2042"/>
    <cellStyle name="Normal 62 2" xfId="2218"/>
    <cellStyle name="Normal 62 2 2" xfId="2663"/>
    <cellStyle name="Normal 62 3" xfId="2518"/>
    <cellStyle name="Normal 63" xfId="2047"/>
    <cellStyle name="Normal 63 2" xfId="2223"/>
    <cellStyle name="Normal 63 2 2" xfId="2668"/>
    <cellStyle name="Normal 63 3" xfId="2523"/>
    <cellStyle name="Normal 64" xfId="2074"/>
    <cellStyle name="Normal 64 2" xfId="2252"/>
    <cellStyle name="Normal 64 2 2" xfId="2697"/>
    <cellStyle name="Normal 64 3" xfId="2552"/>
    <cellStyle name="Normal 65" xfId="2071"/>
    <cellStyle name="Normal 65 2" xfId="2249"/>
    <cellStyle name="Normal 65 2 2" xfId="2694"/>
    <cellStyle name="Normal 65 3" xfId="2549"/>
    <cellStyle name="Normal 66" xfId="1872"/>
    <cellStyle name="Normal 66 2" xfId="2182"/>
    <cellStyle name="Normal 66 2 2" xfId="2627"/>
    <cellStyle name="Normal 66 3" xfId="2411"/>
    <cellStyle name="Normal 67" xfId="2066"/>
    <cellStyle name="Normal 67 2" xfId="2244"/>
    <cellStyle name="Normal 67 2 2" xfId="2689"/>
    <cellStyle name="Normal 67 3" xfId="2544"/>
    <cellStyle name="Normal 68" xfId="2075"/>
    <cellStyle name="Normal 68 2" xfId="2253"/>
    <cellStyle name="Normal 68 2 2" xfId="2698"/>
    <cellStyle name="Normal 68 3" xfId="2553"/>
    <cellStyle name="Normal 69" xfId="2076"/>
    <cellStyle name="Normal 69 2" xfId="2254"/>
    <cellStyle name="Normal 69 2 2" xfId="2699"/>
    <cellStyle name="Normal 69 3" xfId="2554"/>
    <cellStyle name="Normal 7" xfId="1017"/>
    <cellStyle name="Normal 7 2" xfId="1018"/>
    <cellStyle name="Normal 7 2 2" xfId="1019"/>
    <cellStyle name="Normal 7 2 2 2" xfId="2960"/>
    <cellStyle name="Normal 7 2 2 2 2" xfId="3560"/>
    <cellStyle name="Normal 7 2 2 2 2 2" xfId="5479"/>
    <cellStyle name="Normal 7 2 2 2 3" xfId="4940"/>
    <cellStyle name="Normal 7 2 3" xfId="2506"/>
    <cellStyle name="Normal 7 2 3 2" xfId="3441"/>
    <cellStyle name="Normal 7 2 3 2 2" xfId="5360"/>
    <cellStyle name="Normal 7 2 3 3" xfId="4782"/>
    <cellStyle name="Normal 7 2 4" xfId="4284"/>
    <cellStyle name="Normal 7 2 5" xfId="3834"/>
    <cellStyle name="Normal 7 3" xfId="1020"/>
    <cellStyle name="Normal 7 3 2" xfId="31"/>
    <cellStyle name="Normal 7 3 3" xfId="1723"/>
    <cellStyle name="Normal 7 3 3 2" xfId="3290"/>
    <cellStyle name="Normal 7 3 3 2 2" xfId="5210"/>
    <cellStyle name="Normal 7 3 3 3" xfId="4552"/>
    <cellStyle name="Normal 7 3 4" xfId="2858"/>
    <cellStyle name="Normal 7 3 4 2" xfId="3500"/>
    <cellStyle name="Normal 7 3 4 2 2" xfId="5419"/>
    <cellStyle name="Normal 7 3 4 3" xfId="4876"/>
    <cellStyle name="Normal 7 3 5" xfId="3158"/>
    <cellStyle name="Normal 7 3 5 2" xfId="5087"/>
    <cellStyle name="Normal 7 3 6" xfId="4285"/>
    <cellStyle name="Normal 7 4" xfId="1021"/>
    <cellStyle name="Normal 7 5" xfId="1722"/>
    <cellStyle name="Normal 7 5 2" xfId="3289"/>
    <cellStyle name="Normal 7 5 2 2" xfId="5209"/>
    <cellStyle name="Normal 7 5 3" xfId="4551"/>
    <cellStyle name="Normal 7 6" xfId="2031"/>
    <cellStyle name="Normal 7 6 2" xfId="3380"/>
    <cellStyle name="Normal 7 6 2 2" xfId="5300"/>
    <cellStyle name="Normal 7 6 3" xfId="4671"/>
    <cellStyle name="Normal 7 7" xfId="3157"/>
    <cellStyle name="Normal 7 7 2" xfId="5086"/>
    <cellStyle name="Normal 7 8" xfId="4283"/>
    <cellStyle name="Normal 70" xfId="2077"/>
    <cellStyle name="Normal 70 2" xfId="2255"/>
    <cellStyle name="Normal 70 2 2" xfId="2700"/>
    <cellStyle name="Normal 70 3" xfId="2555"/>
    <cellStyle name="Normal 71" xfId="2103"/>
    <cellStyle name="Normal 71 2" xfId="2281"/>
    <cellStyle name="Normal 71 2 2" xfId="2726"/>
    <cellStyle name="Normal 71 3" xfId="2581"/>
    <cellStyle name="Normal 72" xfId="2104"/>
    <cellStyle name="Normal 72 2" xfId="2282"/>
    <cellStyle name="Normal 72 2 2" xfId="2727"/>
    <cellStyle name="Normal 72 3" xfId="2582"/>
    <cellStyle name="Normal 73" xfId="2105"/>
    <cellStyle name="Normal 73 2" xfId="2283"/>
    <cellStyle name="Normal 73 2 2" xfId="2728"/>
    <cellStyle name="Normal 73 3" xfId="2583"/>
    <cellStyle name="Normal 74" xfId="2106"/>
    <cellStyle name="Normal 74 2" xfId="2284"/>
    <cellStyle name="Normal 74 2 2" xfId="2729"/>
    <cellStyle name="Normal 74 2 3" xfId="3653"/>
    <cellStyle name="Normal 74 2 3 2" xfId="5563"/>
    <cellStyle name="Normal 74 3" xfId="2584"/>
    <cellStyle name="Normal 75" xfId="2140"/>
    <cellStyle name="Normal 75 2" xfId="22"/>
    <cellStyle name="Normal 75 2 2" xfId="2755"/>
    <cellStyle name="Normal 75 2 3" xfId="2310"/>
    <cellStyle name="Normal 75 3" xfId="2612"/>
    <cellStyle name="Normal 76" xfId="2146"/>
    <cellStyle name="Normal 76 2" xfId="2313"/>
    <cellStyle name="Normal 76 2 2" xfId="2759"/>
    <cellStyle name="Normal 76 3" xfId="2616"/>
    <cellStyle name="Normal 77" xfId="2149"/>
    <cellStyle name="Normal 78" xfId="2315"/>
    <cellStyle name="Normal 79" xfId="2332"/>
    <cellStyle name="Normal 8" xfId="18"/>
    <cellStyle name="Normal 8 2" xfId="1022"/>
    <cellStyle name="Normal 8 2 2" xfId="2961"/>
    <cellStyle name="Normal 8 2 2 2" xfId="3561"/>
    <cellStyle name="Normal 8 2 2 2 2" xfId="5480"/>
    <cellStyle name="Normal 8 2 2 3" xfId="4941"/>
    <cellStyle name="Normal 8 2 3" xfId="2507"/>
    <cellStyle name="Normal 8 2 3 2" xfId="3442"/>
    <cellStyle name="Normal 8 2 3 2 2" xfId="5361"/>
    <cellStyle name="Normal 8 2 3 3" xfId="4783"/>
    <cellStyle name="Normal 8 2 4" xfId="4286"/>
    <cellStyle name="Normal 8 2 5" xfId="3661"/>
    <cellStyle name="Normal 8 3" xfId="1023"/>
    <cellStyle name="Normal 8 3 2" xfId="2859"/>
    <cellStyle name="Normal 8 3 2 2" xfId="3501"/>
    <cellStyle name="Normal 8 3 2 2 2" xfId="5420"/>
    <cellStyle name="Normal 8 3 2 3" xfId="4877"/>
    <cellStyle name="Normal 8 3 3" xfId="4287"/>
    <cellStyle name="Normal 8 3 4" xfId="3956"/>
    <cellStyle name="Normal 8 4" xfId="2032"/>
    <cellStyle name="Normal 8 4 2" xfId="3381"/>
    <cellStyle name="Normal 8 4 2 2" xfId="5301"/>
    <cellStyle name="Normal 8 4 3" xfId="4672"/>
    <cellStyle name="Normal 80" xfId="2359"/>
    <cellStyle name="Normal 81" xfId="2375"/>
    <cellStyle name="Normal 82" xfId="2334"/>
    <cellStyle name="Normal 83" xfId="2336"/>
    <cellStyle name="Normal 84" xfId="2350"/>
    <cellStyle name="Normal 85" xfId="2323"/>
    <cellStyle name="Normal 86" xfId="2347"/>
    <cellStyle name="Normal 87" xfId="2377"/>
    <cellStyle name="Normal 88" xfId="2380"/>
    <cellStyle name="Normal 89" xfId="2383"/>
    <cellStyle name="Normal 9" xfId="1024"/>
    <cellStyle name="Normal 9 2" xfId="1025"/>
    <cellStyle name="Normal 9 2 2" xfId="2962"/>
    <cellStyle name="Normal 9 2 2 2" xfId="3562"/>
    <cellStyle name="Normal 9 2 2 2 2" xfId="5481"/>
    <cellStyle name="Normal 9 2 2 3" xfId="4942"/>
    <cellStyle name="Normal 9 2 3" xfId="2508"/>
    <cellStyle name="Normal 9 2 3 2" xfId="3443"/>
    <cellStyle name="Normal 9 2 3 2 2" xfId="5362"/>
    <cellStyle name="Normal 9 2 3 3" xfId="4784"/>
    <cellStyle name="Normal 9 3" xfId="2860"/>
    <cellStyle name="Normal 9 3 2" xfId="3502"/>
    <cellStyle name="Normal 9 3 2 2" xfId="5421"/>
    <cellStyle name="Normal 9 3 3" xfId="4878"/>
    <cellStyle name="Normal 9 4" xfId="2033"/>
    <cellStyle name="Normal 9 4 2" xfId="3382"/>
    <cellStyle name="Normal 9 4 2 2" xfId="5302"/>
    <cellStyle name="Normal 9 4 3" xfId="4673"/>
    <cellStyle name="Normal 9 5" xfId="4288"/>
    <cellStyle name="Normal 9 6" xfId="3835"/>
    <cellStyle name="Normal 90" xfId="2391"/>
    <cellStyle name="Normal 91" xfId="2384"/>
    <cellStyle name="Normal 92" xfId="2367"/>
    <cellStyle name="Normal 93" xfId="2393"/>
    <cellStyle name="Normal 94" xfId="2368"/>
    <cellStyle name="Normal 95" xfId="2321"/>
    <cellStyle name="Normal 96" xfId="2372"/>
    <cellStyle name="Normal 97" xfId="2351"/>
    <cellStyle name="Normal 98" xfId="2342"/>
    <cellStyle name="Normal 99" xfId="2378"/>
    <cellStyle name="Normal_Dgkl 19-08-08" xfId="4"/>
    <cellStyle name="Normal_Dgkl san lap" xfId="8"/>
    <cellStyle name="Normal_DGKL TRUONG MAM NON HOAN CHINH" xfId="5"/>
    <cellStyle name="Normal_Khoi nha chinh" xfId="47"/>
    <cellStyle name="Normal_Sheet1 2" xfId="23"/>
    <cellStyle name="Normal_THKL19" xfId="6"/>
    <cellStyle name="Note 2" xfId="1846"/>
    <cellStyle name="Note 2 2" xfId="3017"/>
    <cellStyle name="Note 2 2 2" xfId="3580"/>
    <cellStyle name="Note 2 2 2 2" xfId="5679"/>
    <cellStyle name="Note 2 2 2 2 2" xfId="4058"/>
    <cellStyle name="Note 2 2 2 2 3" xfId="6255"/>
    <cellStyle name="Note 2 2 2 2 4" xfId="4091"/>
    <cellStyle name="Note 2 2 2 2 5" xfId="5982"/>
    <cellStyle name="Note 2 2 2 2 6" xfId="6187"/>
    <cellStyle name="Note 2 2 2 3" xfId="4709"/>
    <cellStyle name="Note 2 2 2 4" xfId="3941"/>
    <cellStyle name="Note 2 2 2 5" xfId="4188"/>
    <cellStyle name="Note 2 2 2 6" xfId="6296"/>
    <cellStyle name="Note 2 2 2 7" xfId="6154"/>
    <cellStyle name="Note 2 2 3" xfId="4421"/>
    <cellStyle name="Note 2 2 3 2" xfId="4706"/>
    <cellStyle name="Note 2 2 3 3" xfId="6170"/>
    <cellStyle name="Note 2 2 3 4" xfId="4808"/>
    <cellStyle name="Note 2 2 3 5" xfId="4710"/>
    <cellStyle name="Note 2 2 3 6" xfId="6284"/>
    <cellStyle name="Note 2 2 4" xfId="6248"/>
    <cellStyle name="Note 2 2 5" xfId="4700"/>
    <cellStyle name="Note 2 2 6" xfId="6175"/>
    <cellStyle name="Note 2 2 7" xfId="6112"/>
    <cellStyle name="Note 2 2 8" xfId="6275"/>
    <cellStyle name="Note 2 3" xfId="3026"/>
    <cellStyle name="Note 2 3 2" xfId="5689"/>
    <cellStyle name="Note 2 3 2 2" xfId="4203"/>
    <cellStyle name="Note 2 3 2 3" xfId="4717"/>
    <cellStyle name="Note 2 3 2 4" xfId="4104"/>
    <cellStyle name="Note 2 3 2 5" xfId="6077"/>
    <cellStyle name="Note 2 3 2 6" xfId="6281"/>
    <cellStyle name="Note 2 3 3" xfId="6168"/>
    <cellStyle name="Note 2 3 4" xfId="4404"/>
    <cellStyle name="Note 2 3 5" xfId="6166"/>
    <cellStyle name="Note 2 3 6" xfId="6232"/>
    <cellStyle name="Note 2 3 7" xfId="6264"/>
    <cellStyle name="Note 2 4" xfId="5665"/>
    <cellStyle name="Note 2 4 2" xfId="6084"/>
    <cellStyle name="Note 2 4 3" xfId="6241"/>
    <cellStyle name="Note 2 4 4" xfId="6285"/>
    <cellStyle name="Note 2 4 5" xfId="6200"/>
    <cellStyle name="Note 2 4 6" xfId="3946"/>
    <cellStyle name="Note 2 5" xfId="6041"/>
    <cellStyle name="Note 2 6" xfId="6235"/>
    <cellStyle name="Note 2 7" xfId="6213"/>
    <cellStyle name="Note 2 8" xfId="3694"/>
    <cellStyle name="Note 2 9" xfId="6263"/>
    <cellStyle name="Note 3" xfId="2178"/>
    <cellStyle name="Note 3 2" xfId="3024"/>
    <cellStyle name="Note 3 2 2" xfId="3583"/>
    <cellStyle name="Note 3 2 2 2" xfId="4066"/>
    <cellStyle name="Note 3 2 2 2 2" xfId="6193"/>
    <cellStyle name="Note 3 2 2 2 3" xfId="4789"/>
    <cellStyle name="Note 3 2 2 2 4" xfId="3994"/>
    <cellStyle name="Note 3 2 2 2 5" xfId="4681"/>
    <cellStyle name="Note 3 2 2 2 6" xfId="6164"/>
    <cellStyle name="Note 3 2 2 3" xfId="4718"/>
    <cellStyle name="Note 3 2 2 4" xfId="4683"/>
    <cellStyle name="Note 3 2 2 5" xfId="5935"/>
    <cellStyle name="Note 3 2 2 6" xfId="6045"/>
    <cellStyle name="Note 3 2 2 7" xfId="5936"/>
    <cellStyle name="Note 3 2 3" xfId="5573"/>
    <cellStyle name="Note 3 2 3 2" xfId="6129"/>
    <cellStyle name="Note 3 2 3 3" xfId="5986"/>
    <cellStyle name="Note 3 2 3 4" xfId="3658"/>
    <cellStyle name="Note 3 2 3 5" xfId="6218"/>
    <cellStyle name="Note 3 2 3 6" xfId="6204"/>
    <cellStyle name="Note 3 2 4" xfId="4289"/>
    <cellStyle name="Note 3 2 5" xfId="4702"/>
    <cellStyle name="Note 3 2 6" xfId="4257"/>
    <cellStyle name="Note 3 2 7" xfId="4813"/>
    <cellStyle name="Note 3 2 8" xfId="4788"/>
    <cellStyle name="Note 3 3" xfId="1854"/>
    <cellStyle name="Note 3 3 2" xfId="5575"/>
    <cellStyle name="Note 3 3 2 2" xfId="4195"/>
    <cellStyle name="Note 3 3 2 3" xfId="6203"/>
    <cellStyle name="Note 3 3 2 4" xfId="6055"/>
    <cellStyle name="Note 3 3 2 5" xfId="4809"/>
    <cellStyle name="Note 3 3 2 6" xfId="6146"/>
    <cellStyle name="Note 3 3 3" xfId="4095"/>
    <cellStyle name="Note 3 3 4" xfId="4692"/>
    <cellStyle name="Note 3 3 5" xfId="6190"/>
    <cellStyle name="Note 3 3 6" xfId="3996"/>
    <cellStyle name="Note 3 3 7" xfId="4617"/>
    <cellStyle name="Note 3 4" xfId="5612"/>
    <cellStyle name="Note 3 4 2" xfId="6210"/>
    <cellStyle name="Note 3 4 3" xfId="3982"/>
    <cellStyle name="Note 3 4 4" xfId="6082"/>
    <cellStyle name="Note 3 4 5" xfId="4816"/>
    <cellStyle name="Note 3 4 6" xfId="6030"/>
    <cellStyle name="Note 3 5" xfId="6261"/>
    <cellStyle name="Note 3 6" xfId="4410"/>
    <cellStyle name="Note 3 7" xfId="6289"/>
    <cellStyle name="Note 3 8" xfId="4696"/>
    <cellStyle name="Note 3 9" xfId="6091"/>
    <cellStyle name="Note 4" xfId="1845"/>
    <cellStyle name="Note 4 2" xfId="3016"/>
    <cellStyle name="Note 4 2 2" xfId="3579"/>
    <cellStyle name="Note 4 2 2 2" xfId="4065"/>
    <cellStyle name="Note 4 2 2 2 2" xfId="6014"/>
    <cellStyle name="Note 4 2 2 2 3" xfId="3697"/>
    <cellStyle name="Note 4 2 2 2 4" xfId="3700"/>
    <cellStyle name="Note 4 2 2 2 5" xfId="4407"/>
    <cellStyle name="Note 4 2 2 2 6" xfId="3748"/>
    <cellStyle name="Note 4 2 2 3" xfId="5955"/>
    <cellStyle name="Note 4 2 2 4" xfId="3829"/>
    <cellStyle name="Note 4 2 2 5" xfId="6103"/>
    <cellStyle name="Note 4 2 2 6" xfId="6130"/>
    <cellStyle name="Note 4 2 2 7" xfId="4786"/>
    <cellStyle name="Note 4 2 3" xfId="5647"/>
    <cellStyle name="Note 4 2 3 2" xfId="4007"/>
    <cellStyle name="Note 4 2 3 3" xfId="6260"/>
    <cellStyle name="Note 4 2 3 4" xfId="6287"/>
    <cellStyle name="Note 4 2 3 5" xfId="4003"/>
    <cellStyle name="Note 4 2 3 6" xfId="6037"/>
    <cellStyle name="Note 4 2 4" xfId="6057"/>
    <cellStyle name="Note 4 2 5" xfId="4628"/>
    <cellStyle name="Note 4 2 6" xfId="6006"/>
    <cellStyle name="Note 4 2 7" xfId="6179"/>
    <cellStyle name="Note 4 2 8" xfId="6000"/>
    <cellStyle name="Note 4 3" xfId="3029"/>
    <cellStyle name="Note 4 3 2" xfId="5641"/>
    <cellStyle name="Note 4 3 2 2" xfId="4629"/>
    <cellStyle name="Note 4 3 2 3" xfId="4743"/>
    <cellStyle name="Note 4 3 2 4" xfId="6280"/>
    <cellStyle name="Note 4 3 2 5" xfId="4000"/>
    <cellStyle name="Note 4 3 2 6" xfId="6196"/>
    <cellStyle name="Note 4 3 3" xfId="4697"/>
    <cellStyle name="Note 4 3 4" xfId="6026"/>
    <cellStyle name="Note 4 3 5" xfId="4745"/>
    <cellStyle name="Note 4 3 6" xfId="6001"/>
    <cellStyle name="Note 4 3 7" xfId="6094"/>
    <cellStyle name="Note 4 4" xfId="5683"/>
    <cellStyle name="Note 4 4 2" xfId="6018"/>
    <cellStyle name="Note 4 4 3" xfId="3725"/>
    <cellStyle name="Note 4 4 4" xfId="3816"/>
    <cellStyle name="Note 4 4 5" xfId="4123"/>
    <cellStyle name="Note 4 4 6" xfId="4386"/>
    <cellStyle name="Note 4 5" xfId="6152"/>
    <cellStyle name="Note 4 6" xfId="3986"/>
    <cellStyle name="Note 4 7" xfId="3723"/>
    <cellStyle name="Note 4 8" xfId="3769"/>
    <cellStyle name="Note 4 9" xfId="5974"/>
    <cellStyle name="NWM" xfId="1026"/>
    <cellStyle name="Ô Được nối kết" xfId="1574"/>
    <cellStyle name="Œ…‹æØ‚è [0.00]_††††† " xfId="1027"/>
    <cellStyle name="Œ…‹æØ‚è_††††† " xfId="1028"/>
    <cellStyle name="omma [0]_Mktg Prog" xfId="1029"/>
    <cellStyle name="ormal_Sheet1_1" xfId="1030"/>
    <cellStyle name="Output 16" xfId="1031"/>
    <cellStyle name="Output 16 2" xfId="3159"/>
    <cellStyle name="Output 16 2 2" xfId="5570"/>
    <cellStyle name="Output 16 2 2 2" xfId="4052"/>
    <cellStyle name="Output 16 2 2 3" xfId="3813"/>
    <cellStyle name="Output 16 2 2 4" xfId="6258"/>
    <cellStyle name="Output 16 2 2 5" xfId="4067"/>
    <cellStyle name="Output 16 2 2 6" xfId="6115"/>
    <cellStyle name="Output 16 2 3" xfId="6096"/>
    <cellStyle name="Output 16 2 4" xfId="6009"/>
    <cellStyle name="Output 16 2 5" xfId="4020"/>
    <cellStyle name="Output 16 2 6" xfId="6093"/>
    <cellStyle name="Output 16 2 7" xfId="4944"/>
    <cellStyle name="Output 16 3" xfId="5698"/>
    <cellStyle name="Output 16 3 2" xfId="4086"/>
    <cellStyle name="Output 16 3 3" xfId="5985"/>
    <cellStyle name="Output 16 3 4" xfId="6127"/>
    <cellStyle name="Output 16 3 5" xfId="6147"/>
    <cellStyle name="Output 16 3 6" xfId="5956"/>
    <cellStyle name="Output 16 4" xfId="3687"/>
    <cellStyle name="Output 16 5" xfId="6136"/>
    <cellStyle name="Output 16 6" xfId="6197"/>
    <cellStyle name="Output 16 7" xfId="4699"/>
    <cellStyle name="Output 16 8" xfId="5949"/>
    <cellStyle name="Output 2" xfId="2179"/>
    <cellStyle name="Output 2 2" xfId="3025"/>
    <cellStyle name="Output 2 2 2" xfId="3584"/>
    <cellStyle name="Output 2 2 2 2" xfId="5636"/>
    <cellStyle name="Output 2 2 2 2 2" xfId="3984"/>
    <cellStyle name="Output 2 2 2 2 3" xfId="4682"/>
    <cellStyle name="Output 2 2 2 2 4" xfId="6290"/>
    <cellStyle name="Output 2 2 2 2 5" xfId="6153"/>
    <cellStyle name="Output 2 2 2 2 6" xfId="4791"/>
    <cellStyle name="Output 2 2 2 3" xfId="6273"/>
    <cellStyle name="Output 2 2 2 4" xfId="4002"/>
    <cellStyle name="Output 2 2 2 5" xfId="4798"/>
    <cellStyle name="Output 2 2 2 6" xfId="4590"/>
    <cellStyle name="Output 2 2 2 7" xfId="4339"/>
    <cellStyle name="Output 2 2 3" xfId="5655"/>
    <cellStyle name="Output 2 2 3 2" xfId="4110"/>
    <cellStyle name="Output 2 2 3 3" xfId="3738"/>
    <cellStyle name="Output 2 2 3 4" xfId="4295"/>
    <cellStyle name="Output 2 2 3 5" xfId="4669"/>
    <cellStyle name="Output 2 2 3 6" xfId="6230"/>
    <cellStyle name="Output 2 2 4" xfId="3837"/>
    <cellStyle name="Output 2 2 5" xfId="4712"/>
    <cellStyle name="Output 2 2 6" xfId="4799"/>
    <cellStyle name="Output 2 2 7" xfId="4100"/>
    <cellStyle name="Output 2 2 8" xfId="4402"/>
    <cellStyle name="Output 2 3" xfId="3020"/>
    <cellStyle name="Output 2 3 2" xfId="4426"/>
    <cellStyle name="Output 2 3 2 2" xfId="3751"/>
    <cellStyle name="Output 2 3 2 3" xfId="6032"/>
    <cellStyle name="Output 2 3 2 4" xfId="6126"/>
    <cellStyle name="Output 2 3 2 5" xfId="4792"/>
    <cellStyle name="Output 2 3 2 6" xfId="4591"/>
    <cellStyle name="Output 2 3 3" xfId="6226"/>
    <cellStyle name="Output 2 3 4" xfId="6149"/>
    <cellStyle name="Output 2 3 5" xfId="4600"/>
    <cellStyle name="Output 2 3 6" xfId="6078"/>
    <cellStyle name="Output 2 3 7" xfId="5957"/>
    <cellStyle name="Output 2 4" xfId="5662"/>
    <cellStyle name="Output 2 4 2" xfId="3944"/>
    <cellStyle name="Output 2 4 3" xfId="4061"/>
    <cellStyle name="Output 2 4 4" xfId="4787"/>
    <cellStyle name="Output 2 4 5" xfId="6167"/>
    <cellStyle name="Output 2 4 6" xfId="5925"/>
    <cellStyle name="Output 2 5" xfId="6237"/>
    <cellStyle name="Output 2 6" xfId="6247"/>
    <cellStyle name="Output 2 7" xfId="5998"/>
    <cellStyle name="Output 2 8" xfId="6295"/>
    <cellStyle name="Output 2 9" xfId="5928"/>
    <cellStyle name="Output 3" xfId="1847"/>
    <cellStyle name="Output 3 2" xfId="3018"/>
    <cellStyle name="Output 3 2 2" xfId="3581"/>
    <cellStyle name="Output 3 2 2 2" xfId="5658"/>
    <cellStyle name="Output 3 2 2 2 2" xfId="4693"/>
    <cellStyle name="Output 3 2 2 2 3" xfId="6274"/>
    <cellStyle name="Output 3 2 2 2 4" xfId="5951"/>
    <cellStyle name="Output 3 2 2 2 5" xfId="5499"/>
    <cellStyle name="Output 3 2 2 2 6" xfId="6015"/>
    <cellStyle name="Output 3 2 2 3" xfId="5939"/>
    <cellStyle name="Output 3 2 2 4" xfId="5972"/>
    <cellStyle name="Output 3 2 2 5" xfId="5943"/>
    <cellStyle name="Output 3 2 2 6" xfId="6052"/>
    <cellStyle name="Output 3 2 2 7" xfId="6267"/>
    <cellStyle name="Output 3 2 3" xfId="5585"/>
    <cellStyle name="Output 3 2 3 2" xfId="6020"/>
    <cellStyle name="Output 3 2 3 3" xfId="5564"/>
    <cellStyle name="Output 3 2 3 4" xfId="3706"/>
    <cellStyle name="Output 3 2 3 5" xfId="6266"/>
    <cellStyle name="Output 3 2 3 6" xfId="4651"/>
    <cellStyle name="Output 3 2 4" xfId="5977"/>
    <cellStyle name="Output 3 2 5" xfId="4703"/>
    <cellStyle name="Output 3 2 6" xfId="5950"/>
    <cellStyle name="Output 3 2 7" xfId="6224"/>
    <cellStyle name="Output 3 2 8" xfId="4270"/>
    <cellStyle name="Output 3 3" xfId="3022"/>
    <cellStyle name="Output 3 3 2" xfId="5694"/>
    <cellStyle name="Output 3 3 2 2" xfId="4795"/>
    <cellStyle name="Output 3 3 2 3" xfId="4801"/>
    <cellStyle name="Output 3 3 2 4" xfId="4102"/>
    <cellStyle name="Output 3 3 2 5" xfId="6195"/>
    <cellStyle name="Output 3 3 2 6" xfId="6134"/>
    <cellStyle name="Output 3 3 3" xfId="5923"/>
    <cellStyle name="Output 3 3 4" xfId="3985"/>
    <cellStyle name="Output 3 3 5" xfId="6063"/>
    <cellStyle name="Output 3 3 6" xfId="6282"/>
    <cellStyle name="Output 3 3 7" xfId="4098"/>
    <cellStyle name="Output 3 4" xfId="5569"/>
    <cellStyle name="Output 3 4 2" xfId="6099"/>
    <cellStyle name="Output 3 4 3" xfId="6202"/>
    <cellStyle name="Output 3 4 4" xfId="4748"/>
    <cellStyle name="Output 3 4 5" xfId="4030"/>
    <cellStyle name="Output 3 4 6" xfId="4614"/>
    <cellStyle name="Output 3 5" xfId="4038"/>
    <cellStyle name="Output 3 6" xfId="4815"/>
    <cellStyle name="Output 3 7" xfId="6128"/>
    <cellStyle name="Output 3 8" xfId="5952"/>
    <cellStyle name="Output 3 9" xfId="6199"/>
    <cellStyle name="per.style" xfId="1575"/>
    <cellStyle name="Percent" xfId="29" builtinId="5"/>
    <cellStyle name="Percent [2]" xfId="1032"/>
    <cellStyle name="Percent [2] 2" xfId="1033"/>
    <cellStyle name="Percent 10" xfId="2385"/>
    <cellStyle name="Percent 11" xfId="2335"/>
    <cellStyle name="Percent 12" xfId="1034"/>
    <cellStyle name="Percent 12 2" xfId="2389"/>
    <cellStyle name="Percent 13" xfId="2354"/>
    <cellStyle name="Percent 14" xfId="2349"/>
    <cellStyle name="Percent 15" xfId="2382"/>
    <cellStyle name="Percent 16" xfId="2381"/>
    <cellStyle name="Percent 17" xfId="2386"/>
    <cellStyle name="Percent 18" xfId="2376"/>
    <cellStyle name="Percent 19" xfId="2341"/>
    <cellStyle name="Percent 2" xfId="1035"/>
    <cellStyle name="Percent 2 2" xfId="1036"/>
    <cellStyle name="Percent 2 2 2" xfId="2280"/>
    <cellStyle name="Percent 2 2 2 2" xfId="2725"/>
    <cellStyle name="Percent 2 2 3" xfId="2580"/>
    <cellStyle name="Percent 2 2 4" xfId="2102"/>
    <cellStyle name="Percent 2 2 5" xfId="4291"/>
    <cellStyle name="Percent 2 2 6" xfId="3838"/>
    <cellStyle name="Percent 2 3" xfId="1576"/>
    <cellStyle name="Percent 2 3 2" xfId="2309"/>
    <cellStyle name="Percent 2 3 2 2" xfId="2754"/>
    <cellStyle name="Percent 2 3 3" xfId="2611"/>
    <cellStyle name="Percent 2 3 4" xfId="2138"/>
    <cellStyle name="Percent 2 4" xfId="2210"/>
    <cellStyle name="Percent 2 4 2" xfId="2655"/>
    <cellStyle name="Percent 2 5" xfId="2509"/>
    <cellStyle name="Percent 2 6" xfId="2034"/>
    <cellStyle name="Percent 20" xfId="2395"/>
    <cellStyle name="Percent 21" xfId="2396"/>
    <cellStyle name="Percent 22" xfId="2397"/>
    <cellStyle name="Percent 23" xfId="3965"/>
    <cellStyle name="Percent 24" xfId="4434"/>
    <cellStyle name="Percent 25" xfId="5592"/>
    <cellStyle name="Percent 26" xfId="5680"/>
    <cellStyle name="Percent 27" xfId="5625"/>
    <cellStyle name="Percent 28" xfId="5581"/>
    <cellStyle name="Percent 29" xfId="5631"/>
    <cellStyle name="Percent 3" xfId="1037"/>
    <cellStyle name="Percent 3 2" xfId="2328"/>
    <cellStyle name="Percent 3 3" xfId="4292"/>
    <cellStyle name="Percent 3 4" xfId="3839"/>
    <cellStyle name="Percent 30" xfId="4051"/>
    <cellStyle name="Percent 31" xfId="5695"/>
    <cellStyle name="Percent 32" xfId="5622"/>
    <cellStyle name="Percent 33" xfId="5630"/>
    <cellStyle name="Percent 34" xfId="5626"/>
    <cellStyle name="Percent 35" xfId="5629"/>
    <cellStyle name="Percent 36" xfId="5648"/>
    <cellStyle name="Percent 37" xfId="5604"/>
    <cellStyle name="Percent 38" xfId="4433"/>
    <cellStyle name="Percent 39" xfId="5608"/>
    <cellStyle name="Percent 4" xfId="1038"/>
    <cellStyle name="Percent 4 2" xfId="2388"/>
    <cellStyle name="Percent 4 3" xfId="4293"/>
    <cellStyle name="Percent 4 4" xfId="3948"/>
    <cellStyle name="Percent 40" xfId="4422"/>
    <cellStyle name="Percent 41" xfId="5666"/>
    <cellStyle name="Percent 42" xfId="5618"/>
    <cellStyle name="Percent 43" xfId="5693"/>
    <cellStyle name="Percent 44" xfId="5593"/>
    <cellStyle name="Percent 45" xfId="4430"/>
    <cellStyle name="Percent 46" xfId="5583"/>
    <cellStyle name="Percent 47" xfId="5574"/>
    <cellStyle name="Percent 48" xfId="5710"/>
    <cellStyle name="Percent 49" xfId="5778"/>
    <cellStyle name="Percent 5" xfId="1039"/>
    <cellStyle name="Percent 5 2" xfId="2320"/>
    <cellStyle name="Percent 50" xfId="5885"/>
    <cellStyle name="Percent 51" xfId="5808"/>
    <cellStyle name="Percent 52" xfId="5912"/>
    <cellStyle name="Percent 53" xfId="5744"/>
    <cellStyle name="Percent 54" xfId="5707"/>
    <cellStyle name="Percent 55" xfId="5830"/>
    <cellStyle name="Percent 56" xfId="5824"/>
    <cellStyle name="Percent 57" xfId="5854"/>
    <cellStyle name="Percent 58" xfId="5716"/>
    <cellStyle name="Percent 59" xfId="5829"/>
    <cellStyle name="Percent 6" xfId="1040"/>
    <cellStyle name="Percent 6 2" xfId="2353"/>
    <cellStyle name="Percent 60" xfId="5729"/>
    <cellStyle name="Percent 61" xfId="5734"/>
    <cellStyle name="Percent 62" xfId="5722"/>
    <cellStyle name="Percent 63" xfId="5775"/>
    <cellStyle name="Percent 64" xfId="5896"/>
    <cellStyle name="Percent 65" xfId="5911"/>
    <cellStyle name="Percent 66" xfId="5771"/>
    <cellStyle name="Percent 67" xfId="5914"/>
    <cellStyle name="Percent 68" xfId="5817"/>
    <cellStyle name="Percent 69" xfId="5843"/>
    <cellStyle name="Percent 7" xfId="1041"/>
    <cellStyle name="Percent 7 2" xfId="2362"/>
    <cellStyle name="Percent 70" xfId="5868"/>
    <cellStyle name="Percent 71" xfId="5754"/>
    <cellStyle name="Percent 72" xfId="5801"/>
    <cellStyle name="Percent 73" xfId="5782"/>
    <cellStyle name="Percent 74" xfId="5834"/>
    <cellStyle name="Percent 75" xfId="5743"/>
    <cellStyle name="Percent 76" xfId="5821"/>
    <cellStyle name="Percent 77" xfId="5709"/>
    <cellStyle name="Percent 78" xfId="5776"/>
    <cellStyle name="Percent 79" xfId="5882"/>
    <cellStyle name="Percent 8" xfId="1042"/>
    <cellStyle name="Percent 8 2" xfId="2356"/>
    <cellStyle name="Percent 80" xfId="5762"/>
    <cellStyle name="Percent 81" xfId="5768"/>
    <cellStyle name="Percent 82" xfId="5723"/>
    <cellStyle name="Percent 83" xfId="5848"/>
    <cellStyle name="Percent 84" xfId="5842"/>
    <cellStyle name="Percent 85" xfId="5820"/>
    <cellStyle name="Percent 86" xfId="5880"/>
    <cellStyle name="Percent 87" xfId="5805"/>
    <cellStyle name="Percent 88" xfId="5839"/>
    <cellStyle name="Percent 89" xfId="5828"/>
    <cellStyle name="Percent 9" xfId="1043"/>
    <cellStyle name="Percent 9 2" xfId="2330"/>
    <cellStyle name="Percent 90" xfId="5781"/>
    <cellStyle name="Percent 91" xfId="5726"/>
    <cellStyle name="Percent 92" xfId="3957"/>
    <cellStyle name="Percent 93" xfId="3819"/>
    <cellStyle name="Percent 94" xfId="5964"/>
    <cellStyle name="Percent 95" xfId="6039"/>
    <cellStyle name="Percent 96" xfId="4674"/>
    <cellStyle name="PERCENTAGE" xfId="1577"/>
    <cellStyle name="PrePop Currency (0)" xfId="1578"/>
    <cellStyle name="pricing" xfId="1579"/>
    <cellStyle name="PSChar" xfId="1580"/>
    <cellStyle name="RedComma[0]" xfId="1044"/>
    <cellStyle name="RevList" xfId="1581"/>
    <cellStyle name="RowLevel_1 2 2" xfId="2369"/>
    <cellStyle name="S—_x0008_" xfId="1045"/>
    <cellStyle name="S—_x0008_ 2" xfId="4296"/>
    <cellStyle name="S—_x0008_ 3" xfId="3879"/>
    <cellStyle name="songuyen" xfId="1848"/>
    <cellStyle name="Standard_KALK-054" xfId="1582"/>
    <cellStyle name="Style 1" xfId="1046"/>
    <cellStyle name="Style 1 2" xfId="1047"/>
    <cellStyle name="Style 1 2 2" xfId="1766"/>
    <cellStyle name="Style 1 2 3" xfId="4297"/>
    <cellStyle name="Style 1 2 4" xfId="3880"/>
    <cellStyle name="Style 1 3" xfId="1583"/>
    <cellStyle name="Style 1 3 2" xfId="1849"/>
    <cellStyle name="Style 1 4" xfId="1584"/>
    <cellStyle name="Style 1 5" xfId="1761"/>
    <cellStyle name="Style 1 9" xfId="2035"/>
    <cellStyle name="Style 10" xfId="1048"/>
    <cellStyle name="Style 10 2" xfId="4298"/>
    <cellStyle name="Style 10 3" xfId="3771"/>
    <cellStyle name="Style 100" xfId="1049"/>
    <cellStyle name="Style 100 2" xfId="4299"/>
    <cellStyle name="Style 100 3" xfId="3909"/>
    <cellStyle name="Style 101" xfId="1050"/>
    <cellStyle name="Style 101 2" xfId="4300"/>
    <cellStyle name="Style 101 3" xfId="3910"/>
    <cellStyle name="Style 102" xfId="1051"/>
    <cellStyle name="Style 103" xfId="1052"/>
    <cellStyle name="Style 104" xfId="1053"/>
    <cellStyle name="Style 105" xfId="1054"/>
    <cellStyle name="Style 11" xfId="1055"/>
    <cellStyle name="Style 11 2" xfId="4301"/>
    <cellStyle name="Style 11 3" xfId="3772"/>
    <cellStyle name="Style 12" xfId="1056"/>
    <cellStyle name="Style 12 2" xfId="4302"/>
    <cellStyle name="Style 12 3" xfId="3773"/>
    <cellStyle name="Style 13" xfId="1057"/>
    <cellStyle name="Style 13 2" xfId="4303"/>
    <cellStyle name="Style 13 3" xfId="3774"/>
    <cellStyle name="Style 14" xfId="1058"/>
    <cellStyle name="Style 14 2" xfId="4304"/>
    <cellStyle name="Style 14 3" xfId="3775"/>
    <cellStyle name="Style 15" xfId="1059"/>
    <cellStyle name="Style 15 2" xfId="1060"/>
    <cellStyle name="Style 15 3" xfId="4305"/>
    <cellStyle name="Style 15 4" xfId="3776"/>
    <cellStyle name="Style 16" xfId="1061"/>
    <cellStyle name="Style 16 2" xfId="4306"/>
    <cellStyle name="Style 16 3" xfId="3777"/>
    <cellStyle name="Style 17" xfId="1062"/>
    <cellStyle name="Style 17 2" xfId="4307"/>
    <cellStyle name="Style 17 3" xfId="3778"/>
    <cellStyle name="Style 18" xfId="1063"/>
    <cellStyle name="Style 18 2" xfId="4308"/>
    <cellStyle name="Style 18 3" xfId="3779"/>
    <cellStyle name="Style 19" xfId="1064"/>
    <cellStyle name="Style 19 2" xfId="4309"/>
    <cellStyle name="Style 19 3" xfId="3780"/>
    <cellStyle name="Style 2" xfId="1065"/>
    <cellStyle name="Style 2 2" xfId="4310"/>
    <cellStyle name="Style 2 3" xfId="3882"/>
    <cellStyle name="Style 20" xfId="1066"/>
    <cellStyle name="Style 20 2" xfId="4311"/>
    <cellStyle name="Style 20 3" xfId="3781"/>
    <cellStyle name="Style 21" xfId="1067"/>
    <cellStyle name="Style 21 2" xfId="4312"/>
    <cellStyle name="Style 21 3" xfId="3782"/>
    <cellStyle name="Style 22" xfId="1068"/>
    <cellStyle name="Style 22 2" xfId="4313"/>
    <cellStyle name="Style 22 3" xfId="3783"/>
    <cellStyle name="Style 23" xfId="1069"/>
    <cellStyle name="Style 23 2" xfId="4314"/>
    <cellStyle name="Style 23 3" xfId="3784"/>
    <cellStyle name="Style 24" xfId="1070"/>
    <cellStyle name="Style 24 2" xfId="4315"/>
    <cellStyle name="Style 24 3" xfId="3785"/>
    <cellStyle name="Style 25" xfId="1071"/>
    <cellStyle name="Style 25 2" xfId="4316"/>
    <cellStyle name="Style 25 3" xfId="3786"/>
    <cellStyle name="Style 26" xfId="1072"/>
    <cellStyle name="Style 26 2" xfId="4317"/>
    <cellStyle name="Style 26 3" xfId="3787"/>
    <cellStyle name="Style 27" xfId="1073"/>
    <cellStyle name="Style 27 2" xfId="4318"/>
    <cellStyle name="Style 27 3" xfId="3788"/>
    <cellStyle name="Style 28" xfId="1074"/>
    <cellStyle name="Style 28 2" xfId="4319"/>
    <cellStyle name="Style 28 3" xfId="3789"/>
    <cellStyle name="Style 29" xfId="1075"/>
    <cellStyle name="Style 29 2" xfId="4320"/>
    <cellStyle name="Style 29 3" xfId="3790"/>
    <cellStyle name="Style 3" xfId="1076"/>
    <cellStyle name="Style 3 2" xfId="4321"/>
    <cellStyle name="Style 3 3" xfId="3883"/>
    <cellStyle name="Style 30" xfId="1077"/>
    <cellStyle name="Style 30 2" xfId="4322"/>
    <cellStyle name="Style 30 3" xfId="3791"/>
    <cellStyle name="Style 31" xfId="1078"/>
    <cellStyle name="Style 31 2" xfId="4323"/>
    <cellStyle name="Style 31 3" xfId="3792"/>
    <cellStyle name="Style 32" xfId="1079"/>
    <cellStyle name="Style 32 2" xfId="4324"/>
    <cellStyle name="Style 32 3" xfId="3793"/>
    <cellStyle name="Style 33" xfId="1080"/>
    <cellStyle name="Style 33 2" xfId="4325"/>
    <cellStyle name="Style 33 3" xfId="3794"/>
    <cellStyle name="Style 34" xfId="1081"/>
    <cellStyle name="Style 34 2" xfId="4326"/>
    <cellStyle name="Style 34 3" xfId="3795"/>
    <cellStyle name="Style 35" xfId="1082"/>
    <cellStyle name="Style 35 2" xfId="4327"/>
    <cellStyle name="Style 35 3" xfId="3796"/>
    <cellStyle name="Style 36" xfId="1083"/>
    <cellStyle name="Style 36 2" xfId="4328"/>
    <cellStyle name="Style 36 3" xfId="3797"/>
    <cellStyle name="Style 37" xfId="1084"/>
    <cellStyle name="Style 37 2" xfId="4329"/>
    <cellStyle name="Style 37 3" xfId="3798"/>
    <cellStyle name="Style 38" xfId="1085"/>
    <cellStyle name="Style 38 2" xfId="4330"/>
    <cellStyle name="Style 38 3" xfId="3799"/>
    <cellStyle name="Style 39" xfId="1086"/>
    <cellStyle name="Style 39 2" xfId="4331"/>
    <cellStyle name="Style 39 3" xfId="3800"/>
    <cellStyle name="Style 4" xfId="1087"/>
    <cellStyle name="Style 4 2" xfId="4332"/>
    <cellStyle name="Style 4 3" xfId="3884"/>
    <cellStyle name="Style 40" xfId="1088"/>
    <cellStyle name="Style 40 2" xfId="4333"/>
    <cellStyle name="Style 40 3" xfId="3801"/>
    <cellStyle name="Style 41" xfId="1089"/>
    <cellStyle name="Style 41 2" xfId="4334"/>
    <cellStyle name="Style 41 3" xfId="3802"/>
    <cellStyle name="Style 42" xfId="1090"/>
    <cellStyle name="Style 42 2" xfId="4335"/>
    <cellStyle name="Style 42 3" xfId="3840"/>
    <cellStyle name="Style 43" xfId="1091"/>
    <cellStyle name="Style 43 2" xfId="4336"/>
    <cellStyle name="Style 43 3" xfId="3841"/>
    <cellStyle name="Style 44" xfId="1092"/>
    <cellStyle name="Style 44 2" xfId="4337"/>
    <cellStyle name="Style 44 3" xfId="3842"/>
    <cellStyle name="Style 45" xfId="1093"/>
    <cellStyle name="Style 45 2" xfId="1094"/>
    <cellStyle name="Style 45 3" xfId="4338"/>
    <cellStyle name="Style 45 4" xfId="3843"/>
    <cellStyle name="Style 46" xfId="1095"/>
    <cellStyle name="Style 46 2" xfId="4340"/>
    <cellStyle name="Style 46 3" xfId="3844"/>
    <cellStyle name="Style 47" xfId="1096"/>
    <cellStyle name="Style 47 2" xfId="4341"/>
    <cellStyle name="Style 47 3" xfId="3845"/>
    <cellStyle name="Style 48" xfId="1097"/>
    <cellStyle name="Style 48 2" xfId="4342"/>
    <cellStyle name="Style 48 3" xfId="3846"/>
    <cellStyle name="Style 49" xfId="1098"/>
    <cellStyle name="Style 49 2" xfId="4343"/>
    <cellStyle name="Style 49 3" xfId="3847"/>
    <cellStyle name="Style 5" xfId="1099"/>
    <cellStyle name="Style 50" xfId="1100"/>
    <cellStyle name="Style 50 2" xfId="4345"/>
    <cellStyle name="Style 50 3" xfId="3848"/>
    <cellStyle name="Style 51" xfId="1101"/>
    <cellStyle name="Style 51 2" xfId="4346"/>
    <cellStyle name="Style 51 3" xfId="3849"/>
    <cellStyle name="Style 52" xfId="1102"/>
    <cellStyle name="Style 52 2" xfId="4347"/>
    <cellStyle name="Style 52 3" xfId="3850"/>
    <cellStyle name="Style 53" xfId="1103"/>
    <cellStyle name="Style 53 2" xfId="4348"/>
    <cellStyle name="Style 53 3" xfId="3851"/>
    <cellStyle name="Style 54" xfId="1104"/>
    <cellStyle name="Style 54 2" xfId="4349"/>
    <cellStyle name="Style 54 3" xfId="3852"/>
    <cellStyle name="Style 55" xfId="1105"/>
    <cellStyle name="Style 55 2" xfId="4350"/>
    <cellStyle name="Style 55 3" xfId="3853"/>
    <cellStyle name="Style 56" xfId="1106"/>
    <cellStyle name="Style 56 2" xfId="4351"/>
    <cellStyle name="Style 56 3" xfId="3854"/>
    <cellStyle name="Style 57" xfId="1107"/>
    <cellStyle name="Style 57 2" xfId="4352"/>
    <cellStyle name="Style 57 3" xfId="3855"/>
    <cellStyle name="Style 58" xfId="1108"/>
    <cellStyle name="Style 59" xfId="1109"/>
    <cellStyle name="Style 59 2" xfId="4354"/>
    <cellStyle name="Style 59 3" xfId="3856"/>
    <cellStyle name="Style 6" xfId="1110"/>
    <cellStyle name="Style 6 2" xfId="4355"/>
    <cellStyle name="Style 6 3" xfId="3885"/>
    <cellStyle name="Style 60" xfId="1111"/>
    <cellStyle name="Style 60 2" xfId="4356"/>
    <cellStyle name="Style 60 3" xfId="3857"/>
    <cellStyle name="Style 61" xfId="1112"/>
    <cellStyle name="Style 61 2" xfId="4357"/>
    <cellStyle name="Style 61 3" xfId="3858"/>
    <cellStyle name="Style 62" xfId="1113"/>
    <cellStyle name="Style 62 2" xfId="4358"/>
    <cellStyle name="Style 62 3" xfId="3859"/>
    <cellStyle name="Style 63" xfId="1114"/>
    <cellStyle name="Style 63 2" xfId="4359"/>
    <cellStyle name="Style 63 3" xfId="3860"/>
    <cellStyle name="Style 64" xfId="1115"/>
    <cellStyle name="Style 64 2" xfId="4360"/>
    <cellStyle name="Style 64 3" xfId="3861"/>
    <cellStyle name="Style 65" xfId="1116"/>
    <cellStyle name="Style 65 2" xfId="1117"/>
    <cellStyle name="Style 65 3" xfId="4361"/>
    <cellStyle name="Style 65 4" xfId="3862"/>
    <cellStyle name="Style 66" xfId="1118"/>
    <cellStyle name="Style 66 2" xfId="4362"/>
    <cellStyle name="Style 66 3" xfId="3863"/>
    <cellStyle name="Style 67" xfId="1119"/>
    <cellStyle name="Style 67 2" xfId="4363"/>
    <cellStyle name="Style 67 3" xfId="3864"/>
    <cellStyle name="Style 68" xfId="1120"/>
    <cellStyle name="Style 68 2" xfId="4364"/>
    <cellStyle name="Style 68 3" xfId="3865"/>
    <cellStyle name="Style 69" xfId="1121"/>
    <cellStyle name="Style 69 2" xfId="4365"/>
    <cellStyle name="Style 69 3" xfId="3866"/>
    <cellStyle name="Style 7" xfId="1122"/>
    <cellStyle name="Style 7 2" xfId="4366"/>
    <cellStyle name="Style 7 3" xfId="3886"/>
    <cellStyle name="Style 70" xfId="1123"/>
    <cellStyle name="Style 70 2" xfId="4367"/>
    <cellStyle name="Style 70 3" xfId="3867"/>
    <cellStyle name="Style 71" xfId="1124"/>
    <cellStyle name="Style 71 2" xfId="4368"/>
    <cellStyle name="Style 71 3" xfId="3868"/>
    <cellStyle name="Style 72" xfId="1125"/>
    <cellStyle name="Style 72 2" xfId="4369"/>
    <cellStyle name="Style 72 3" xfId="3869"/>
    <cellStyle name="Style 73" xfId="1126"/>
    <cellStyle name="Style 73 2" xfId="4370"/>
    <cellStyle name="Style 73 3" xfId="3870"/>
    <cellStyle name="Style 74" xfId="1127"/>
    <cellStyle name="Style 74 2" xfId="4371"/>
    <cellStyle name="Style 74 3" xfId="3871"/>
    <cellStyle name="Style 75" xfId="1128"/>
    <cellStyle name="Style 75 2" xfId="4372"/>
    <cellStyle name="Style 75 3" xfId="3872"/>
    <cellStyle name="Style 76" xfId="1129"/>
    <cellStyle name="Style 76 2" xfId="4373"/>
    <cellStyle name="Style 76 3" xfId="3873"/>
    <cellStyle name="Style 77" xfId="1130"/>
    <cellStyle name="Style 77 2" xfId="4374"/>
    <cellStyle name="Style 77 3" xfId="3874"/>
    <cellStyle name="Style 78" xfId="1131"/>
    <cellStyle name="Style 78 2" xfId="4375"/>
    <cellStyle name="Style 78 3" xfId="3875"/>
    <cellStyle name="Style 79" xfId="1132"/>
    <cellStyle name="Style 79 2" xfId="4376"/>
    <cellStyle name="Style 79 3" xfId="3876"/>
    <cellStyle name="Style 8" xfId="1133"/>
    <cellStyle name="Style 8 2" xfId="4377"/>
    <cellStyle name="Style 8 3" xfId="3887"/>
    <cellStyle name="Style 80" xfId="1134"/>
    <cellStyle name="Style 80 2" xfId="4378"/>
    <cellStyle name="Style 80 3" xfId="3877"/>
    <cellStyle name="Style 81" xfId="1135"/>
    <cellStyle name="Style 81 2" xfId="4379"/>
    <cellStyle name="Style 81 3" xfId="3878"/>
    <cellStyle name="Style 82" xfId="1136"/>
    <cellStyle name="Style 82 2" xfId="4380"/>
    <cellStyle name="Style 82 3" xfId="3891"/>
    <cellStyle name="Style 83" xfId="1137"/>
    <cellStyle name="Style 83 2" xfId="4381"/>
    <cellStyle name="Style 83 3" xfId="3892"/>
    <cellStyle name="Style 84" xfId="1138"/>
    <cellStyle name="Style 84 2" xfId="4382"/>
    <cellStyle name="Style 84 3" xfId="3893"/>
    <cellStyle name="Style 85" xfId="1139"/>
    <cellStyle name="Style 85 2" xfId="4383"/>
    <cellStyle name="Style 85 3" xfId="3894"/>
    <cellStyle name="Style 86" xfId="1140"/>
    <cellStyle name="Style 86 2" xfId="4384"/>
    <cellStyle name="Style 86 3" xfId="3895"/>
    <cellStyle name="Style 87" xfId="1141"/>
    <cellStyle name="Style 87 2" xfId="1142"/>
    <cellStyle name="Style 87 3" xfId="4385"/>
    <cellStyle name="Style 87 4" xfId="3896"/>
    <cellStyle name="Style 88" xfId="1143"/>
    <cellStyle name="Style 88 2" xfId="4387"/>
    <cellStyle name="Style 88 3" xfId="3897"/>
    <cellStyle name="Style 89" xfId="1144"/>
    <cellStyle name="Style 89 2" xfId="4388"/>
    <cellStyle name="Style 89 3" xfId="3898"/>
    <cellStyle name="Style 9" xfId="1145"/>
    <cellStyle name="Style 9 2" xfId="4389"/>
    <cellStyle name="Style 9 3" xfId="3888"/>
    <cellStyle name="Style 90" xfId="1146"/>
    <cellStyle name="Style 90 2" xfId="4390"/>
    <cellStyle name="Style 90 3" xfId="3899"/>
    <cellStyle name="Style 91" xfId="1147"/>
    <cellStyle name="Style 91 2" xfId="4391"/>
    <cellStyle name="Style 91 3" xfId="3900"/>
    <cellStyle name="Style 92" xfId="1148"/>
    <cellStyle name="Style 92 2" xfId="4392"/>
    <cellStyle name="Style 92 3" xfId="3901"/>
    <cellStyle name="Style 93" xfId="1149"/>
    <cellStyle name="Style 93 2" xfId="4393"/>
    <cellStyle name="Style 93 3" xfId="3902"/>
    <cellStyle name="Style 94" xfId="1150"/>
    <cellStyle name="Style 94 2" xfId="4394"/>
    <cellStyle name="Style 94 3" xfId="3903"/>
    <cellStyle name="Style 95" xfId="1151"/>
    <cellStyle name="Style 95 2" xfId="4395"/>
    <cellStyle name="Style 95 3" xfId="3904"/>
    <cellStyle name="Style 96" xfId="1152"/>
    <cellStyle name="Style 96 2" xfId="4396"/>
    <cellStyle name="Style 96 3" xfId="3905"/>
    <cellStyle name="Style 97" xfId="1153"/>
    <cellStyle name="Style 97 2" xfId="4397"/>
    <cellStyle name="Style 97 3" xfId="3906"/>
    <cellStyle name="Style 98" xfId="1154"/>
    <cellStyle name="Style 98 2" xfId="4398"/>
    <cellStyle name="Style 98 3" xfId="3907"/>
    <cellStyle name="Style 99" xfId="1155"/>
    <cellStyle name="Style 99 2" xfId="4399"/>
    <cellStyle name="Style 99 3" xfId="3908"/>
    <cellStyle name="Style Date" xfId="1156"/>
    <cellStyle name="Style Date 2" xfId="4400"/>
    <cellStyle name="Style Date 3" xfId="3889"/>
    <cellStyle name="subhead" xfId="1157"/>
    <cellStyle name="subhead 2" xfId="4401"/>
    <cellStyle name="subhead 3" xfId="3890"/>
    <cellStyle name="Subtotal" xfId="1585"/>
    <cellStyle name="symbol" xfId="1158"/>
    <cellStyle name="T" xfId="1159"/>
    <cellStyle name="T 2" xfId="1586"/>
    <cellStyle name="T 2 2" xfId="5994"/>
    <cellStyle name="T 2 3" xfId="4406"/>
    <cellStyle name="T 2 4" xfId="6270"/>
    <cellStyle name="T 2 5" xfId="5966"/>
    <cellStyle name="T 2 6" xfId="5505"/>
    <cellStyle name="T 3" xfId="3911"/>
    <cellStyle name="T 3 2" xfId="4694"/>
    <cellStyle name="T 3 3" xfId="6239"/>
    <cellStyle name="T 3 4" xfId="6234"/>
    <cellStyle name="T 3 5" xfId="5946"/>
    <cellStyle name="T 3 6" xfId="6161"/>
    <cellStyle name="T_bang chon NCC" xfId="1160"/>
    <cellStyle name="T_bang chon NCC 2" xfId="6067"/>
    <cellStyle name="T_bang chon NCC 3" xfId="3715"/>
    <cellStyle name="T_bang chon NCC 4" xfId="4685"/>
    <cellStyle name="T_bang chon NCC 5" xfId="6111"/>
    <cellStyle name="T_bang chon NCC 6" xfId="5498"/>
    <cellStyle name="T_Book1" xfId="1161"/>
    <cellStyle name="T_Book1 2" xfId="1162"/>
    <cellStyle name="T_Book1 2 2" xfId="6250"/>
    <cellStyle name="T_Book1 2 3" xfId="6277"/>
    <cellStyle name="T_Book1 2 4" xfId="4687"/>
    <cellStyle name="T_Book1 2 5" xfId="4883"/>
    <cellStyle name="T_Book1 2 6" xfId="6142"/>
    <cellStyle name="T_Book1 3" xfId="3836"/>
    <cellStyle name="T_Book1 4" xfId="4836"/>
    <cellStyle name="T_Book1 5" xfId="6106"/>
    <cellStyle name="T_Book1 6" xfId="6173"/>
    <cellStyle name="T_Book1 7" xfId="6080"/>
    <cellStyle name="T_Book1_1" xfId="1163"/>
    <cellStyle name="T_Book1_1 2" xfId="1164"/>
    <cellStyle name="T_Book1_1 2 2" xfId="6003"/>
    <cellStyle name="T_Book1_1 2 3" xfId="4800"/>
    <cellStyle name="T_Book1_1 2 4" xfId="6038"/>
    <cellStyle name="T_Book1_1 2 5" xfId="6085"/>
    <cellStyle name="T_Book1_1 2 6" xfId="6047"/>
    <cellStyle name="T_Book1_1 3" xfId="4080"/>
    <cellStyle name="T_Book1_1 4" xfId="6066"/>
    <cellStyle name="T_Book1_1 5" xfId="6008"/>
    <cellStyle name="T_Book1_1 6" xfId="5942"/>
    <cellStyle name="T_Book1_1 7" xfId="4739"/>
    <cellStyle name="T_Book1_1_Book1" xfId="1165"/>
    <cellStyle name="T_Book1_1_Book1 2" xfId="1166"/>
    <cellStyle name="T_Book1_1_Book1 2 2" xfId="6219"/>
    <cellStyle name="T_Book1_1_Book1 2 3" xfId="4722"/>
    <cellStyle name="T_Book1_1_Book1 2 4" xfId="6174"/>
    <cellStyle name="T_Book1_1_Book1 2 5" xfId="4042"/>
    <cellStyle name="T_Book1_1_Book1 2 6" xfId="6222"/>
    <cellStyle name="T_Book1_1_Book1 3" xfId="4077"/>
    <cellStyle name="T_Book1_1_Book1 4" xfId="3714"/>
    <cellStyle name="T_Book1_1_Book1 5" xfId="4093"/>
    <cellStyle name="T_Book1_1_Book1 6" xfId="4704"/>
    <cellStyle name="T_Book1_1_Book1 7" xfId="3761"/>
    <cellStyle name="T_Book1_2" xfId="1167"/>
    <cellStyle name="T_Book1_2 2" xfId="1168"/>
    <cellStyle name="T_Book1_2 2 2" xfId="5929"/>
    <cellStyle name="T_Book1_2 2 3" xfId="5978"/>
    <cellStyle name="T_Book1_2 2 4" xfId="3662"/>
    <cellStyle name="T_Book1_2 2 5" xfId="6288"/>
    <cellStyle name="T_Book1_2 2 6" xfId="6188"/>
    <cellStyle name="T_Book1_2 3" xfId="6211"/>
    <cellStyle name="T_Book1_2 4" xfId="6095"/>
    <cellStyle name="T_Book1_2 5" xfId="3942"/>
    <cellStyle name="T_Book1_2 6" xfId="6031"/>
    <cellStyle name="T_Book1_2 7" xfId="3717"/>
    <cellStyle name="T_Book1_3" xfId="1169"/>
    <cellStyle name="T_Book1_3 2" xfId="5992"/>
    <cellStyle name="T_Book1_3 3" xfId="4689"/>
    <cellStyle name="T_Book1_3 4" xfId="4707"/>
    <cellStyle name="T_Book1_3 5" xfId="3754"/>
    <cellStyle name="T_Book1_3 6" xfId="6177"/>
    <cellStyle name="T_Book1_Book1" xfId="1170"/>
    <cellStyle name="T_Book1_Book1 2" xfId="6100"/>
    <cellStyle name="T_Book1_Book1 3" xfId="3695"/>
    <cellStyle name="T_Book1_Book1 4" xfId="6183"/>
    <cellStyle name="T_Book1_Book1 5" xfId="6097"/>
    <cellStyle name="T_Book1_Book1 6" xfId="6208"/>
    <cellStyle name="T_Book1_Book1_1" xfId="1171"/>
    <cellStyle name="T_Book1_Book1_1 2" xfId="1172"/>
    <cellStyle name="T_Book1_Book1_1 2 2" xfId="5961"/>
    <cellStyle name="T_Book1_Book1_1 2 3" xfId="5993"/>
    <cellStyle name="T_Book1_Book1_1 2 4" xfId="4063"/>
    <cellStyle name="T_Book1_Book1_1 2 5" xfId="4607"/>
    <cellStyle name="T_Book1_Book1_1 2 6" xfId="6156"/>
    <cellStyle name="T_Book1_Book1_1 3" xfId="6046"/>
    <cellStyle name="T_Book1_Book1_1 4" xfId="3710"/>
    <cellStyle name="T_Book1_Book1_1 5" xfId="6194"/>
    <cellStyle name="T_Book1_Book1_1 6" xfId="6251"/>
    <cellStyle name="T_Book1_Book1_1 7" xfId="6159"/>
    <cellStyle name="T_Book1_Bored pile-Barrette Capacity Nov-09-2007_Quyet toan tam Delta So GD " xfId="1173"/>
    <cellStyle name="T_Book1_Bored pile-Barrette Capacity Nov-09-2007_Thanh toan tam Delta So GD " xfId="1174"/>
    <cellStyle name="T_Book1_FBO - Golden Square - 2TestBR- Jan -08 -2008_Quyet toan tam Delta So GD " xfId="1175"/>
    <cellStyle name="T_Book1_FBO - Golden Square - 2TestBR- Jan -08 -2008_Thanh toan tam Delta So GD " xfId="1176"/>
    <cellStyle name="T_Book1_FBO - Vincom -DW&amp;Mass BRs- Alt- 2008-Mar-11- 3 rigs_Quyet toan tam Delta So GD " xfId="1177"/>
    <cellStyle name="T_Book1_FBO - Vincom -DW&amp;Mass BRs- Alt- 2008-Mar-11- 3 rigs_Thanh toan tam Delta So GD " xfId="1178"/>
    <cellStyle name="T_Book1_Quyet toan tam Delta So GD " xfId="1179"/>
    <cellStyle name="T_Book1_Thanh toan tam Delta So GD " xfId="1180"/>
    <cellStyle name="T_Bored pile-Barrette Capacity Nov-09-2007_Quyet toan tam Delta So GD " xfId="1181"/>
    <cellStyle name="T_Bored pile-Barrette Capacity Nov-09-2007_Thanh toan tam Delta So GD " xfId="1182"/>
    <cellStyle name="T_FBO - Golden Square - 2TestBR- Jan -08 -2008_Quyet toan tam Delta So GD " xfId="1183"/>
    <cellStyle name="T_FBO - Golden Square - 2TestBR- Jan -08 -2008_Thanh toan tam Delta So GD " xfId="1184"/>
    <cellStyle name="T_FBO - Vincom -DW&amp;Mass BRs- Alt- 2008-Mar-11- 3 rigs_Quyet toan tam Delta So GD " xfId="1185"/>
    <cellStyle name="T_FBO - Vincom -DW&amp;Mass BRs- Alt- 2008-Mar-11- 3 rigs_Thanh toan tam Delta So GD " xfId="1186"/>
    <cellStyle name="T_giá mới" xfId="1587"/>
    <cellStyle name="T_giá mới 2" xfId="1588"/>
    <cellStyle name="T_giá mới 2 2" xfId="6101"/>
    <cellStyle name="T_giá mới 2 3" xfId="6024"/>
    <cellStyle name="T_giá mới 2 4" xfId="5989"/>
    <cellStyle name="T_giá mới 2 5" xfId="3734"/>
    <cellStyle name="T_giá mới 2 6" xfId="6013"/>
    <cellStyle name="T_giá mới 3" xfId="3912"/>
    <cellStyle name="T_giá mới 3 2" xfId="4881"/>
    <cellStyle name="T_giá mới 3 3" xfId="6076"/>
    <cellStyle name="T_giá mới 3 4" xfId="6121"/>
    <cellStyle name="T_giá mới 3 5" xfId="4290"/>
    <cellStyle name="T_giá mới 3 6" xfId="6254"/>
    <cellStyle name="T_SONADEZI" xfId="1187"/>
    <cellStyle name="T_SONADEZI 2" xfId="4814"/>
    <cellStyle name="T_SONADEZI 3" xfId="6165"/>
    <cellStyle name="T_SONADEZI 4" xfId="6023"/>
    <cellStyle name="T_SONADEZI 5" xfId="3767"/>
    <cellStyle name="T_SONADEZI 6" xfId="6228"/>
    <cellStyle name="T_TK_HT" xfId="1188"/>
    <cellStyle name="T_TK_HT 2" xfId="1189"/>
    <cellStyle name="T_TK_HT_Book1" xfId="1190"/>
    <cellStyle name="T_Union_P for Abbott - Siemon Cabling" xfId="1191"/>
    <cellStyle name="T_Union_P for Abbott - Siemon Cabling 2" xfId="4740"/>
    <cellStyle name="T_Union_P for Abbott - Siemon Cabling 3" xfId="4668"/>
    <cellStyle name="T_Union_P for Abbott - Siemon Cabling 4" xfId="5932"/>
    <cellStyle name="T_Union_P for Abbott - Siemon Cabling 5" xfId="4025"/>
    <cellStyle name="T_Union_P for Abbott - Siemon Cabling 6" xfId="5971"/>
    <cellStyle name="T_Union_P for Abott -Systimax Cabling (1)" xfId="1192"/>
    <cellStyle name="T_Union_P for Abott -Systimax Cabling (1) 2" xfId="5973"/>
    <cellStyle name="T_Union_P for Abott -Systimax Cabling (1) 3" xfId="3803"/>
    <cellStyle name="T_Union_P for Abott -Systimax Cabling (1) 4" xfId="5990"/>
    <cellStyle name="T_Union_P for Abott -Systimax Cabling (1) 5" xfId="3811"/>
    <cellStyle name="T_Union_P for Abott -Systimax Cabling (1) 6" xfId="3679"/>
    <cellStyle name="Tan" xfId="1589"/>
    <cellStyle name="Text" xfId="1193"/>
    <cellStyle name="Text Indent A" xfId="1590"/>
    <cellStyle name="Text Indent B" xfId="1591"/>
    <cellStyle name="th" xfId="1196"/>
    <cellStyle name="th 2" xfId="1592"/>
    <cellStyle name="th 2 2" xfId="5937"/>
    <cellStyle name="th 2 3" xfId="5983"/>
    <cellStyle name="th 2 4" xfId="4022"/>
    <cellStyle name="th 2 5" xfId="4164"/>
    <cellStyle name="th 2 6" xfId="4680"/>
    <cellStyle name="th 3" xfId="3914"/>
    <cellStyle name="th 3 2" xfId="5975"/>
    <cellStyle name="th 3 3" xfId="4744"/>
    <cellStyle name="th 3 4" xfId="6116"/>
    <cellStyle name="th 3 5" xfId="6214"/>
    <cellStyle name="th 3 6" xfId="6180"/>
    <cellStyle name="Tiêu đề" xfId="1593"/>
    <cellStyle name="Tính toán" xfId="1594"/>
    <cellStyle name="Tính toán 2" xfId="3174"/>
    <cellStyle name="Tính toán 2 2" xfId="5664"/>
    <cellStyle name="Tính toán 2 2 2" xfId="6207"/>
    <cellStyle name="Tính toán 2 2 3" xfId="4408"/>
    <cellStyle name="Tính toán 2 2 4" xfId="6286"/>
    <cellStyle name="Tính toán 2 2 5" xfId="4716"/>
    <cellStyle name="Tính toán 2 2 6" xfId="6172"/>
    <cellStyle name="Tính toán 2 3" xfId="6062"/>
    <cellStyle name="Tính toán 2 4" xfId="6178"/>
    <cellStyle name="Tính toán 2 5" xfId="6257"/>
    <cellStyle name="Tính toán 2 6" xfId="4035"/>
    <cellStyle name="Tính toán 2 7" xfId="3739"/>
    <cellStyle name="Tính toán 3" xfId="5598"/>
    <cellStyle name="Tính toán 3 2" xfId="4599"/>
    <cellStyle name="Tính toán 3 3" xfId="6060"/>
    <cellStyle name="Tính toán 3 4" xfId="6049"/>
    <cellStyle name="Tính toán 3 5" xfId="6064"/>
    <cellStyle name="Tính toán 3 6" xfId="5980"/>
    <cellStyle name="Tính toán 4" xfId="6192"/>
    <cellStyle name="Tính toán 5" xfId="5979"/>
    <cellStyle name="Tính toán 6" xfId="6118"/>
    <cellStyle name="Tính toán 7" xfId="5940"/>
    <cellStyle name="Tính toán 8" xfId="6253"/>
    <cellStyle name="Title 2" xfId="2180"/>
    <cellStyle name="Title 3" xfId="1851"/>
    <cellStyle name="Tổng" xfId="1595"/>
    <cellStyle name="Tổng 2" xfId="5628"/>
    <cellStyle name="Tổng 2 2" xfId="6054"/>
    <cellStyle name="Tổng 2 3" xfId="6209"/>
    <cellStyle name="Tổng 2 4" xfId="6186"/>
    <cellStyle name="Tổng 2 5" xfId="6004"/>
    <cellStyle name="Tổng 2 6" xfId="4602"/>
    <cellStyle name="Tổng 3" xfId="4805"/>
    <cellStyle name="Tổng 4" xfId="4675"/>
    <cellStyle name="Tổng 5" xfId="6240"/>
    <cellStyle name="Tổng 6" xfId="3735"/>
    <cellStyle name="Tổng 7" xfId="6107"/>
    <cellStyle name="Tốt" xfId="1596"/>
    <cellStyle name="Total 2" xfId="1194"/>
    <cellStyle name="Total 2 2" xfId="2379"/>
    <cellStyle name="Total 2 2 2" xfId="2786"/>
    <cellStyle name="Total 2 2 2 2" xfId="2980"/>
    <cellStyle name="Total 2 2 2 3" xfId="2988"/>
    <cellStyle name="Total 2 2 2 4" xfId="2992"/>
    <cellStyle name="Total 2 2 2 5" xfId="2996"/>
    <cellStyle name="Total 2 2 3" xfId="2977"/>
    <cellStyle name="Total 2 2 4" xfId="2875"/>
    <cellStyle name="Total 2 3" xfId="2314"/>
    <cellStyle name="Total 2 3 2" xfId="2760"/>
    <cellStyle name="Total 2 3 2 2" xfId="2972"/>
    <cellStyle name="Total 2 3 2 3" xfId="2984"/>
    <cellStyle name="Total 2 3 2 4" xfId="2799"/>
    <cellStyle name="Total 2 3 2 5" xfId="2885"/>
    <cellStyle name="Total 2 3 3" xfId="2964"/>
    <cellStyle name="Total 2 3 4" xfId="2794"/>
    <cellStyle name="Total 3" xfId="1195"/>
    <cellStyle name="Total 3 2" xfId="2626"/>
    <cellStyle name="Total 3 2 2" xfId="2967"/>
    <cellStyle name="Total 3 2 3" xfId="2982"/>
    <cellStyle name="Total 3 2 4" xfId="2973"/>
    <cellStyle name="Total 3 2 5" xfId="2969"/>
    <cellStyle name="Total 3 3" xfId="2795"/>
    <cellStyle name="Total 3 4" xfId="2793"/>
    <cellStyle name="Total 4" xfId="2364"/>
    <cellStyle name="Total 4 2" xfId="2779"/>
    <cellStyle name="Total 4 2 2" xfId="2976"/>
    <cellStyle name="Total 4 2 3" xfId="2986"/>
    <cellStyle name="Total 4 2 4" xfId="2990"/>
    <cellStyle name="Total 4 2 5" xfId="2994"/>
    <cellStyle name="Total 4 3" xfId="2970"/>
    <cellStyle name="Total 4 4" xfId="2923"/>
    <cellStyle name="Total 5" xfId="1852"/>
    <cellStyle name="Trung tính" xfId="1597"/>
    <cellStyle name="Văn bản Cảnh báo" xfId="1598"/>
    <cellStyle name="Văn bản Giải thích" xfId="1599"/>
    <cellStyle name="viet" xfId="1197"/>
    <cellStyle name="viet 2" xfId="4405"/>
    <cellStyle name="viet 3" xfId="3916"/>
    <cellStyle name="viet2" xfId="1198"/>
    <cellStyle name="viet2 2" xfId="1199"/>
    <cellStyle name="VN new romanNormal" xfId="1200"/>
    <cellStyle name="VN time new roman" xfId="1201"/>
    <cellStyle name="vnhead1" xfId="1202"/>
    <cellStyle name="vnhead1 2" xfId="1203"/>
    <cellStyle name="vnhead3" xfId="1600"/>
    <cellStyle name="vnhead3 2" xfId="1601"/>
    <cellStyle name="vnhead3 2 2" xfId="5597"/>
    <cellStyle name="vnhead3 2 2 2" xfId="6059"/>
    <cellStyle name="vnhead3 2 2 3" xfId="6017"/>
    <cellStyle name="vnhead3 2 2 4" xfId="4714"/>
    <cellStyle name="vnhead3 2 2 5" xfId="5934"/>
    <cellStyle name="vnhead3 2 2 6" xfId="4078"/>
    <cellStyle name="vnhead3 2 3" xfId="4807"/>
    <cellStyle name="vnhead3 2 4" xfId="4686"/>
    <cellStyle name="vnhead3 2 5" xfId="4679"/>
    <cellStyle name="vnhead3 2 6" xfId="4403"/>
    <cellStyle name="vnhead3 2 7" xfId="6256"/>
    <cellStyle name="vnhead3 3" xfId="5643"/>
    <cellStyle name="vnhead3 3 2" xfId="3764"/>
    <cellStyle name="vnhead3 3 3" xfId="6068"/>
    <cellStyle name="vnhead3 3 4" xfId="6291"/>
    <cellStyle name="vnhead3 3 5" xfId="4014"/>
    <cellStyle name="vnhead3 3 6" xfId="5954"/>
    <cellStyle name="vnhead3 4" xfId="4105"/>
    <cellStyle name="vnhead3 5" xfId="4071"/>
    <cellStyle name="vnhead3 6" xfId="3742"/>
    <cellStyle name="vnhead3 7" xfId="6262"/>
    <cellStyle name="vnhead3 8" xfId="4810"/>
    <cellStyle name="vntxt1" xfId="1602"/>
    <cellStyle name="vntxt2" xfId="1603"/>
    <cellStyle name="Währung [0]_UXO VII" xfId="1204"/>
    <cellStyle name="Währung_UXO VII" xfId="1205"/>
    <cellStyle name="Warning Text 2" xfId="2181"/>
    <cellStyle name="Warning Text 3" xfId="1853"/>
    <cellStyle name="Xấu" xfId="1604"/>
    <cellStyle name="ÿÿÿÿÿÿ" xfId="1206"/>
    <cellStyle name="アクセント 1" xfId="1207"/>
    <cellStyle name="アクセント 2" xfId="1208"/>
    <cellStyle name="アクセント 3" xfId="1209"/>
    <cellStyle name="アクセント 4" xfId="1210"/>
    <cellStyle name="アクセント 5" xfId="1211"/>
    <cellStyle name="アクセント 6" xfId="1212"/>
    <cellStyle name="タイトル" xfId="1213"/>
    <cellStyle name="チェック セル" xfId="1214"/>
    <cellStyle name="どちらでもない" xfId="1215"/>
    <cellStyle name="メモ" xfId="1216"/>
    <cellStyle name="メモ 2" xfId="3160"/>
    <cellStyle name="メモ 2 2" xfId="5567"/>
    <cellStyle name="メモ 2 2 2" xfId="4204"/>
    <cellStyle name="メモ 2 2 3" xfId="6185"/>
    <cellStyle name="メモ 2 2 4" xfId="5984"/>
    <cellStyle name="メモ 2 2 5" xfId="4601"/>
    <cellStyle name="メモ 2 2 6" xfId="5930"/>
    <cellStyle name="メモ 2 3" xfId="6215"/>
    <cellStyle name="メモ 2 4" xfId="6151"/>
    <cellStyle name="メモ 2 5" xfId="6132"/>
    <cellStyle name="メモ 2 6" xfId="3770"/>
    <cellStyle name="メモ 2 7" xfId="6227"/>
    <cellStyle name="メモ 3" xfId="5587"/>
    <cellStyle name="メモ 3 2" xfId="4109"/>
    <cellStyle name="メモ 3 3" xfId="6108"/>
    <cellStyle name="メモ 3 4" xfId="6246"/>
    <cellStyle name="メモ 3 5" xfId="6271"/>
    <cellStyle name="メモ 3 6" xfId="6074"/>
    <cellStyle name="メモ 4" xfId="6048"/>
    <cellStyle name="メモ 5" xfId="4705"/>
    <cellStyle name="メモ 6" xfId="6189"/>
    <cellStyle name="メモ 7" xfId="6122"/>
    <cellStyle name="メモ 8" xfId="4103"/>
    <cellStyle name="リンク セル" xfId="1217"/>
    <cellStyle name=" [0.00]_ Att. 1- Cover" xfId="1218"/>
    <cellStyle name="_ Att. 1- Cover" xfId="1219"/>
    <cellStyle name="?_ Att. 1- Cover" xfId="1220"/>
    <cellStyle name="똿뗦먛귟 [0.00]_PRODUCT DETAIL Q1" xfId="1221"/>
    <cellStyle name="똿뗦먛귟_PRODUCT DETAIL Q1" xfId="1222"/>
    <cellStyle name="믅됞 [0.00]_PRODUCT DETAIL Q1" xfId="1223"/>
    <cellStyle name="믅됞_PRODUCT DETAIL Q1" xfId="1224"/>
    <cellStyle name="백분율_††††† " xfId="1225"/>
    <cellStyle name="뷭?_BOOKSHIP" xfId="1226"/>
    <cellStyle name="콤마 [ - 유형1" xfId="1856"/>
    <cellStyle name="콤마 [ - 유형2" xfId="1857"/>
    <cellStyle name="콤마 [ - 유형3" xfId="1858"/>
    <cellStyle name="콤마 [ - 유형4" xfId="1859"/>
    <cellStyle name="콤마 [ - 유형5" xfId="1860"/>
    <cellStyle name="콤마 [ - 유형6" xfId="1861"/>
    <cellStyle name="콤마 [ - 유형7" xfId="1862"/>
    <cellStyle name="콤마 [ - 유형8" xfId="1863"/>
    <cellStyle name="콤마 [0]_ 비목별 월별기술 " xfId="1227"/>
    <cellStyle name="콤마_  종  합  " xfId="1228"/>
    <cellStyle name="통화 [0]_††††† " xfId="1229"/>
    <cellStyle name="통화_††††† " xfId="1230"/>
    <cellStyle name="표준 2" xfId="1231"/>
    <cellStyle name="표준 5" xfId="1232"/>
    <cellStyle name="표준_(정보부문)월별인원계획" xfId="1233"/>
    <cellStyle name="一般_00Q3902REV.1" xfId="1864"/>
    <cellStyle name="入力" xfId="1234"/>
    <cellStyle name="入力 2" xfId="3161"/>
    <cellStyle name="入力 2 2" xfId="5645"/>
    <cellStyle name="入力 2 2 2" xfId="4802"/>
    <cellStyle name="入力 2 2 3" xfId="6244"/>
    <cellStyle name="入力 2 2 4" xfId="6148"/>
    <cellStyle name="入力 2 2 5" xfId="6105"/>
    <cellStyle name="入力 2 2 6" xfId="6229"/>
    <cellStyle name="入力 2 3" xfId="6079"/>
    <cellStyle name="入力 2 4" xfId="4099"/>
    <cellStyle name="入力 2 5" xfId="4695"/>
    <cellStyle name="入力 2 6" xfId="5926"/>
    <cellStyle name="入力 2 7" xfId="6206"/>
    <cellStyle name="入力 3" xfId="5613"/>
    <cellStyle name="入力 3 2" xfId="6069"/>
    <cellStyle name="入力 3 3" xfId="4072"/>
    <cellStyle name="入力 3 4" xfId="3659"/>
    <cellStyle name="入力 3 5" xfId="4189"/>
    <cellStyle name="入力 3 6" xfId="6212"/>
    <cellStyle name="入力 4" xfId="3768"/>
    <cellStyle name="入力 5" xfId="5941"/>
    <cellStyle name="入力 6" xfId="4632"/>
    <cellStyle name="入力 7" xfId="5931"/>
    <cellStyle name="入力 8" xfId="6145"/>
    <cellStyle name="出力" xfId="1235"/>
    <cellStyle name="出力 2" xfId="3162"/>
    <cellStyle name="出力 2 2" xfId="4429"/>
    <cellStyle name="出力 2 2 2" xfId="6140"/>
    <cellStyle name="出力 2 2 3" xfId="6025"/>
    <cellStyle name="出力 2 2 4" xfId="6169"/>
    <cellStyle name="出力 2 2 5" xfId="6104"/>
    <cellStyle name="出力 2 2 6" xfId="4879"/>
    <cellStyle name="出力 2 3" xfId="4019"/>
    <cellStyle name="出力 2 4" xfId="5987"/>
    <cellStyle name="出力 2 5" xfId="3983"/>
    <cellStyle name="出力 2 6" xfId="6155"/>
    <cellStyle name="出力 2 7" xfId="6225"/>
    <cellStyle name="出力 3" xfId="5596"/>
    <cellStyle name="出力 3 2" xfId="4073"/>
    <cellStyle name="出力 3 3" xfId="6053"/>
    <cellStyle name="出力 3 4" xfId="6123"/>
    <cellStyle name="出力 3 5" xfId="6252"/>
    <cellStyle name="出力 3 6" xfId="6283"/>
    <cellStyle name="出力 4" xfId="4114"/>
    <cellStyle name="出力 5" xfId="6040"/>
    <cellStyle name="出力 6" xfId="6158"/>
    <cellStyle name="出力 7" xfId="3669"/>
    <cellStyle name="出力 8" xfId="6272"/>
    <cellStyle name="千分位[0]_00Q3902REV.1" xfId="1865"/>
    <cellStyle name="千分位_00Q3902REV.1" xfId="1866"/>
    <cellStyle name="大綱欄_1_Schedule of Quantities and Rates" xfId="1236"/>
    <cellStyle name="悪い" xfId="1237"/>
    <cellStyle name="桁区切り [0.00]_COST P PTB Bldg. 01" xfId="1605"/>
    <cellStyle name="桁区切り_【2004-01】AspilaEX_Enkay" xfId="1238"/>
    <cellStyle name="標準_(A1)BOQ " xfId="1239"/>
    <cellStyle name="良い" xfId="1240"/>
    <cellStyle name="見出し 1" xfId="1241"/>
    <cellStyle name="見出し 2" xfId="1242"/>
    <cellStyle name="見出し 3" xfId="1243"/>
    <cellStyle name="見出し 4" xfId="1244"/>
    <cellStyle name="計算" xfId="1245"/>
    <cellStyle name="計算 2" xfId="3163"/>
    <cellStyle name="計算 2 2" xfId="5599"/>
    <cellStyle name="計算 2 2 2" xfId="6157"/>
    <cellStyle name="計算 2 2 3" xfId="6110"/>
    <cellStyle name="計算 2 2 4" xfId="3763"/>
    <cellStyle name="計算 2 2 5" xfId="3657"/>
    <cellStyle name="計算 2 2 6" xfId="6071"/>
    <cellStyle name="計算 2 3" xfId="5967"/>
    <cellStyle name="計算 2 4" xfId="4032"/>
    <cellStyle name="計算 2 5" xfId="6223"/>
    <cellStyle name="計算 2 6" xfId="6181"/>
    <cellStyle name="計算 2 7" xfId="4633"/>
    <cellStyle name="計算 3" xfId="4419"/>
    <cellStyle name="計算 3 2" xfId="4676"/>
    <cellStyle name="計算 3 3" xfId="6269"/>
    <cellStyle name="計算 3 4" xfId="6065"/>
    <cellStyle name="計算 3 5" xfId="3762"/>
    <cellStyle name="計算 3 6" xfId="6034"/>
    <cellStyle name="計算 4" xfId="4057"/>
    <cellStyle name="計算 5" xfId="5938"/>
    <cellStyle name="計算 6" xfId="6089"/>
    <cellStyle name="計算 7" xfId="6114"/>
    <cellStyle name="計算 8" xfId="4593"/>
    <cellStyle name="説明文" xfId="1246"/>
    <cellStyle name="警告文" xfId="1247"/>
    <cellStyle name="貨幣 [0]_00Q3902REV.1" xfId="1867"/>
    <cellStyle name="貨幣[0]_BRE" xfId="1248"/>
    <cellStyle name="貨幣_00Q3902REV.1" xfId="1868"/>
    <cellStyle name="集計" xfId="1249"/>
    <cellStyle name="集計 2" xfId="5578"/>
    <cellStyle name="集計 2 2" xfId="6231"/>
    <cellStyle name="集計 2 3" xfId="4636"/>
    <cellStyle name="集計 2 4" xfId="5947"/>
    <cellStyle name="集計 2 5" xfId="4806"/>
    <cellStyle name="集計 2 6" xfId="6081"/>
    <cellStyle name="集計 3" xfId="4196"/>
    <cellStyle name="集計 4" xfId="4708"/>
    <cellStyle name="集計 5" xfId="6236"/>
    <cellStyle name="集計 6" xfId="4603"/>
    <cellStyle name="集計 7" xfId="3696"/>
  </cellStyles>
  <dxfs count="6">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CCFFFF"/>
      <color rgb="FF9966FF"/>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725805</xdr:colOff>
      <xdr:row>3</xdr:row>
      <xdr:rowOff>144780</xdr:rowOff>
    </xdr:from>
    <xdr:to>
      <xdr:col>2</xdr:col>
      <xdr:colOff>586901</xdr:colOff>
      <xdr:row>3</xdr:row>
      <xdr:rowOff>144780</xdr:rowOff>
    </xdr:to>
    <xdr:cxnSp macro="">
      <xdr:nvCxnSpPr>
        <xdr:cNvPr id="3" name="Straight Connector 2">
          <a:extLst>
            <a:ext uri="{FF2B5EF4-FFF2-40B4-BE49-F238E27FC236}">
              <a16:creationId xmlns:a16="http://schemas.microsoft.com/office/drawing/2014/main" id="{00000000-0008-0000-0000-000003000000}"/>
            </a:ext>
          </a:extLst>
        </xdr:cNvPr>
        <xdr:cNvCxnSpPr/>
      </xdr:nvCxnSpPr>
      <xdr:spPr>
        <a:xfrm>
          <a:off x="1592580" y="830580"/>
          <a:ext cx="80407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209550</xdr:colOff>
      <xdr:row>7</xdr:row>
      <xdr:rowOff>314325</xdr:rowOff>
    </xdr:from>
    <xdr:ext cx="1543634" cy="0"/>
    <xdr:sp macro="" textlink="">
      <xdr:nvSpPr>
        <xdr:cNvPr id="2" name="Line 2">
          <a:extLst>
            <a:ext uri="{FF2B5EF4-FFF2-40B4-BE49-F238E27FC236}">
              <a16:creationId xmlns:a16="http://schemas.microsoft.com/office/drawing/2014/main" id="{00000000-0008-0000-0B00-000002000000}"/>
            </a:ext>
          </a:extLst>
        </xdr:cNvPr>
        <xdr:cNvSpPr>
          <a:spLocks noChangeShapeType="1"/>
        </xdr:cNvSpPr>
      </xdr:nvSpPr>
      <xdr:spPr bwMode="auto">
        <a:xfrm>
          <a:off x="1133475" y="17335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8</xdr:row>
      <xdr:rowOff>314325</xdr:rowOff>
    </xdr:from>
    <xdr:ext cx="1543634" cy="0"/>
    <xdr:sp macro="" textlink="">
      <xdr:nvSpPr>
        <xdr:cNvPr id="3" name="Line 2">
          <a:extLst>
            <a:ext uri="{FF2B5EF4-FFF2-40B4-BE49-F238E27FC236}">
              <a16:creationId xmlns:a16="http://schemas.microsoft.com/office/drawing/2014/main" id="{00000000-0008-0000-0B00-000003000000}"/>
            </a:ext>
          </a:extLst>
        </xdr:cNvPr>
        <xdr:cNvSpPr>
          <a:spLocks noChangeShapeType="1"/>
        </xdr:cNvSpPr>
      </xdr:nvSpPr>
      <xdr:spPr bwMode="auto">
        <a:xfrm>
          <a:off x="1133475" y="20859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9</xdr:row>
      <xdr:rowOff>314325</xdr:rowOff>
    </xdr:from>
    <xdr:ext cx="1543634" cy="0"/>
    <xdr:sp macro="" textlink="">
      <xdr:nvSpPr>
        <xdr:cNvPr id="4" name="Line 2">
          <a:extLst>
            <a:ext uri="{FF2B5EF4-FFF2-40B4-BE49-F238E27FC236}">
              <a16:creationId xmlns:a16="http://schemas.microsoft.com/office/drawing/2014/main" id="{00000000-0008-0000-0B00-000004000000}"/>
            </a:ext>
          </a:extLst>
        </xdr:cNvPr>
        <xdr:cNvSpPr>
          <a:spLocks noChangeShapeType="1"/>
        </xdr:cNvSpPr>
      </xdr:nvSpPr>
      <xdr:spPr bwMode="auto">
        <a:xfrm>
          <a:off x="1133475" y="24384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10</xdr:row>
      <xdr:rowOff>314325</xdr:rowOff>
    </xdr:from>
    <xdr:ext cx="1543634" cy="0"/>
    <xdr:sp macro="" textlink="">
      <xdr:nvSpPr>
        <xdr:cNvPr id="5" name="Line 2">
          <a:extLst>
            <a:ext uri="{FF2B5EF4-FFF2-40B4-BE49-F238E27FC236}">
              <a16:creationId xmlns:a16="http://schemas.microsoft.com/office/drawing/2014/main" id="{00000000-0008-0000-0B00-000005000000}"/>
            </a:ext>
          </a:extLst>
        </xdr:cNvPr>
        <xdr:cNvSpPr>
          <a:spLocks noChangeShapeType="1"/>
        </xdr:cNvSpPr>
      </xdr:nvSpPr>
      <xdr:spPr bwMode="auto">
        <a:xfrm>
          <a:off x="1133475" y="27908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11</xdr:row>
      <xdr:rowOff>314325</xdr:rowOff>
    </xdr:from>
    <xdr:ext cx="1543634" cy="0"/>
    <xdr:sp macro="" textlink="">
      <xdr:nvSpPr>
        <xdr:cNvPr id="6" name="Line 2">
          <a:extLst>
            <a:ext uri="{FF2B5EF4-FFF2-40B4-BE49-F238E27FC236}">
              <a16:creationId xmlns:a16="http://schemas.microsoft.com/office/drawing/2014/main" id="{00000000-0008-0000-0B00-000006000000}"/>
            </a:ext>
          </a:extLst>
        </xdr:cNvPr>
        <xdr:cNvSpPr>
          <a:spLocks noChangeShapeType="1"/>
        </xdr:cNvSpPr>
      </xdr:nvSpPr>
      <xdr:spPr bwMode="auto">
        <a:xfrm>
          <a:off x="1133475" y="31432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12</xdr:row>
      <xdr:rowOff>314325</xdr:rowOff>
    </xdr:from>
    <xdr:ext cx="1543634" cy="0"/>
    <xdr:sp macro="" textlink="">
      <xdr:nvSpPr>
        <xdr:cNvPr id="7" name="Line 2">
          <a:extLst>
            <a:ext uri="{FF2B5EF4-FFF2-40B4-BE49-F238E27FC236}">
              <a16:creationId xmlns:a16="http://schemas.microsoft.com/office/drawing/2014/main" id="{00000000-0008-0000-0B00-000007000000}"/>
            </a:ext>
          </a:extLst>
        </xdr:cNvPr>
        <xdr:cNvSpPr>
          <a:spLocks noChangeShapeType="1"/>
        </xdr:cNvSpPr>
      </xdr:nvSpPr>
      <xdr:spPr bwMode="auto">
        <a:xfrm>
          <a:off x="1133475" y="34956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13</xdr:row>
      <xdr:rowOff>314325</xdr:rowOff>
    </xdr:from>
    <xdr:ext cx="1543634" cy="0"/>
    <xdr:sp macro="" textlink="">
      <xdr:nvSpPr>
        <xdr:cNvPr id="8" name="Line 2">
          <a:extLst>
            <a:ext uri="{FF2B5EF4-FFF2-40B4-BE49-F238E27FC236}">
              <a16:creationId xmlns:a16="http://schemas.microsoft.com/office/drawing/2014/main" id="{00000000-0008-0000-0B00-000008000000}"/>
            </a:ext>
          </a:extLst>
        </xdr:cNvPr>
        <xdr:cNvSpPr>
          <a:spLocks noChangeShapeType="1"/>
        </xdr:cNvSpPr>
      </xdr:nvSpPr>
      <xdr:spPr bwMode="auto">
        <a:xfrm>
          <a:off x="1133475" y="38481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14</xdr:row>
      <xdr:rowOff>314325</xdr:rowOff>
    </xdr:from>
    <xdr:ext cx="1543634" cy="0"/>
    <xdr:sp macro="" textlink="">
      <xdr:nvSpPr>
        <xdr:cNvPr id="9" name="Line 2">
          <a:extLst>
            <a:ext uri="{FF2B5EF4-FFF2-40B4-BE49-F238E27FC236}">
              <a16:creationId xmlns:a16="http://schemas.microsoft.com/office/drawing/2014/main" id="{00000000-0008-0000-0B00-000009000000}"/>
            </a:ext>
          </a:extLst>
        </xdr:cNvPr>
        <xdr:cNvSpPr>
          <a:spLocks noChangeShapeType="1"/>
        </xdr:cNvSpPr>
      </xdr:nvSpPr>
      <xdr:spPr bwMode="auto">
        <a:xfrm>
          <a:off x="1133475" y="42005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15</xdr:row>
      <xdr:rowOff>314325</xdr:rowOff>
    </xdr:from>
    <xdr:ext cx="1543634" cy="0"/>
    <xdr:sp macro="" textlink="">
      <xdr:nvSpPr>
        <xdr:cNvPr id="10" name="Line 2">
          <a:extLst>
            <a:ext uri="{FF2B5EF4-FFF2-40B4-BE49-F238E27FC236}">
              <a16:creationId xmlns:a16="http://schemas.microsoft.com/office/drawing/2014/main" id="{00000000-0008-0000-0B00-00000A000000}"/>
            </a:ext>
          </a:extLst>
        </xdr:cNvPr>
        <xdr:cNvSpPr>
          <a:spLocks noChangeShapeType="1"/>
        </xdr:cNvSpPr>
      </xdr:nvSpPr>
      <xdr:spPr bwMode="auto">
        <a:xfrm>
          <a:off x="1133475" y="45529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16</xdr:row>
      <xdr:rowOff>314325</xdr:rowOff>
    </xdr:from>
    <xdr:ext cx="1543634" cy="0"/>
    <xdr:sp macro="" textlink="">
      <xdr:nvSpPr>
        <xdr:cNvPr id="11" name="Line 2">
          <a:extLst>
            <a:ext uri="{FF2B5EF4-FFF2-40B4-BE49-F238E27FC236}">
              <a16:creationId xmlns:a16="http://schemas.microsoft.com/office/drawing/2014/main" id="{00000000-0008-0000-0B00-00000B000000}"/>
            </a:ext>
          </a:extLst>
        </xdr:cNvPr>
        <xdr:cNvSpPr>
          <a:spLocks noChangeShapeType="1"/>
        </xdr:cNvSpPr>
      </xdr:nvSpPr>
      <xdr:spPr bwMode="auto">
        <a:xfrm>
          <a:off x="1133475" y="49053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17</xdr:row>
      <xdr:rowOff>314325</xdr:rowOff>
    </xdr:from>
    <xdr:ext cx="1543634" cy="0"/>
    <xdr:sp macro="" textlink="">
      <xdr:nvSpPr>
        <xdr:cNvPr id="12" name="Line 2">
          <a:extLst>
            <a:ext uri="{FF2B5EF4-FFF2-40B4-BE49-F238E27FC236}">
              <a16:creationId xmlns:a16="http://schemas.microsoft.com/office/drawing/2014/main" id="{00000000-0008-0000-0B00-00000C000000}"/>
            </a:ext>
          </a:extLst>
        </xdr:cNvPr>
        <xdr:cNvSpPr>
          <a:spLocks noChangeShapeType="1"/>
        </xdr:cNvSpPr>
      </xdr:nvSpPr>
      <xdr:spPr bwMode="auto">
        <a:xfrm>
          <a:off x="1133475" y="52578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18</xdr:row>
      <xdr:rowOff>314325</xdr:rowOff>
    </xdr:from>
    <xdr:ext cx="1543634" cy="0"/>
    <xdr:sp macro="" textlink="">
      <xdr:nvSpPr>
        <xdr:cNvPr id="13" name="Line 2">
          <a:extLst>
            <a:ext uri="{FF2B5EF4-FFF2-40B4-BE49-F238E27FC236}">
              <a16:creationId xmlns:a16="http://schemas.microsoft.com/office/drawing/2014/main" id="{00000000-0008-0000-0B00-00000D000000}"/>
            </a:ext>
          </a:extLst>
        </xdr:cNvPr>
        <xdr:cNvSpPr>
          <a:spLocks noChangeShapeType="1"/>
        </xdr:cNvSpPr>
      </xdr:nvSpPr>
      <xdr:spPr bwMode="auto">
        <a:xfrm>
          <a:off x="1133475" y="56102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19</xdr:row>
      <xdr:rowOff>314325</xdr:rowOff>
    </xdr:from>
    <xdr:ext cx="1543634" cy="0"/>
    <xdr:sp macro="" textlink="">
      <xdr:nvSpPr>
        <xdr:cNvPr id="14" name="Line 2">
          <a:extLst>
            <a:ext uri="{FF2B5EF4-FFF2-40B4-BE49-F238E27FC236}">
              <a16:creationId xmlns:a16="http://schemas.microsoft.com/office/drawing/2014/main" id="{00000000-0008-0000-0B00-00000E000000}"/>
            </a:ext>
          </a:extLst>
        </xdr:cNvPr>
        <xdr:cNvSpPr>
          <a:spLocks noChangeShapeType="1"/>
        </xdr:cNvSpPr>
      </xdr:nvSpPr>
      <xdr:spPr bwMode="auto">
        <a:xfrm>
          <a:off x="1133475" y="59626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20</xdr:row>
      <xdr:rowOff>314325</xdr:rowOff>
    </xdr:from>
    <xdr:ext cx="1543634" cy="0"/>
    <xdr:sp macro="" textlink="">
      <xdr:nvSpPr>
        <xdr:cNvPr id="15" name="Line 2">
          <a:extLst>
            <a:ext uri="{FF2B5EF4-FFF2-40B4-BE49-F238E27FC236}">
              <a16:creationId xmlns:a16="http://schemas.microsoft.com/office/drawing/2014/main" id="{00000000-0008-0000-0B00-00000F000000}"/>
            </a:ext>
          </a:extLst>
        </xdr:cNvPr>
        <xdr:cNvSpPr>
          <a:spLocks noChangeShapeType="1"/>
        </xdr:cNvSpPr>
      </xdr:nvSpPr>
      <xdr:spPr bwMode="auto">
        <a:xfrm>
          <a:off x="1133475" y="63150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21</xdr:row>
      <xdr:rowOff>314325</xdr:rowOff>
    </xdr:from>
    <xdr:ext cx="1543634" cy="0"/>
    <xdr:sp macro="" textlink="">
      <xdr:nvSpPr>
        <xdr:cNvPr id="16" name="Line 2">
          <a:extLst>
            <a:ext uri="{FF2B5EF4-FFF2-40B4-BE49-F238E27FC236}">
              <a16:creationId xmlns:a16="http://schemas.microsoft.com/office/drawing/2014/main" id="{00000000-0008-0000-0B00-000010000000}"/>
            </a:ext>
          </a:extLst>
        </xdr:cNvPr>
        <xdr:cNvSpPr>
          <a:spLocks noChangeShapeType="1"/>
        </xdr:cNvSpPr>
      </xdr:nvSpPr>
      <xdr:spPr bwMode="auto">
        <a:xfrm>
          <a:off x="1133475" y="66675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23</xdr:row>
      <xdr:rowOff>314325</xdr:rowOff>
    </xdr:from>
    <xdr:ext cx="1543634" cy="0"/>
    <xdr:sp macro="" textlink="">
      <xdr:nvSpPr>
        <xdr:cNvPr id="17" name="Line 2">
          <a:extLst>
            <a:ext uri="{FF2B5EF4-FFF2-40B4-BE49-F238E27FC236}">
              <a16:creationId xmlns:a16="http://schemas.microsoft.com/office/drawing/2014/main" id="{00000000-0008-0000-0B00-000011000000}"/>
            </a:ext>
          </a:extLst>
        </xdr:cNvPr>
        <xdr:cNvSpPr>
          <a:spLocks noChangeShapeType="1"/>
        </xdr:cNvSpPr>
      </xdr:nvSpPr>
      <xdr:spPr bwMode="auto">
        <a:xfrm>
          <a:off x="1133475" y="73723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24</xdr:row>
      <xdr:rowOff>314325</xdr:rowOff>
    </xdr:from>
    <xdr:ext cx="1543634" cy="0"/>
    <xdr:sp macro="" textlink="">
      <xdr:nvSpPr>
        <xdr:cNvPr id="18" name="Line 2">
          <a:extLst>
            <a:ext uri="{FF2B5EF4-FFF2-40B4-BE49-F238E27FC236}">
              <a16:creationId xmlns:a16="http://schemas.microsoft.com/office/drawing/2014/main" id="{00000000-0008-0000-0B00-000012000000}"/>
            </a:ext>
          </a:extLst>
        </xdr:cNvPr>
        <xdr:cNvSpPr>
          <a:spLocks noChangeShapeType="1"/>
        </xdr:cNvSpPr>
      </xdr:nvSpPr>
      <xdr:spPr bwMode="auto">
        <a:xfrm>
          <a:off x="1133475" y="77247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26</xdr:row>
      <xdr:rowOff>314325</xdr:rowOff>
    </xdr:from>
    <xdr:ext cx="1543634" cy="0"/>
    <xdr:sp macro="" textlink="">
      <xdr:nvSpPr>
        <xdr:cNvPr id="19" name="Line 2">
          <a:extLst>
            <a:ext uri="{FF2B5EF4-FFF2-40B4-BE49-F238E27FC236}">
              <a16:creationId xmlns:a16="http://schemas.microsoft.com/office/drawing/2014/main" id="{00000000-0008-0000-0B00-000013000000}"/>
            </a:ext>
          </a:extLst>
        </xdr:cNvPr>
        <xdr:cNvSpPr>
          <a:spLocks noChangeShapeType="1"/>
        </xdr:cNvSpPr>
      </xdr:nvSpPr>
      <xdr:spPr bwMode="auto">
        <a:xfrm>
          <a:off x="1133475" y="84296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22</xdr:row>
      <xdr:rowOff>314325</xdr:rowOff>
    </xdr:from>
    <xdr:ext cx="1543634" cy="0"/>
    <xdr:sp macro="" textlink="">
      <xdr:nvSpPr>
        <xdr:cNvPr id="20" name="Line 2">
          <a:extLst>
            <a:ext uri="{FF2B5EF4-FFF2-40B4-BE49-F238E27FC236}">
              <a16:creationId xmlns:a16="http://schemas.microsoft.com/office/drawing/2014/main" id="{00000000-0008-0000-0B00-000014000000}"/>
            </a:ext>
          </a:extLst>
        </xdr:cNvPr>
        <xdr:cNvSpPr>
          <a:spLocks noChangeShapeType="1"/>
        </xdr:cNvSpPr>
      </xdr:nvSpPr>
      <xdr:spPr bwMode="auto">
        <a:xfrm>
          <a:off x="1133475" y="70199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25</xdr:row>
      <xdr:rowOff>314325</xdr:rowOff>
    </xdr:from>
    <xdr:ext cx="1543634" cy="0"/>
    <xdr:sp macro="" textlink="">
      <xdr:nvSpPr>
        <xdr:cNvPr id="21" name="Line 2">
          <a:extLst>
            <a:ext uri="{FF2B5EF4-FFF2-40B4-BE49-F238E27FC236}">
              <a16:creationId xmlns:a16="http://schemas.microsoft.com/office/drawing/2014/main" id="{00000000-0008-0000-0B00-000015000000}"/>
            </a:ext>
          </a:extLst>
        </xdr:cNvPr>
        <xdr:cNvSpPr>
          <a:spLocks noChangeShapeType="1"/>
        </xdr:cNvSpPr>
      </xdr:nvSpPr>
      <xdr:spPr bwMode="auto">
        <a:xfrm>
          <a:off x="1133475" y="80772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28</xdr:row>
      <xdr:rowOff>314325</xdr:rowOff>
    </xdr:from>
    <xdr:ext cx="1543634" cy="0"/>
    <xdr:sp macro="" textlink="">
      <xdr:nvSpPr>
        <xdr:cNvPr id="22" name="Line 2">
          <a:extLst>
            <a:ext uri="{FF2B5EF4-FFF2-40B4-BE49-F238E27FC236}">
              <a16:creationId xmlns:a16="http://schemas.microsoft.com/office/drawing/2014/main" id="{00000000-0008-0000-0B00-000016000000}"/>
            </a:ext>
          </a:extLst>
        </xdr:cNvPr>
        <xdr:cNvSpPr>
          <a:spLocks noChangeShapeType="1"/>
        </xdr:cNvSpPr>
      </xdr:nvSpPr>
      <xdr:spPr bwMode="auto">
        <a:xfrm>
          <a:off x="1133475" y="96297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29</xdr:row>
      <xdr:rowOff>314325</xdr:rowOff>
    </xdr:from>
    <xdr:ext cx="1543634" cy="0"/>
    <xdr:sp macro="" textlink="">
      <xdr:nvSpPr>
        <xdr:cNvPr id="23" name="Line 2">
          <a:extLst>
            <a:ext uri="{FF2B5EF4-FFF2-40B4-BE49-F238E27FC236}">
              <a16:creationId xmlns:a16="http://schemas.microsoft.com/office/drawing/2014/main" id="{00000000-0008-0000-0B00-000017000000}"/>
            </a:ext>
          </a:extLst>
        </xdr:cNvPr>
        <xdr:cNvSpPr>
          <a:spLocks noChangeShapeType="1"/>
        </xdr:cNvSpPr>
      </xdr:nvSpPr>
      <xdr:spPr bwMode="auto">
        <a:xfrm>
          <a:off x="1133475" y="99822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30</xdr:row>
      <xdr:rowOff>314325</xdr:rowOff>
    </xdr:from>
    <xdr:ext cx="1543634" cy="0"/>
    <xdr:sp macro="" textlink="">
      <xdr:nvSpPr>
        <xdr:cNvPr id="24" name="Line 2">
          <a:extLst>
            <a:ext uri="{FF2B5EF4-FFF2-40B4-BE49-F238E27FC236}">
              <a16:creationId xmlns:a16="http://schemas.microsoft.com/office/drawing/2014/main" id="{00000000-0008-0000-0B00-000018000000}"/>
            </a:ext>
          </a:extLst>
        </xdr:cNvPr>
        <xdr:cNvSpPr>
          <a:spLocks noChangeShapeType="1"/>
        </xdr:cNvSpPr>
      </xdr:nvSpPr>
      <xdr:spPr bwMode="auto">
        <a:xfrm>
          <a:off x="1133475" y="103346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31</xdr:row>
      <xdr:rowOff>314325</xdr:rowOff>
    </xdr:from>
    <xdr:ext cx="1543634" cy="0"/>
    <xdr:sp macro="" textlink="">
      <xdr:nvSpPr>
        <xdr:cNvPr id="25" name="Line 2">
          <a:extLst>
            <a:ext uri="{FF2B5EF4-FFF2-40B4-BE49-F238E27FC236}">
              <a16:creationId xmlns:a16="http://schemas.microsoft.com/office/drawing/2014/main" id="{00000000-0008-0000-0B00-000019000000}"/>
            </a:ext>
          </a:extLst>
        </xdr:cNvPr>
        <xdr:cNvSpPr>
          <a:spLocks noChangeShapeType="1"/>
        </xdr:cNvSpPr>
      </xdr:nvSpPr>
      <xdr:spPr bwMode="auto">
        <a:xfrm>
          <a:off x="1133475" y="106870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32</xdr:row>
      <xdr:rowOff>314325</xdr:rowOff>
    </xdr:from>
    <xdr:ext cx="1543634" cy="0"/>
    <xdr:sp macro="" textlink="">
      <xdr:nvSpPr>
        <xdr:cNvPr id="26" name="Line 2">
          <a:extLst>
            <a:ext uri="{FF2B5EF4-FFF2-40B4-BE49-F238E27FC236}">
              <a16:creationId xmlns:a16="http://schemas.microsoft.com/office/drawing/2014/main" id="{00000000-0008-0000-0B00-00001A000000}"/>
            </a:ext>
          </a:extLst>
        </xdr:cNvPr>
        <xdr:cNvSpPr>
          <a:spLocks noChangeShapeType="1"/>
        </xdr:cNvSpPr>
      </xdr:nvSpPr>
      <xdr:spPr bwMode="auto">
        <a:xfrm>
          <a:off x="1133475" y="110394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33</xdr:row>
      <xdr:rowOff>314325</xdr:rowOff>
    </xdr:from>
    <xdr:ext cx="1543634" cy="0"/>
    <xdr:sp macro="" textlink="">
      <xdr:nvSpPr>
        <xdr:cNvPr id="27" name="Line 2">
          <a:extLst>
            <a:ext uri="{FF2B5EF4-FFF2-40B4-BE49-F238E27FC236}">
              <a16:creationId xmlns:a16="http://schemas.microsoft.com/office/drawing/2014/main" id="{00000000-0008-0000-0B00-00001B000000}"/>
            </a:ext>
          </a:extLst>
        </xdr:cNvPr>
        <xdr:cNvSpPr>
          <a:spLocks noChangeShapeType="1"/>
        </xdr:cNvSpPr>
      </xdr:nvSpPr>
      <xdr:spPr bwMode="auto">
        <a:xfrm>
          <a:off x="1133475" y="113919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34</xdr:row>
      <xdr:rowOff>314325</xdr:rowOff>
    </xdr:from>
    <xdr:ext cx="1543634" cy="0"/>
    <xdr:sp macro="" textlink="">
      <xdr:nvSpPr>
        <xdr:cNvPr id="28" name="Line 2">
          <a:extLst>
            <a:ext uri="{FF2B5EF4-FFF2-40B4-BE49-F238E27FC236}">
              <a16:creationId xmlns:a16="http://schemas.microsoft.com/office/drawing/2014/main" id="{00000000-0008-0000-0B00-00001C000000}"/>
            </a:ext>
          </a:extLst>
        </xdr:cNvPr>
        <xdr:cNvSpPr>
          <a:spLocks noChangeShapeType="1"/>
        </xdr:cNvSpPr>
      </xdr:nvSpPr>
      <xdr:spPr bwMode="auto">
        <a:xfrm>
          <a:off x="1133475" y="117443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35</xdr:row>
      <xdr:rowOff>314325</xdr:rowOff>
    </xdr:from>
    <xdr:ext cx="1543634" cy="0"/>
    <xdr:sp macro="" textlink="">
      <xdr:nvSpPr>
        <xdr:cNvPr id="29" name="Line 2">
          <a:extLst>
            <a:ext uri="{FF2B5EF4-FFF2-40B4-BE49-F238E27FC236}">
              <a16:creationId xmlns:a16="http://schemas.microsoft.com/office/drawing/2014/main" id="{00000000-0008-0000-0B00-00001D000000}"/>
            </a:ext>
          </a:extLst>
        </xdr:cNvPr>
        <xdr:cNvSpPr>
          <a:spLocks noChangeShapeType="1"/>
        </xdr:cNvSpPr>
      </xdr:nvSpPr>
      <xdr:spPr bwMode="auto">
        <a:xfrm>
          <a:off x="1133475" y="120967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36</xdr:row>
      <xdr:rowOff>314325</xdr:rowOff>
    </xdr:from>
    <xdr:ext cx="1543634" cy="0"/>
    <xdr:sp macro="" textlink="">
      <xdr:nvSpPr>
        <xdr:cNvPr id="30" name="Line 2">
          <a:extLst>
            <a:ext uri="{FF2B5EF4-FFF2-40B4-BE49-F238E27FC236}">
              <a16:creationId xmlns:a16="http://schemas.microsoft.com/office/drawing/2014/main" id="{00000000-0008-0000-0B00-00001E000000}"/>
            </a:ext>
          </a:extLst>
        </xdr:cNvPr>
        <xdr:cNvSpPr>
          <a:spLocks noChangeShapeType="1"/>
        </xdr:cNvSpPr>
      </xdr:nvSpPr>
      <xdr:spPr bwMode="auto">
        <a:xfrm>
          <a:off x="1133475" y="124491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37</xdr:row>
      <xdr:rowOff>314325</xdr:rowOff>
    </xdr:from>
    <xdr:ext cx="1543634" cy="0"/>
    <xdr:sp macro="" textlink="">
      <xdr:nvSpPr>
        <xdr:cNvPr id="31" name="Line 2">
          <a:extLst>
            <a:ext uri="{FF2B5EF4-FFF2-40B4-BE49-F238E27FC236}">
              <a16:creationId xmlns:a16="http://schemas.microsoft.com/office/drawing/2014/main" id="{00000000-0008-0000-0B00-00001F000000}"/>
            </a:ext>
          </a:extLst>
        </xdr:cNvPr>
        <xdr:cNvSpPr>
          <a:spLocks noChangeShapeType="1"/>
        </xdr:cNvSpPr>
      </xdr:nvSpPr>
      <xdr:spPr bwMode="auto">
        <a:xfrm>
          <a:off x="1133475" y="128016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38</xdr:row>
      <xdr:rowOff>314325</xdr:rowOff>
    </xdr:from>
    <xdr:ext cx="1543634" cy="0"/>
    <xdr:sp macro="" textlink="">
      <xdr:nvSpPr>
        <xdr:cNvPr id="32" name="Line 2">
          <a:extLst>
            <a:ext uri="{FF2B5EF4-FFF2-40B4-BE49-F238E27FC236}">
              <a16:creationId xmlns:a16="http://schemas.microsoft.com/office/drawing/2014/main" id="{00000000-0008-0000-0B00-000020000000}"/>
            </a:ext>
          </a:extLst>
        </xdr:cNvPr>
        <xdr:cNvSpPr>
          <a:spLocks noChangeShapeType="1"/>
        </xdr:cNvSpPr>
      </xdr:nvSpPr>
      <xdr:spPr bwMode="auto">
        <a:xfrm>
          <a:off x="1133475" y="131540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39</xdr:row>
      <xdr:rowOff>314325</xdr:rowOff>
    </xdr:from>
    <xdr:ext cx="1543634" cy="0"/>
    <xdr:sp macro="" textlink="">
      <xdr:nvSpPr>
        <xdr:cNvPr id="33" name="Line 2">
          <a:extLst>
            <a:ext uri="{FF2B5EF4-FFF2-40B4-BE49-F238E27FC236}">
              <a16:creationId xmlns:a16="http://schemas.microsoft.com/office/drawing/2014/main" id="{00000000-0008-0000-0B00-000021000000}"/>
            </a:ext>
          </a:extLst>
        </xdr:cNvPr>
        <xdr:cNvSpPr>
          <a:spLocks noChangeShapeType="1"/>
        </xdr:cNvSpPr>
      </xdr:nvSpPr>
      <xdr:spPr bwMode="auto">
        <a:xfrm>
          <a:off x="1133475" y="135064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40</xdr:row>
      <xdr:rowOff>314325</xdr:rowOff>
    </xdr:from>
    <xdr:ext cx="1543634" cy="0"/>
    <xdr:sp macro="" textlink="">
      <xdr:nvSpPr>
        <xdr:cNvPr id="34" name="Line 2">
          <a:extLst>
            <a:ext uri="{FF2B5EF4-FFF2-40B4-BE49-F238E27FC236}">
              <a16:creationId xmlns:a16="http://schemas.microsoft.com/office/drawing/2014/main" id="{00000000-0008-0000-0B00-000022000000}"/>
            </a:ext>
          </a:extLst>
        </xdr:cNvPr>
        <xdr:cNvSpPr>
          <a:spLocks noChangeShapeType="1"/>
        </xdr:cNvSpPr>
      </xdr:nvSpPr>
      <xdr:spPr bwMode="auto">
        <a:xfrm>
          <a:off x="1133475" y="1385887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41</xdr:row>
      <xdr:rowOff>314325</xdr:rowOff>
    </xdr:from>
    <xdr:ext cx="1543634" cy="0"/>
    <xdr:sp macro="" textlink="">
      <xdr:nvSpPr>
        <xdr:cNvPr id="35" name="Line 2">
          <a:extLst>
            <a:ext uri="{FF2B5EF4-FFF2-40B4-BE49-F238E27FC236}">
              <a16:creationId xmlns:a16="http://schemas.microsoft.com/office/drawing/2014/main" id="{00000000-0008-0000-0B00-000023000000}"/>
            </a:ext>
          </a:extLst>
        </xdr:cNvPr>
        <xdr:cNvSpPr>
          <a:spLocks noChangeShapeType="1"/>
        </xdr:cNvSpPr>
      </xdr:nvSpPr>
      <xdr:spPr bwMode="auto">
        <a:xfrm>
          <a:off x="1133475" y="1421130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42</xdr:row>
      <xdr:rowOff>314325</xdr:rowOff>
    </xdr:from>
    <xdr:ext cx="1543634" cy="0"/>
    <xdr:sp macro="" textlink="">
      <xdr:nvSpPr>
        <xdr:cNvPr id="36" name="Line 2">
          <a:extLst>
            <a:ext uri="{FF2B5EF4-FFF2-40B4-BE49-F238E27FC236}">
              <a16:creationId xmlns:a16="http://schemas.microsoft.com/office/drawing/2014/main" id="{00000000-0008-0000-0B00-000024000000}"/>
            </a:ext>
          </a:extLst>
        </xdr:cNvPr>
        <xdr:cNvSpPr>
          <a:spLocks noChangeShapeType="1"/>
        </xdr:cNvSpPr>
      </xdr:nvSpPr>
      <xdr:spPr bwMode="auto">
        <a:xfrm>
          <a:off x="1133475" y="14563725"/>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oneCellAnchor>
    <xdr:from>
      <xdr:col>2</xdr:col>
      <xdr:colOff>209550</xdr:colOff>
      <xdr:row>43</xdr:row>
      <xdr:rowOff>314325</xdr:rowOff>
    </xdr:from>
    <xdr:ext cx="1543634" cy="0"/>
    <xdr:sp macro="" textlink="">
      <xdr:nvSpPr>
        <xdr:cNvPr id="37" name="Line 2">
          <a:extLst>
            <a:ext uri="{FF2B5EF4-FFF2-40B4-BE49-F238E27FC236}">
              <a16:creationId xmlns:a16="http://schemas.microsoft.com/office/drawing/2014/main" id="{00000000-0008-0000-0B00-000025000000}"/>
            </a:ext>
          </a:extLst>
        </xdr:cNvPr>
        <xdr:cNvSpPr>
          <a:spLocks noChangeShapeType="1"/>
        </xdr:cNvSpPr>
      </xdr:nvSpPr>
      <xdr:spPr bwMode="auto">
        <a:xfrm>
          <a:off x="1133475" y="14916150"/>
          <a:ext cx="1543634"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clientData/>
  </xdr:oneCellAnchor>
  <xdr:twoCellAnchor>
    <xdr:from>
      <xdr:col>4</xdr:col>
      <xdr:colOff>0</xdr:colOff>
      <xdr:row>44</xdr:row>
      <xdr:rowOff>0</xdr:rowOff>
    </xdr:from>
    <xdr:to>
      <xdr:col>6</xdr:col>
      <xdr:colOff>3315</xdr:colOff>
      <xdr:row>44</xdr:row>
      <xdr:rowOff>219075</xdr:rowOff>
    </xdr:to>
    <xdr:grpSp>
      <xdr:nvGrpSpPr>
        <xdr:cNvPr id="38" name="Group 284">
          <a:extLst>
            <a:ext uri="{FF2B5EF4-FFF2-40B4-BE49-F238E27FC236}">
              <a16:creationId xmlns:a16="http://schemas.microsoft.com/office/drawing/2014/main" id="{00000000-0008-0000-0B00-000026000000}"/>
            </a:ext>
          </a:extLst>
        </xdr:cNvPr>
        <xdr:cNvGrpSpPr>
          <a:grpSpLocks/>
        </xdr:cNvGrpSpPr>
      </xdr:nvGrpSpPr>
      <xdr:grpSpPr bwMode="auto">
        <a:xfrm>
          <a:off x="1720332" y="15055332"/>
          <a:ext cx="800304" cy="219075"/>
          <a:chOff x="1771650" y="11905703"/>
          <a:chExt cx="809624" cy="228600"/>
        </a:xfrm>
      </xdr:grpSpPr>
      <xdr:sp macro="" textlink="">
        <xdr:nvSpPr>
          <xdr:cNvPr id="39" name="Line 26">
            <a:extLst>
              <a:ext uri="{FF2B5EF4-FFF2-40B4-BE49-F238E27FC236}">
                <a16:creationId xmlns:a16="http://schemas.microsoft.com/office/drawing/2014/main" id="{00000000-0008-0000-0B00-000027000000}"/>
              </a:ext>
            </a:extLst>
          </xdr:cNvPr>
          <xdr:cNvSpPr>
            <a:spLocks noChangeShapeType="1"/>
          </xdr:cNvSpPr>
        </xdr:nvSpPr>
        <xdr:spPr bwMode="auto">
          <a:xfrm rot="5400000" flipV="1">
            <a:off x="2395266" y="11940665"/>
            <a:ext cx="0" cy="372017"/>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nvGrpSpPr>
          <xdr:cNvPr id="40" name="Group 286">
            <a:extLst>
              <a:ext uri="{FF2B5EF4-FFF2-40B4-BE49-F238E27FC236}">
                <a16:creationId xmlns:a16="http://schemas.microsoft.com/office/drawing/2014/main" id="{00000000-0008-0000-0B00-000028000000}"/>
              </a:ext>
            </a:extLst>
          </xdr:cNvPr>
          <xdr:cNvGrpSpPr>
            <a:grpSpLocks/>
          </xdr:cNvGrpSpPr>
        </xdr:nvGrpSpPr>
        <xdr:grpSpPr bwMode="auto">
          <a:xfrm>
            <a:off x="1771650" y="11905703"/>
            <a:ext cx="457200" cy="228600"/>
            <a:chOff x="1771650" y="11905703"/>
            <a:chExt cx="457200" cy="228600"/>
          </a:xfrm>
        </xdr:grpSpPr>
        <xdr:sp macro="" textlink="">
          <xdr:nvSpPr>
            <xdr:cNvPr id="41" name="Line 23">
              <a:extLst>
                <a:ext uri="{FF2B5EF4-FFF2-40B4-BE49-F238E27FC236}">
                  <a16:creationId xmlns:a16="http://schemas.microsoft.com/office/drawing/2014/main" id="{00000000-0008-0000-0B00-000029000000}"/>
                </a:ext>
              </a:extLst>
            </xdr:cNvPr>
            <xdr:cNvSpPr>
              <a:spLocks noChangeShapeType="1"/>
            </xdr:cNvSpPr>
          </xdr:nvSpPr>
          <xdr:spPr bwMode="auto">
            <a:xfrm rot="5400000">
              <a:off x="2104757" y="12020003"/>
              <a:ext cx="22860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2" name="Line 24">
              <a:extLst>
                <a:ext uri="{FF2B5EF4-FFF2-40B4-BE49-F238E27FC236}">
                  <a16:creationId xmlns:a16="http://schemas.microsoft.com/office/drawing/2014/main" id="{00000000-0008-0000-0B00-00002A000000}"/>
                </a:ext>
              </a:extLst>
            </xdr:cNvPr>
            <xdr:cNvSpPr>
              <a:spLocks noChangeShapeType="1"/>
            </xdr:cNvSpPr>
          </xdr:nvSpPr>
          <xdr:spPr bwMode="auto">
            <a:xfrm rot="5400000">
              <a:off x="1671547" y="12020003"/>
              <a:ext cx="228600"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sp macro="" textlink="">
          <xdr:nvSpPr>
            <xdr:cNvPr id="43" name="Line 26">
              <a:extLst>
                <a:ext uri="{FF2B5EF4-FFF2-40B4-BE49-F238E27FC236}">
                  <a16:creationId xmlns:a16="http://schemas.microsoft.com/office/drawing/2014/main" id="{00000000-0008-0000-0B00-00002B000000}"/>
                </a:ext>
              </a:extLst>
            </xdr:cNvPr>
            <xdr:cNvSpPr>
              <a:spLocks noChangeShapeType="1"/>
            </xdr:cNvSpPr>
          </xdr:nvSpPr>
          <xdr:spPr bwMode="auto">
            <a:xfrm rot="5400000" flipV="1">
              <a:off x="2000250" y="11678998"/>
              <a:ext cx="0" cy="45720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1.%20CONG%20TRINH/HOA%20SEN/10.BINH%20DUONG-CAI%20TAO%20VAN%20PHONG/HO%20SO%20HOAN%20CONG/HSCL%20VAN%20PHONG%20HOA%20SEN-X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YCVL"/>
      <sheetName val="NT.VL"/>
      <sheetName val="Sheet1"/>
      <sheetName val="DATA VLDV-MẠNH"/>
      <sheetName val="DATA NTCV-MẠNH"/>
      <sheetName val="Bìa"/>
      <sheetName val="BBBGMB"/>
      <sheetName val="data pdvl"/>
      <sheetName val="BĐNPDVL"/>
      <sheetName val="pl 01"/>
      <sheetName val="ME điện"/>
      <sheetName val="ME nước"/>
      <sheetName val="ME DHKK"/>
      <sheetName val="nội dung pdvl"/>
      <sheetName val="Data"/>
      <sheetName val="DATA VLDV-HA"/>
      <sheetName val="Menu (2)"/>
      <sheetName val="YCVL hs"/>
      <sheetName val="NT-VL hs"/>
      <sheetName val="4.DMNT.ME"/>
      <sheetName val="VL ME"/>
      <sheetName val="Nước"/>
      <sheetName val="DHKK"/>
      <sheetName val="4.DMNT.ĐHKK"/>
      <sheetName val="bảng kl kèm NTVL"/>
      <sheetName val="DATA NTCV-HA"/>
      <sheetName val="YCNT CV"/>
      <sheetName val="YCNT CV hs"/>
      <sheetName val="NT-CV HS"/>
      <sheetName val="SHEET"/>
      <sheetName val="BBNT CV XÂY DỰNG"/>
      <sheetName val="NT-CVNB"/>
      <sheetName val="NT-CV"/>
      <sheetName val="NB-CUA"/>
      <sheetName val="NB-CLBT"/>
      <sheetName val="CV-CLBT"/>
      <sheetName val="NB-thiết bị"/>
      <sheetName val="CV-thiết bị"/>
      <sheetName val="NB-LỢP MÁI"/>
      <sheetName val="NB-CỪ TRÀM"/>
      <sheetName val="CV-CỪ TRÀM"/>
      <sheetName val="NB-sơn"/>
      <sheetName val="NB-Lát nền"/>
      <sheetName val="NB-trát"/>
      <sheetName val="NB-xây tường"/>
      <sheetName val="NB-Đổ bê tông"/>
      <sheetName val="CV- Đổ bê tông"/>
      <sheetName val="NB-VKCT"/>
      <sheetName val="CV-VKCT"/>
      <sheetName val="NB-bê tông lót"/>
      <sheetName val="CV-bê tông lót"/>
      <sheetName val="NB-dd"/>
      <sheetName val="CV-LỢP MÁI"/>
      <sheetName val="CV-Trát"/>
      <sheetName val="CV-sơn"/>
      <sheetName val="CV-CUA"/>
      <sheetName val="CV-Lát nền"/>
      <sheetName val="CV-xây tường"/>
      <sheetName val="CV-dd"/>
      <sheetName val="YCnt be tong"/>
      <sheetName val="NT-do be tong"/>
      <sheetName val="YCNT GD"/>
      <sheetName val="NT-GDNB"/>
      <sheetName val="NT-GD"/>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
          <cell r="D22" t="str">
            <v>Dĩ An - Bình Dương</v>
          </cell>
        </row>
      </sheetData>
      <sheetData sheetId="15">
        <row r="1">
          <cell r="A1" t="str">
            <v>NGHIỆM THU VLĐV</v>
          </cell>
        </row>
      </sheetData>
      <sheetData sheetId="16"/>
      <sheetData sheetId="17"/>
      <sheetData sheetId="18">
        <row r="9">
          <cell r="C9" t="str">
            <v>Văn phòng trụ sở chính  - Tập Đoàn Hoa Sen</v>
          </cell>
        </row>
        <row r="11">
          <cell r="C11" t="str">
            <v>Thi công Xây dựng, M&amp;E</v>
          </cell>
        </row>
        <row r="12">
          <cell r="C12" t="str">
            <v>Số 09, Đại Lộ Thống Nhất, KCN Sóng Thần II, P Dĩ An, TP Dĩ An, Bình Dương.</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5"/>
  <sheetViews>
    <sheetView tabSelected="1" view="pageBreakPreview" zoomScaleNormal="100" zoomScaleSheetLayoutView="100" workbookViewId="0">
      <selection activeCell="E23" sqref="E23"/>
    </sheetView>
  </sheetViews>
  <sheetFormatPr defaultColWidth="10.140625" defaultRowHeight="16.5"/>
  <cols>
    <col min="1" max="1" width="13" style="80" customWidth="1"/>
    <col min="2" max="2" width="14.140625" style="80" customWidth="1"/>
    <col min="3" max="3" width="9.5703125" style="80" customWidth="1"/>
    <col min="4" max="4" width="24" style="80" customWidth="1"/>
    <col min="5" max="5" width="42.42578125" style="80" customWidth="1"/>
    <col min="6" max="6" width="9.5703125" style="80" customWidth="1"/>
    <col min="7" max="7" width="12.42578125" style="80" customWidth="1"/>
    <col min="8" max="8" width="6.85546875" style="80" customWidth="1"/>
    <col min="9" max="9" width="10.42578125" style="80" customWidth="1"/>
    <col min="10" max="11" width="11.85546875" style="80" customWidth="1"/>
    <col min="12" max="16384" width="10.140625" style="80"/>
  </cols>
  <sheetData>
    <row r="1" spans="1:15">
      <c r="A1" s="76"/>
      <c r="B1" s="77"/>
      <c r="C1" s="77"/>
      <c r="D1" s="77"/>
      <c r="E1" s="78"/>
      <c r="F1" s="77"/>
      <c r="G1" s="77"/>
      <c r="H1" s="78"/>
      <c r="I1" s="79"/>
    </row>
    <row r="2" spans="1:15" s="81" customFormat="1" ht="18.75">
      <c r="A2" s="951" t="s">
        <v>96</v>
      </c>
      <c r="B2" s="952"/>
      <c r="C2" s="952"/>
      <c r="D2" s="952"/>
      <c r="E2" s="817" t="s">
        <v>97</v>
      </c>
      <c r="F2" s="817"/>
      <c r="G2" s="817"/>
      <c r="H2" s="817"/>
      <c r="I2" s="818"/>
      <c r="K2" s="82"/>
      <c r="L2" s="82"/>
      <c r="M2" s="82"/>
      <c r="N2" s="82"/>
      <c r="O2" s="82"/>
    </row>
    <row r="3" spans="1:15" s="81" customFormat="1" ht="18.75">
      <c r="A3" s="951"/>
      <c r="B3" s="952"/>
      <c r="C3" s="952"/>
      <c r="D3" s="952"/>
      <c r="E3" s="817" t="s">
        <v>98</v>
      </c>
      <c r="F3" s="817"/>
      <c r="G3" s="817"/>
      <c r="H3" s="817"/>
      <c r="I3" s="818"/>
      <c r="K3" s="82"/>
      <c r="L3" s="82"/>
      <c r="M3" s="82"/>
      <c r="N3" s="82"/>
      <c r="O3" s="82"/>
    </row>
    <row r="4" spans="1:15" s="84" customFormat="1">
      <c r="A4" s="83"/>
      <c r="B4" s="819"/>
      <c r="C4" s="819"/>
      <c r="E4" s="820" t="s">
        <v>99</v>
      </c>
      <c r="F4" s="820"/>
      <c r="G4" s="820"/>
      <c r="H4" s="820"/>
      <c r="I4" s="821"/>
    </row>
    <row r="5" spans="1:15" s="88" customFormat="1" ht="23.25">
      <c r="A5" s="85"/>
      <c r="B5" s="86"/>
      <c r="C5" s="86"/>
      <c r="D5" s="86"/>
      <c r="E5" s="86"/>
      <c r="F5" s="86"/>
      <c r="G5" s="86"/>
      <c r="H5" s="86"/>
      <c r="I5" s="87"/>
    </row>
    <row r="6" spans="1:15" s="88" customFormat="1" ht="15.95" customHeight="1">
      <c r="A6" s="85"/>
      <c r="B6" s="86"/>
      <c r="C6" s="86"/>
      <c r="D6" s="86"/>
      <c r="E6" s="86"/>
      <c r="F6" s="86"/>
      <c r="G6" s="86"/>
      <c r="H6" s="86"/>
      <c r="I6" s="87"/>
    </row>
    <row r="7" spans="1:15" s="89" customFormat="1" ht="18.75">
      <c r="A7" s="822"/>
      <c r="B7" s="823"/>
      <c r="C7" s="823"/>
      <c r="D7" s="823"/>
      <c r="E7" s="823"/>
      <c r="F7" s="823"/>
      <c r="G7" s="823"/>
      <c r="H7" s="823"/>
      <c r="I7" s="824"/>
    </row>
    <row r="8" spans="1:15" s="89" customFormat="1" ht="24" customHeight="1">
      <c r="A8" s="825"/>
      <c r="B8" s="826"/>
      <c r="C8" s="826"/>
      <c r="D8" s="826"/>
      <c r="E8" s="826"/>
      <c r="F8" s="826"/>
      <c r="G8" s="826"/>
      <c r="H8" s="826"/>
      <c r="I8" s="827"/>
    </row>
    <row r="9" spans="1:15">
      <c r="A9" s="90"/>
      <c r="B9" s="91"/>
      <c r="C9" s="91"/>
      <c r="D9" s="91"/>
      <c r="E9" s="828"/>
      <c r="F9" s="828"/>
      <c r="G9" s="828"/>
      <c r="H9" s="828"/>
      <c r="I9" s="829"/>
    </row>
    <row r="10" spans="1:15" ht="23.25">
      <c r="A10" s="90"/>
      <c r="B10" s="91"/>
      <c r="C10" s="91"/>
      <c r="D10" s="92"/>
      <c r="E10" s="91"/>
      <c r="F10" s="91"/>
      <c r="G10" s="91"/>
      <c r="H10" s="91"/>
      <c r="I10" s="93"/>
    </row>
    <row r="11" spans="1:15" ht="23.25">
      <c r="A11" s="90"/>
      <c r="B11" s="91"/>
      <c r="C11" s="91"/>
      <c r="D11" s="92"/>
      <c r="E11" s="91"/>
      <c r="F11" s="91"/>
      <c r="G11" s="91"/>
      <c r="H11" s="91"/>
      <c r="I11" s="93"/>
    </row>
    <row r="12" spans="1:15">
      <c r="A12" s="90"/>
      <c r="B12" s="91"/>
      <c r="C12" s="91"/>
      <c r="D12" s="91"/>
      <c r="E12" s="91"/>
      <c r="F12" s="91"/>
      <c r="G12" s="91"/>
      <c r="H12" s="91"/>
      <c r="I12" s="93"/>
    </row>
    <row r="13" spans="1:15" ht="30">
      <c r="A13" s="830" t="s">
        <v>953</v>
      </c>
      <c r="B13" s="831"/>
      <c r="C13" s="831"/>
      <c r="D13" s="831"/>
      <c r="E13" s="831"/>
      <c r="F13" s="831"/>
      <c r="G13" s="831"/>
      <c r="H13" s="831"/>
      <c r="I13" s="832"/>
    </row>
    <row r="14" spans="1:15" ht="27" customHeight="1">
      <c r="A14" s="94"/>
      <c r="B14" s="95"/>
      <c r="C14" s="95" t="s">
        <v>1761</v>
      </c>
      <c r="D14" s="96"/>
      <c r="E14" s="96"/>
      <c r="F14" s="96"/>
      <c r="G14" s="96"/>
      <c r="H14" s="96"/>
      <c r="I14" s="97"/>
    </row>
    <row r="15" spans="1:15" s="98" customFormat="1" ht="27" customHeight="1">
      <c r="A15" s="94"/>
      <c r="B15" s="95"/>
      <c r="C15" s="95" t="s">
        <v>1762</v>
      </c>
      <c r="D15" s="96"/>
      <c r="E15" s="96"/>
      <c r="F15" s="96"/>
      <c r="G15" s="96"/>
      <c r="H15" s="96"/>
      <c r="I15" s="97"/>
    </row>
    <row r="16" spans="1:15" s="98" customFormat="1" ht="27" customHeight="1">
      <c r="A16" s="99"/>
      <c r="B16" s="100"/>
      <c r="C16" s="100" t="s">
        <v>1764</v>
      </c>
      <c r="D16" s="101"/>
      <c r="E16" s="101"/>
      <c r="F16" s="101"/>
      <c r="G16" s="101"/>
      <c r="H16" s="101"/>
      <c r="I16" s="102"/>
    </row>
    <row r="17" spans="1:9" s="98" customFormat="1" ht="27" customHeight="1">
      <c r="A17" s="99"/>
      <c r="B17" s="100"/>
      <c r="C17" s="100" t="s">
        <v>1763</v>
      </c>
      <c r="D17" s="101"/>
      <c r="E17" s="101"/>
      <c r="F17" s="101"/>
      <c r="G17" s="101"/>
      <c r="H17" s="101"/>
      <c r="I17" s="102"/>
    </row>
    <row r="18" spans="1:9">
      <c r="A18" s="90"/>
      <c r="B18" s="91"/>
      <c r="C18" s="91"/>
      <c r="D18" s="91"/>
      <c r="E18" s="91"/>
      <c r="F18" s="91"/>
      <c r="G18" s="91"/>
      <c r="H18" s="91"/>
      <c r="I18" s="93"/>
    </row>
    <row r="19" spans="1:9">
      <c r="A19" s="90"/>
      <c r="B19" s="91"/>
      <c r="C19" s="91"/>
      <c r="D19" s="91"/>
      <c r="E19" s="91"/>
      <c r="F19" s="91"/>
      <c r="G19" s="91"/>
      <c r="H19" s="91"/>
      <c r="I19" s="93"/>
    </row>
    <row r="20" spans="1:9">
      <c r="A20" s="90"/>
      <c r="B20" s="91"/>
      <c r="C20" s="91"/>
      <c r="D20" s="91"/>
      <c r="E20" s="91"/>
      <c r="F20" s="91"/>
      <c r="G20" s="91"/>
      <c r="H20" s="91"/>
      <c r="I20" s="93"/>
    </row>
    <row r="21" spans="1:9">
      <c r="A21" s="90"/>
      <c r="B21" s="91"/>
      <c r="C21" s="91"/>
      <c r="D21" s="91"/>
      <c r="E21" s="91"/>
      <c r="F21" s="91"/>
      <c r="G21" s="91"/>
      <c r="H21" s="91"/>
      <c r="I21" s="93"/>
    </row>
    <row r="22" spans="1:9">
      <c r="A22" s="90"/>
      <c r="B22" s="91"/>
      <c r="C22" s="91"/>
      <c r="D22" s="91"/>
      <c r="E22" s="91"/>
      <c r="F22" s="91"/>
      <c r="G22" s="91"/>
      <c r="H22" s="91"/>
      <c r="I22" s="93"/>
    </row>
    <row r="23" spans="1:9" ht="27.6" customHeight="1">
      <c r="A23" s="90"/>
      <c r="B23" s="91"/>
      <c r="C23" s="91"/>
      <c r="D23" s="91"/>
      <c r="E23" s="91"/>
      <c r="F23" s="91"/>
      <c r="G23" s="91"/>
      <c r="H23" s="91"/>
      <c r="I23" s="93"/>
    </row>
    <row r="24" spans="1:9" ht="24.6" customHeight="1">
      <c r="A24" s="833" t="s">
        <v>1772</v>
      </c>
      <c r="B24" s="834"/>
      <c r="C24" s="834"/>
      <c r="D24" s="834"/>
      <c r="E24" s="834"/>
      <c r="F24" s="834"/>
      <c r="G24" s="834"/>
      <c r="H24" s="834"/>
      <c r="I24" s="835"/>
    </row>
    <row r="25" spans="1:9" ht="17.25" thickBot="1">
      <c r="A25" s="103"/>
      <c r="B25" s="104"/>
      <c r="C25" s="104"/>
      <c r="D25" s="104"/>
      <c r="E25" s="104"/>
      <c r="F25" s="104"/>
      <c r="G25" s="104"/>
      <c r="H25" s="104"/>
      <c r="I25" s="105"/>
    </row>
  </sheetData>
  <mergeCells count="11">
    <mergeCell ref="A7:I7"/>
    <mergeCell ref="A8:I8"/>
    <mergeCell ref="E9:I9"/>
    <mergeCell ref="A13:I13"/>
    <mergeCell ref="A24:I24"/>
    <mergeCell ref="A2:D2"/>
    <mergeCell ref="E2:I2"/>
    <mergeCell ref="A3:D3"/>
    <mergeCell ref="E3:I3"/>
    <mergeCell ref="B4:C4"/>
    <mergeCell ref="E4:I4"/>
  </mergeCells>
  <printOptions horizontalCentered="1" verticalCentered="1"/>
  <pageMargins left="0.98425196850393704" right="0.51181102362204722" top="0.51181102362204722" bottom="0.51181102362204722" header="0.31496062992125984" footer="0.31496062992125984"/>
  <pageSetup paperSize="9" scale="9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G66"/>
  <sheetViews>
    <sheetView view="pageBreakPreview" zoomScale="80" zoomScaleNormal="100" zoomScaleSheetLayoutView="80" workbookViewId="0">
      <selection activeCell="U15" sqref="U15"/>
    </sheetView>
  </sheetViews>
  <sheetFormatPr defaultColWidth="8.85546875" defaultRowHeight="12.75"/>
  <cols>
    <col min="1" max="1" width="5.42578125" style="697" customWidth="1"/>
    <col min="2" max="2" width="51.28515625" style="698" customWidth="1"/>
    <col min="3" max="3" width="10.85546875" style="12" bestFit="1" customWidth="1"/>
    <col min="4" max="4" width="11.28515625" style="699" bestFit="1" customWidth="1"/>
    <col min="5" max="5" width="13" style="700" bestFit="1" customWidth="1"/>
    <col min="6" max="6" width="12.85546875" style="700" hidden="1" customWidth="1"/>
    <col min="7" max="7" width="13.42578125" style="213" hidden="1" customWidth="1"/>
    <col min="8" max="9" width="15.7109375" style="213" hidden="1" customWidth="1"/>
    <col min="10" max="10" width="17" style="213" hidden="1" customWidth="1"/>
    <col min="11" max="12" width="16.28515625" style="213" hidden="1" customWidth="1"/>
    <col min="13" max="13" width="20.140625" style="213" hidden="1" customWidth="1"/>
    <col min="14" max="14" width="16.7109375" style="213" hidden="1" customWidth="1"/>
    <col min="15" max="15" width="15.28515625" style="701" hidden="1" customWidth="1"/>
    <col min="16" max="16" width="15" style="701" hidden="1" customWidth="1"/>
    <col min="17" max="17" width="14" style="702" hidden="1" customWidth="1"/>
    <col min="18" max="18" width="13.42578125" style="675" customWidth="1"/>
    <col min="19" max="19" width="14.140625" style="696" customWidth="1"/>
    <col min="20" max="20" width="15.28515625" style="12" customWidth="1"/>
    <col min="21" max="21" width="14.7109375" style="12" customWidth="1"/>
    <col min="22" max="22" width="14.28515625" style="675" customWidth="1"/>
    <col min="23" max="23" width="14.42578125" style="675" customWidth="1"/>
    <col min="24" max="24" width="15.42578125" style="675" customWidth="1"/>
    <col min="25" max="25" width="14.85546875" style="675" customWidth="1"/>
    <col min="26" max="26" width="27.140625" style="675" bestFit="1" customWidth="1"/>
    <col min="27" max="27" width="14.42578125" style="675" customWidth="1"/>
    <col min="28" max="28" width="13.28515625" style="675" customWidth="1"/>
    <col min="29" max="29" width="13.5703125" style="675" customWidth="1"/>
    <col min="30" max="16384" width="8.85546875" style="675"/>
  </cols>
  <sheetData>
    <row r="1" spans="1:29" s="671" customFormat="1" ht="18.75">
      <c r="A1" s="836" t="s">
        <v>1760</v>
      </c>
      <c r="B1" s="836"/>
      <c r="C1" s="836"/>
      <c r="D1" s="836"/>
      <c r="E1" s="836"/>
      <c r="F1" s="836"/>
      <c r="G1" s="836"/>
      <c r="H1" s="836"/>
      <c r="I1" s="836"/>
      <c r="J1" s="836"/>
      <c r="K1" s="836"/>
      <c r="L1" s="836"/>
      <c r="M1" s="836"/>
      <c r="N1" s="836"/>
      <c r="O1" s="836"/>
      <c r="P1" s="836"/>
      <c r="Q1" s="836"/>
      <c r="R1" s="836"/>
      <c r="S1" s="836"/>
      <c r="T1" s="836"/>
      <c r="U1" s="836"/>
      <c r="V1" s="836"/>
      <c r="W1" s="836"/>
      <c r="X1" s="836"/>
      <c r="Y1" s="836"/>
      <c r="Z1" s="836"/>
      <c r="AA1" s="836"/>
      <c r="AB1" s="836"/>
      <c r="AC1" s="836"/>
    </row>
    <row r="2" spans="1:29" s="671" customFormat="1" ht="15.75">
      <c r="A2" s="854" t="str">
        <f>Bìa!C14</f>
        <v>CÔNG TRÌNH : THI CÔNG ………………</v>
      </c>
      <c r="B2" s="854"/>
      <c r="C2" s="854"/>
      <c r="D2" s="854"/>
      <c r="E2" s="854"/>
      <c r="F2" s="854"/>
      <c r="G2" s="854"/>
      <c r="H2" s="854"/>
      <c r="I2" s="854"/>
      <c r="J2" s="854"/>
      <c r="K2" s="854"/>
      <c r="L2" s="854"/>
      <c r="M2" s="854"/>
      <c r="N2" s="854"/>
      <c r="O2" s="854"/>
      <c r="P2" s="854"/>
      <c r="Q2" s="854"/>
      <c r="R2" s="854"/>
      <c r="S2" s="854"/>
      <c r="T2" s="854"/>
      <c r="U2" s="854"/>
      <c r="V2" s="854"/>
      <c r="W2" s="854"/>
      <c r="X2" s="854"/>
      <c r="Y2" s="854"/>
      <c r="Z2" s="854"/>
      <c r="AA2" s="854"/>
      <c r="AB2" s="854"/>
      <c r="AC2" s="854"/>
    </row>
    <row r="3" spans="1:29" s="671" customFormat="1" ht="15.75">
      <c r="A3" s="854" t="str">
        <f>Bìa!C15</f>
        <v>ĐỊA ĐIỂM: ………………</v>
      </c>
      <c r="B3" s="854"/>
      <c r="C3" s="854"/>
      <c r="D3" s="854"/>
      <c r="E3" s="854"/>
      <c r="F3" s="854"/>
      <c r="G3" s="854"/>
      <c r="H3" s="854"/>
      <c r="I3" s="854"/>
      <c r="J3" s="854"/>
      <c r="K3" s="854"/>
      <c r="L3" s="854"/>
      <c r="M3" s="854"/>
      <c r="N3" s="854"/>
      <c r="O3" s="854"/>
      <c r="P3" s="854"/>
      <c r="Q3" s="854"/>
      <c r="R3" s="854"/>
      <c r="S3" s="854"/>
      <c r="T3" s="854"/>
      <c r="U3" s="854"/>
      <c r="V3" s="854"/>
      <c r="W3" s="854"/>
      <c r="X3" s="854"/>
      <c r="Y3" s="854"/>
      <c r="Z3" s="854"/>
      <c r="AA3" s="854"/>
      <c r="AB3" s="854"/>
      <c r="AC3" s="854"/>
    </row>
    <row r="4" spans="1:29" s="672" customFormat="1" ht="15.75">
      <c r="A4" s="855" t="s">
        <v>1765</v>
      </c>
      <c r="B4" s="855"/>
      <c r="C4" s="855"/>
      <c r="D4" s="855"/>
      <c r="E4" s="855"/>
      <c r="F4" s="855"/>
      <c r="G4" s="855"/>
      <c r="H4" s="855"/>
      <c r="I4" s="855"/>
      <c r="J4" s="855"/>
      <c r="K4" s="855"/>
      <c r="L4" s="855"/>
      <c r="M4" s="855"/>
      <c r="N4" s="855"/>
      <c r="O4" s="855"/>
      <c r="P4" s="855"/>
      <c r="Q4" s="855"/>
      <c r="R4" s="855"/>
      <c r="S4" s="855"/>
      <c r="T4" s="855"/>
      <c r="U4" s="855"/>
      <c r="V4" s="855"/>
      <c r="W4" s="855"/>
      <c r="X4" s="855"/>
      <c r="Y4" s="855"/>
      <c r="Z4" s="855"/>
      <c r="AA4" s="855"/>
      <c r="AB4" s="855"/>
      <c r="AC4" s="855"/>
    </row>
    <row r="5" spans="1:29" s="47" customFormat="1" ht="29.25" customHeight="1">
      <c r="A5" s="844" t="s">
        <v>11</v>
      </c>
      <c r="B5" s="845" t="s">
        <v>30</v>
      </c>
      <c r="C5" s="846" t="s">
        <v>33</v>
      </c>
      <c r="D5" s="850" t="s">
        <v>34</v>
      </c>
      <c r="E5" s="851"/>
      <c r="F5" s="852"/>
      <c r="G5" s="847" t="s">
        <v>36</v>
      </c>
      <c r="H5" s="847"/>
      <c r="I5" s="847"/>
      <c r="J5" s="848" t="s">
        <v>40</v>
      </c>
      <c r="K5" s="853"/>
      <c r="L5" s="849"/>
      <c r="M5" s="848" t="s">
        <v>1753</v>
      </c>
      <c r="N5" s="849"/>
      <c r="O5" s="839" t="s">
        <v>31</v>
      </c>
      <c r="P5" s="839" t="s">
        <v>83</v>
      </c>
      <c r="Q5" s="840" t="s">
        <v>32</v>
      </c>
      <c r="R5" s="841" t="s">
        <v>964</v>
      </c>
      <c r="S5" s="842"/>
      <c r="T5" s="842"/>
      <c r="U5" s="842"/>
      <c r="V5" s="842"/>
      <c r="W5" s="842"/>
      <c r="X5" s="843"/>
      <c r="Y5" s="926" t="s">
        <v>965</v>
      </c>
      <c r="Z5" s="927"/>
      <c r="AA5" s="928"/>
      <c r="AB5" s="517"/>
      <c r="AC5" s="517"/>
    </row>
    <row r="6" spans="1:29" s="47" customFormat="1" ht="37.5" customHeight="1">
      <c r="A6" s="844"/>
      <c r="B6" s="845"/>
      <c r="C6" s="846"/>
      <c r="D6" s="416" t="s">
        <v>932</v>
      </c>
      <c r="E6" s="683" t="s">
        <v>35</v>
      </c>
      <c r="F6" s="782" t="s">
        <v>1752</v>
      </c>
      <c r="G6" s="682" t="s">
        <v>37</v>
      </c>
      <c r="H6" s="682" t="s">
        <v>38</v>
      </c>
      <c r="I6" s="682" t="s">
        <v>39</v>
      </c>
      <c r="J6" s="397" t="s">
        <v>932</v>
      </c>
      <c r="K6" s="682" t="s">
        <v>35</v>
      </c>
      <c r="L6" s="781" t="s">
        <v>1752</v>
      </c>
      <c r="M6" s="397" t="s">
        <v>1754</v>
      </c>
      <c r="N6" s="397" t="s">
        <v>1755</v>
      </c>
      <c r="O6" s="839"/>
      <c r="P6" s="839"/>
      <c r="Q6" s="840"/>
      <c r="R6" s="518" t="s">
        <v>954</v>
      </c>
      <c r="S6" s="518" t="s">
        <v>1766</v>
      </c>
      <c r="T6" s="518" t="s">
        <v>955</v>
      </c>
      <c r="U6" s="518" t="s">
        <v>956</v>
      </c>
      <c r="V6" s="518" t="s">
        <v>957</v>
      </c>
      <c r="W6" s="518" t="s">
        <v>958</v>
      </c>
      <c r="X6" s="518" t="s">
        <v>959</v>
      </c>
      <c r="Y6" s="518" t="s">
        <v>960</v>
      </c>
      <c r="Z6" s="518" t="s">
        <v>961</v>
      </c>
      <c r="AA6" s="518" t="s">
        <v>962</v>
      </c>
      <c r="AB6" s="518" t="s">
        <v>963</v>
      </c>
      <c r="AC6" s="518" t="s">
        <v>1123</v>
      </c>
    </row>
    <row r="7" spans="1:29" s="118" customFormat="1">
      <c r="A7" s="111"/>
      <c r="B7" s="112" t="s">
        <v>186</v>
      </c>
      <c r="C7" s="113"/>
      <c r="D7" s="417"/>
      <c r="E7" s="114"/>
      <c r="F7" s="751"/>
      <c r="G7" s="115"/>
      <c r="H7" s="115"/>
      <c r="I7" s="115"/>
      <c r="J7" s="115"/>
      <c r="K7" s="115"/>
      <c r="L7" s="755"/>
      <c r="M7" s="755"/>
      <c r="N7" s="755"/>
      <c r="O7" s="116"/>
      <c r="P7" s="116"/>
      <c r="Q7" s="117"/>
      <c r="R7" s="519"/>
      <c r="S7" s="561"/>
      <c r="T7" s="156"/>
      <c r="U7" s="156"/>
      <c r="V7" s="519"/>
      <c r="W7" s="519"/>
      <c r="X7" s="519"/>
      <c r="Y7" s="519"/>
      <c r="Z7" s="519"/>
      <c r="AA7" s="519"/>
      <c r="AB7" s="519"/>
      <c r="AC7" s="815"/>
    </row>
    <row r="8" spans="1:29" s="66" customFormat="1">
      <c r="A8" s="134" t="s">
        <v>8</v>
      </c>
      <c r="B8" s="135" t="s">
        <v>105</v>
      </c>
      <c r="C8" s="136"/>
      <c r="D8" s="418"/>
      <c r="E8" s="137"/>
      <c r="F8" s="752"/>
      <c r="G8" s="138"/>
      <c r="H8" s="138"/>
      <c r="I8" s="138"/>
      <c r="J8" s="138">
        <f>SUBTOTAL(9,J9:J38)</f>
        <v>1834222105.9548242</v>
      </c>
      <c r="K8" s="138" t="e">
        <f>SUBTOTAL(9,K9:K38)</f>
        <v>#REF!</v>
      </c>
      <c r="L8" s="138" t="e">
        <f>SUBTOTAL(9,L9:L38)</f>
        <v>#REF!</v>
      </c>
      <c r="M8" s="138" t="e">
        <f>SUBTOTAL(9,M9:M38)</f>
        <v>#REF!</v>
      </c>
      <c r="N8" s="138" t="e">
        <f>SUBTOTAL(9,N9:N38)</f>
        <v>#REF!</v>
      </c>
      <c r="O8" s="139"/>
      <c r="P8" s="139"/>
      <c r="Q8" s="140"/>
      <c r="R8" s="520"/>
      <c r="S8" s="666"/>
      <c r="T8" s="134"/>
      <c r="U8" s="134"/>
      <c r="V8" s="520"/>
      <c r="W8" s="520"/>
      <c r="X8" s="520"/>
      <c r="Y8" s="520"/>
      <c r="Z8" s="520"/>
      <c r="AA8" s="520"/>
      <c r="AB8" s="520"/>
      <c r="AC8" s="520"/>
    </row>
    <row r="9" spans="1:29" s="18" customFormat="1" ht="51">
      <c r="A9" s="141">
        <v>1</v>
      </c>
      <c r="B9" s="142" t="s">
        <v>106</v>
      </c>
      <c r="C9" s="143" t="s">
        <v>88</v>
      </c>
      <c r="D9" s="419">
        <v>1</v>
      </c>
      <c r="E9" s="144">
        <f>'KL TONG HOP'!E8</f>
        <v>1</v>
      </c>
      <c r="F9" s="753">
        <f>IF(E9-D9&gt;0,D9,E9)</f>
        <v>1</v>
      </c>
      <c r="G9" s="145">
        <v>0</v>
      </c>
      <c r="H9" s="145">
        <v>0</v>
      </c>
      <c r="I9" s="145">
        <f>G9+H9</f>
        <v>0</v>
      </c>
      <c r="J9" s="145">
        <f t="shared" ref="J9:J37" si="0">D9*I9</f>
        <v>0</v>
      </c>
      <c r="K9" s="145">
        <f>E9*I9</f>
        <v>0</v>
      </c>
      <c r="L9" s="757">
        <f>F9*(G9+H9)</f>
        <v>0</v>
      </c>
      <c r="M9" s="757">
        <f>L9-J9</f>
        <v>0</v>
      </c>
      <c r="N9" s="757">
        <f>L9-K9</f>
        <v>0</v>
      </c>
      <c r="O9" s="146"/>
      <c r="P9" s="146"/>
      <c r="Q9" s="147" t="s">
        <v>152</v>
      </c>
      <c r="R9" s="521"/>
      <c r="S9" s="667"/>
      <c r="T9" s="141"/>
      <c r="U9" s="141"/>
      <c r="V9" s="521"/>
      <c r="W9" s="521"/>
      <c r="X9" s="521"/>
      <c r="Y9" s="521"/>
      <c r="Z9" s="521"/>
      <c r="AA9" s="521"/>
      <c r="AB9" s="521"/>
      <c r="AC9" s="521"/>
    </row>
    <row r="10" spans="1:29" s="18" customFormat="1">
      <c r="A10" s="141">
        <v>2</v>
      </c>
      <c r="B10" s="142" t="s">
        <v>107</v>
      </c>
      <c r="C10" s="143" t="s">
        <v>88</v>
      </c>
      <c r="D10" s="419">
        <v>1</v>
      </c>
      <c r="E10" s="144">
        <f>'KL TONG HOP'!E9</f>
        <v>1</v>
      </c>
      <c r="F10" s="753">
        <f>IF(E10-D10&gt;0,D10,E10)</f>
        <v>1</v>
      </c>
      <c r="G10" s="145">
        <v>0</v>
      </c>
      <c r="H10" s="145">
        <v>12100000</v>
      </c>
      <c r="I10" s="145">
        <f t="shared" ref="I10:I41" si="1">G10+H10</f>
        <v>12100000</v>
      </c>
      <c r="J10" s="145">
        <f t="shared" si="0"/>
        <v>12100000</v>
      </c>
      <c r="K10" s="145">
        <f t="shared" ref="K10:K37" si="2">E10*I10</f>
        <v>12100000</v>
      </c>
      <c r="L10" s="757">
        <f>F10*(G10+H10)</f>
        <v>12100000</v>
      </c>
      <c r="M10" s="757">
        <f>L10-J10</f>
        <v>0</v>
      </c>
      <c r="N10" s="757">
        <f>L10-K10</f>
        <v>0</v>
      </c>
      <c r="O10" s="146"/>
      <c r="P10" s="146"/>
      <c r="Q10" s="147"/>
      <c r="R10" s="521"/>
      <c r="S10" s="667"/>
      <c r="T10" s="141"/>
      <c r="U10" s="141"/>
      <c r="V10" s="521"/>
      <c r="W10" s="521"/>
      <c r="X10" s="521"/>
      <c r="Y10" s="521"/>
      <c r="Z10" s="521"/>
      <c r="AA10" s="521"/>
      <c r="AB10" s="521"/>
      <c r="AC10" s="521"/>
    </row>
    <row r="11" spans="1:29" s="18" customFormat="1" ht="25.5">
      <c r="A11" s="141">
        <v>3</v>
      </c>
      <c r="B11" s="142" t="s">
        <v>108</v>
      </c>
      <c r="C11" s="143" t="s">
        <v>7</v>
      </c>
      <c r="D11" s="419">
        <v>1</v>
      </c>
      <c r="E11" s="144">
        <f>'KL TONG HOP'!E10</f>
        <v>1</v>
      </c>
      <c r="F11" s="753">
        <f>IF(E11-D11&gt;0,D11,E11)</f>
        <v>1</v>
      </c>
      <c r="G11" s="145">
        <v>0</v>
      </c>
      <c r="H11" s="145">
        <v>60500000</v>
      </c>
      <c r="I11" s="145">
        <f t="shared" si="1"/>
        <v>60500000</v>
      </c>
      <c r="J11" s="145">
        <f t="shared" si="0"/>
        <v>60500000</v>
      </c>
      <c r="K11" s="145">
        <f t="shared" si="2"/>
        <v>60500000</v>
      </c>
      <c r="L11" s="757">
        <f t="shared" ref="L11:L19" si="3">F11*(G11+H11)</f>
        <v>60500000</v>
      </c>
      <c r="M11" s="757">
        <f t="shared" ref="M11:M19" si="4">L11-J11</f>
        <v>0</v>
      </c>
      <c r="N11" s="757">
        <f t="shared" ref="N11:N19" si="5">L11-K11</f>
        <v>0</v>
      </c>
      <c r="O11" s="146"/>
      <c r="P11" s="146"/>
      <c r="Q11" s="147"/>
      <c r="R11" s="521"/>
      <c r="S11" s="667"/>
      <c r="T11" s="141"/>
      <c r="U11" s="141"/>
      <c r="V11" s="521"/>
      <c r="W11" s="521"/>
      <c r="X11" s="521"/>
      <c r="Y11" s="521" t="s">
        <v>1657</v>
      </c>
      <c r="Z11" s="521" t="s">
        <v>1658</v>
      </c>
      <c r="AA11" s="521"/>
      <c r="AB11" s="521"/>
      <c r="AC11" s="521"/>
    </row>
    <row r="12" spans="1:29" s="18" customFormat="1">
      <c r="A12" s="141">
        <v>4</v>
      </c>
      <c r="B12" s="142" t="s">
        <v>109</v>
      </c>
      <c r="C12" s="143" t="s">
        <v>88</v>
      </c>
      <c r="D12" s="419">
        <v>1</v>
      </c>
      <c r="E12" s="144">
        <f>'KL TONG HOP'!E11</f>
        <v>1</v>
      </c>
      <c r="F12" s="753">
        <f>IF(E12-D12&gt;0,D12,E12)</f>
        <v>1</v>
      </c>
      <c r="G12" s="145">
        <v>0</v>
      </c>
      <c r="H12" s="145">
        <v>36300000</v>
      </c>
      <c r="I12" s="145">
        <f t="shared" si="1"/>
        <v>36300000</v>
      </c>
      <c r="J12" s="145">
        <f t="shared" si="0"/>
        <v>36300000</v>
      </c>
      <c r="K12" s="145">
        <f t="shared" si="2"/>
        <v>36300000</v>
      </c>
      <c r="L12" s="757">
        <f t="shared" si="3"/>
        <v>36300000</v>
      </c>
      <c r="M12" s="757">
        <f t="shared" si="4"/>
        <v>0</v>
      </c>
      <c r="N12" s="757">
        <f t="shared" si="5"/>
        <v>0</v>
      </c>
      <c r="O12" s="146"/>
      <c r="P12" s="146"/>
      <c r="Q12" s="147"/>
      <c r="R12" s="521"/>
      <c r="S12" s="667"/>
      <c r="T12" s="141"/>
      <c r="U12" s="141"/>
      <c r="V12" s="521"/>
      <c r="W12" s="521"/>
      <c r="X12" s="521"/>
      <c r="Y12" s="521"/>
      <c r="Z12" s="521"/>
      <c r="AA12" s="521"/>
      <c r="AB12" s="521"/>
      <c r="AC12" s="521"/>
    </row>
    <row r="13" spans="1:29" s="18" customFormat="1">
      <c r="A13" s="141">
        <v>5</v>
      </c>
      <c r="B13" s="142" t="s">
        <v>110</v>
      </c>
      <c r="C13" s="143" t="s">
        <v>1</v>
      </c>
      <c r="D13" s="419">
        <v>1852.2149000000013</v>
      </c>
      <c r="E13" s="144">
        <f>'KL TONG HOP'!E12</f>
        <v>1852.2149000000013</v>
      </c>
      <c r="F13" s="753">
        <f>IF(E13-D13&gt;0,D13,E13)</f>
        <v>1852.2149000000013</v>
      </c>
      <c r="G13" s="145">
        <v>0</v>
      </c>
      <c r="H13" s="145">
        <v>24200</v>
      </c>
      <c r="I13" s="145">
        <f t="shared" si="1"/>
        <v>24200</v>
      </c>
      <c r="J13" s="145">
        <f t="shared" si="0"/>
        <v>44823600.580000028</v>
      </c>
      <c r="K13" s="145">
        <f t="shared" si="2"/>
        <v>44823600.580000028</v>
      </c>
      <c r="L13" s="757">
        <f t="shared" si="3"/>
        <v>44823600.580000028</v>
      </c>
      <c r="M13" s="757">
        <f t="shared" si="4"/>
        <v>0</v>
      </c>
      <c r="N13" s="757">
        <f t="shared" si="5"/>
        <v>0</v>
      </c>
      <c r="O13" s="146"/>
      <c r="P13" s="146"/>
      <c r="Q13" s="147"/>
      <c r="R13" s="521"/>
      <c r="S13" s="667"/>
      <c r="T13" s="141"/>
      <c r="U13" s="141"/>
      <c r="V13" s="521"/>
      <c r="W13" s="521"/>
      <c r="X13" s="521"/>
      <c r="Y13" s="521" t="s">
        <v>1660</v>
      </c>
      <c r="Z13" s="670" t="s">
        <v>1659</v>
      </c>
      <c r="AA13" s="521"/>
      <c r="AB13" s="521"/>
      <c r="AC13" s="521"/>
    </row>
    <row r="14" spans="1:29" s="18" customFormat="1" ht="38.25">
      <c r="A14" s="141">
        <v>6</v>
      </c>
      <c r="B14" s="142" t="s">
        <v>111</v>
      </c>
      <c r="C14" s="143" t="s">
        <v>1</v>
      </c>
      <c r="D14" s="419">
        <v>1541.9157960000007</v>
      </c>
      <c r="E14" s="144">
        <f>'KL TONG HOP'!E13</f>
        <v>1541.9157960000007</v>
      </c>
      <c r="F14" s="753">
        <f>'Dien giai KL'!K146</f>
        <v>1485.7387960000008</v>
      </c>
      <c r="G14" s="145">
        <v>0</v>
      </c>
      <c r="H14" s="145">
        <v>36300</v>
      </c>
      <c r="I14" s="145">
        <f t="shared" si="1"/>
        <v>36300</v>
      </c>
      <c r="J14" s="145">
        <f t="shared" si="0"/>
        <v>55971543.394800022</v>
      </c>
      <c r="K14" s="145">
        <f t="shared" si="2"/>
        <v>55971543.394800022</v>
      </c>
      <c r="L14" s="757">
        <f t="shared" si="3"/>
        <v>53932318.294800028</v>
      </c>
      <c r="M14" s="757">
        <f t="shared" si="4"/>
        <v>-2039225.099999994</v>
      </c>
      <c r="N14" s="757">
        <f t="shared" si="5"/>
        <v>-2039225.099999994</v>
      </c>
      <c r="O14" s="146"/>
      <c r="P14" s="146"/>
      <c r="Q14" s="147"/>
      <c r="R14" s="521"/>
      <c r="S14" s="667"/>
      <c r="T14" s="141"/>
      <c r="U14" s="141"/>
      <c r="V14" s="521"/>
      <c r="W14" s="521"/>
      <c r="X14" s="521"/>
      <c r="Y14" s="670" t="s">
        <v>1661</v>
      </c>
      <c r="Z14" s="670" t="s">
        <v>1667</v>
      </c>
      <c r="AA14" s="521"/>
      <c r="AB14" s="521"/>
      <c r="AC14" s="521"/>
    </row>
    <row r="15" spans="1:29" s="18" customFormat="1" ht="25.5">
      <c r="A15" s="141">
        <v>7</v>
      </c>
      <c r="B15" s="142" t="s">
        <v>112</v>
      </c>
      <c r="C15" s="143" t="s">
        <v>88</v>
      </c>
      <c r="D15" s="419">
        <v>1</v>
      </c>
      <c r="E15" s="144">
        <f>'KL TONG HOP'!E14</f>
        <v>1</v>
      </c>
      <c r="F15" s="753">
        <f>IF(E15-D15&gt;0,D15,E15)</f>
        <v>1</v>
      </c>
      <c r="G15" s="145">
        <v>0</v>
      </c>
      <c r="H15" s="145">
        <v>12100000</v>
      </c>
      <c r="I15" s="145">
        <f t="shared" si="1"/>
        <v>12100000</v>
      </c>
      <c r="J15" s="145">
        <f t="shared" si="0"/>
        <v>12100000</v>
      </c>
      <c r="K15" s="145">
        <f t="shared" si="2"/>
        <v>12100000</v>
      </c>
      <c r="L15" s="757">
        <f t="shared" si="3"/>
        <v>12100000</v>
      </c>
      <c r="M15" s="757">
        <f t="shared" si="4"/>
        <v>0</v>
      </c>
      <c r="N15" s="757">
        <f t="shared" si="5"/>
        <v>0</v>
      </c>
      <c r="O15" s="146"/>
      <c r="P15" s="146"/>
      <c r="Q15" s="147"/>
      <c r="R15" s="521"/>
      <c r="S15" s="667"/>
      <c r="T15" s="141"/>
      <c r="U15" s="141"/>
      <c r="V15" s="521"/>
      <c r="W15" s="521"/>
      <c r="X15" s="523"/>
      <c r="Y15" s="708" t="s">
        <v>1662</v>
      </c>
      <c r="Z15" s="521" t="s">
        <v>1663</v>
      </c>
      <c r="AA15" s="521"/>
      <c r="AB15" s="521"/>
      <c r="AC15" s="521"/>
    </row>
    <row r="16" spans="1:29" s="18" customFormat="1">
      <c r="A16" s="141">
        <v>8</v>
      </c>
      <c r="B16" s="142" t="s">
        <v>113</v>
      </c>
      <c r="C16" s="143" t="s">
        <v>88</v>
      </c>
      <c r="D16" s="419">
        <v>1</v>
      </c>
      <c r="E16" s="144">
        <f>'KL TONG HOP'!E15</f>
        <v>1</v>
      </c>
      <c r="F16" s="753">
        <f>IF(E16-D16&gt;0,D16,E16)</f>
        <v>1</v>
      </c>
      <c r="G16" s="145">
        <v>0</v>
      </c>
      <c r="H16" s="145">
        <v>36300000</v>
      </c>
      <c r="I16" s="145">
        <f t="shared" si="1"/>
        <v>36300000</v>
      </c>
      <c r="J16" s="145">
        <f t="shared" si="0"/>
        <v>36300000</v>
      </c>
      <c r="K16" s="145">
        <f t="shared" si="2"/>
        <v>36300000</v>
      </c>
      <c r="L16" s="757">
        <f t="shared" si="3"/>
        <v>36300000</v>
      </c>
      <c r="M16" s="757">
        <f t="shared" si="4"/>
        <v>0</v>
      </c>
      <c r="N16" s="757">
        <f t="shared" si="5"/>
        <v>0</v>
      </c>
      <c r="O16" s="146"/>
      <c r="P16" s="146"/>
      <c r="Q16" s="147"/>
      <c r="R16" s="521"/>
      <c r="S16" s="667"/>
      <c r="T16" s="141"/>
      <c r="U16" s="141"/>
      <c r="V16" s="521"/>
      <c r="W16" s="521"/>
      <c r="X16" s="523"/>
      <c r="Y16" s="523" t="s">
        <v>1662</v>
      </c>
      <c r="Z16" s="521" t="s">
        <v>1663</v>
      </c>
      <c r="AA16" s="521"/>
      <c r="AB16" s="521"/>
      <c r="AC16" s="521"/>
    </row>
    <row r="17" spans="1:29" s="18" customFormat="1" ht="33.75" customHeight="1">
      <c r="A17" s="141">
        <v>9</v>
      </c>
      <c r="B17" s="142" t="s">
        <v>114</v>
      </c>
      <c r="C17" s="143" t="s">
        <v>1</v>
      </c>
      <c r="D17" s="419">
        <v>2211.2773999999999</v>
      </c>
      <c r="E17" s="144">
        <f>'KL TONG HOP'!E16</f>
        <v>2211.2773999999999</v>
      </c>
      <c r="F17" s="753">
        <f>IF(E17-D17&gt;0,D17,E17)</f>
        <v>2211.2773999999999</v>
      </c>
      <c r="G17" s="145">
        <v>0</v>
      </c>
      <c r="H17" s="145">
        <v>60500</v>
      </c>
      <c r="I17" s="145">
        <f t="shared" si="1"/>
        <v>60500</v>
      </c>
      <c r="J17" s="145">
        <f t="shared" si="0"/>
        <v>133782282.7</v>
      </c>
      <c r="K17" s="145">
        <f t="shared" si="2"/>
        <v>133782282.7</v>
      </c>
      <c r="L17" s="757">
        <f t="shared" si="3"/>
        <v>133782282.7</v>
      </c>
      <c r="M17" s="757">
        <f t="shared" si="4"/>
        <v>0</v>
      </c>
      <c r="N17" s="757">
        <f t="shared" si="5"/>
        <v>0</v>
      </c>
      <c r="O17" s="146"/>
      <c r="P17" s="146"/>
      <c r="Q17" s="147"/>
      <c r="R17" s="521"/>
      <c r="S17" s="667"/>
      <c r="T17" s="141"/>
      <c r="U17" s="141"/>
      <c r="V17" s="521"/>
      <c r="W17" s="521"/>
      <c r="X17" s="523"/>
      <c r="Y17" s="523" t="s">
        <v>1657</v>
      </c>
      <c r="Z17" s="521" t="s">
        <v>1663</v>
      </c>
      <c r="AA17" s="521"/>
      <c r="AB17" s="521"/>
      <c r="AC17" s="521"/>
    </row>
    <row r="18" spans="1:29" s="18" customFormat="1" ht="46.5" customHeight="1">
      <c r="A18" s="141">
        <v>10</v>
      </c>
      <c r="B18" s="142" t="s">
        <v>115</v>
      </c>
      <c r="C18" s="143" t="s">
        <v>88</v>
      </c>
      <c r="D18" s="419">
        <v>1</v>
      </c>
      <c r="E18" s="144">
        <f>'KL TONG HOP'!E17</f>
        <v>1</v>
      </c>
      <c r="F18" s="753">
        <f>IF(E18-D18&gt;0,D18,E18)</f>
        <v>1</v>
      </c>
      <c r="G18" s="145">
        <v>0</v>
      </c>
      <c r="H18" s="145">
        <v>19360000</v>
      </c>
      <c r="I18" s="145">
        <f t="shared" si="1"/>
        <v>19360000</v>
      </c>
      <c r="J18" s="145">
        <f t="shared" si="0"/>
        <v>19360000</v>
      </c>
      <c r="K18" s="145">
        <f t="shared" si="2"/>
        <v>19360000</v>
      </c>
      <c r="L18" s="757">
        <f t="shared" si="3"/>
        <v>19360000</v>
      </c>
      <c r="M18" s="757">
        <f t="shared" si="4"/>
        <v>0</v>
      </c>
      <c r="N18" s="757">
        <f t="shared" si="5"/>
        <v>0</v>
      </c>
      <c r="O18" s="146"/>
      <c r="P18" s="146"/>
      <c r="Q18" s="147"/>
      <c r="R18" s="521"/>
      <c r="S18" s="667"/>
      <c r="T18" s="141"/>
      <c r="U18" s="141"/>
      <c r="V18" s="521"/>
      <c r="W18" s="521"/>
      <c r="X18" s="523"/>
      <c r="Y18" s="523" t="s">
        <v>1657</v>
      </c>
      <c r="Z18" s="521" t="s">
        <v>1745</v>
      </c>
      <c r="AA18" s="521"/>
      <c r="AB18" s="521"/>
      <c r="AC18" s="521"/>
    </row>
    <row r="19" spans="1:29" s="18" customFormat="1" ht="63.75">
      <c r="A19" s="141">
        <v>11</v>
      </c>
      <c r="B19" s="142" t="s">
        <v>116</v>
      </c>
      <c r="C19" s="143" t="s">
        <v>1</v>
      </c>
      <c r="D19" s="419">
        <v>2641.5860520000019</v>
      </c>
      <c r="E19" s="144" t="e">
        <f>'KL TONG HOP'!E18</f>
        <v>#REF!</v>
      </c>
      <c r="F19" s="753" t="e">
        <f>IF(E19-D19&gt;0,D19,E19)</f>
        <v>#REF!</v>
      </c>
      <c r="G19" s="145">
        <v>51912.000000000007</v>
      </c>
      <c r="H19" s="145">
        <v>72600</v>
      </c>
      <c r="I19" s="145">
        <f t="shared" si="1"/>
        <v>124512</v>
      </c>
      <c r="J19" s="145">
        <f t="shared" si="0"/>
        <v>328909162.50662422</v>
      </c>
      <c r="K19" s="145" t="e">
        <f t="shared" si="2"/>
        <v>#REF!</v>
      </c>
      <c r="L19" s="757" t="e">
        <f t="shared" si="3"/>
        <v>#REF!</v>
      </c>
      <c r="M19" s="757" t="e">
        <f t="shared" si="4"/>
        <v>#REF!</v>
      </c>
      <c r="N19" s="757" t="e">
        <f t="shared" si="5"/>
        <v>#REF!</v>
      </c>
      <c r="O19" s="146" t="s">
        <v>153</v>
      </c>
      <c r="P19" s="146" t="s">
        <v>63</v>
      </c>
      <c r="Q19" s="147" t="s">
        <v>154</v>
      </c>
      <c r="R19" s="521" t="s">
        <v>1705</v>
      </c>
      <c r="S19" s="667"/>
      <c r="T19" s="141" t="s">
        <v>153</v>
      </c>
      <c r="U19" s="141" t="s">
        <v>1713</v>
      </c>
      <c r="V19" s="521"/>
      <c r="W19" s="521"/>
      <c r="X19" s="521"/>
      <c r="Y19" s="670" t="s">
        <v>1664</v>
      </c>
      <c r="Z19" s="670" t="s">
        <v>1665</v>
      </c>
      <c r="AA19" s="521"/>
      <c r="AB19" s="521"/>
      <c r="AC19" s="521"/>
    </row>
    <row r="20" spans="1:29" s="533" customFormat="1" ht="51">
      <c r="A20" s="524"/>
      <c r="B20" s="525" t="s">
        <v>968</v>
      </c>
      <c r="C20" s="526" t="s">
        <v>1653</v>
      </c>
      <c r="D20" s="527"/>
      <c r="E20" s="528"/>
      <c r="F20" s="656"/>
      <c r="G20" s="529"/>
      <c r="H20" s="529"/>
      <c r="I20" s="529"/>
      <c r="J20" s="529"/>
      <c r="K20" s="529"/>
      <c r="L20" s="657"/>
      <c r="M20" s="657"/>
      <c r="N20" s="657"/>
      <c r="O20" s="530"/>
      <c r="P20" s="530"/>
      <c r="Q20" s="531"/>
      <c r="R20" s="532"/>
      <c r="S20" s="560"/>
      <c r="T20" s="524"/>
      <c r="U20" s="524"/>
      <c r="V20" s="670" t="s">
        <v>1718</v>
      </c>
      <c r="W20" s="670" t="s">
        <v>1718</v>
      </c>
      <c r="X20" s="670" t="s">
        <v>1718</v>
      </c>
      <c r="Y20" s="532"/>
      <c r="Z20" s="532"/>
      <c r="AA20" s="521"/>
      <c r="AB20" s="532"/>
      <c r="AC20" s="532"/>
    </row>
    <row r="21" spans="1:29" s="533" customFormat="1">
      <c r="A21" s="524"/>
      <c r="B21" s="525" t="s">
        <v>969</v>
      </c>
      <c r="C21" s="526" t="s">
        <v>1652</v>
      </c>
      <c r="D21" s="527"/>
      <c r="E21" s="528"/>
      <c r="F21" s="656"/>
      <c r="G21" s="529"/>
      <c r="H21" s="529"/>
      <c r="I21" s="529"/>
      <c r="J21" s="529"/>
      <c r="K21" s="529"/>
      <c r="L21" s="657"/>
      <c r="M21" s="657"/>
      <c r="N21" s="657"/>
      <c r="O21" s="530"/>
      <c r="P21" s="530"/>
      <c r="Q21" s="531"/>
      <c r="R21" s="532"/>
      <c r="T21" s="524"/>
      <c r="U21" s="524"/>
      <c r="V21" s="670" t="s">
        <v>1719</v>
      </c>
      <c r="W21" s="670" t="s">
        <v>1719</v>
      </c>
      <c r="X21" s="670" t="s">
        <v>1719</v>
      </c>
      <c r="Y21" s="532"/>
      <c r="Z21" s="532"/>
      <c r="AA21" s="521"/>
      <c r="AB21" s="532"/>
      <c r="AC21" s="532"/>
    </row>
    <row r="22" spans="1:29" s="533" customFormat="1">
      <c r="A22" s="524"/>
      <c r="B22" s="525" t="s">
        <v>970</v>
      </c>
      <c r="C22" s="526" t="s">
        <v>1652</v>
      </c>
      <c r="D22" s="527"/>
      <c r="E22" s="528"/>
      <c r="F22" s="656"/>
      <c r="G22" s="529"/>
      <c r="H22" s="529"/>
      <c r="I22" s="529"/>
      <c r="J22" s="529"/>
      <c r="K22" s="529"/>
      <c r="L22" s="657"/>
      <c r="M22" s="657"/>
      <c r="N22" s="657"/>
      <c r="O22" s="530"/>
      <c r="P22" s="530"/>
      <c r="Q22" s="531"/>
      <c r="R22" s="532"/>
      <c r="S22" s="665"/>
      <c r="T22" s="524"/>
      <c r="U22" s="524"/>
      <c r="V22" s="670" t="s">
        <v>1721</v>
      </c>
      <c r="W22" s="670" t="s">
        <v>1721</v>
      </c>
      <c r="X22" s="670" t="s">
        <v>1721</v>
      </c>
      <c r="Y22" s="532"/>
      <c r="Z22" s="532"/>
      <c r="AA22" s="521"/>
      <c r="AB22" s="532"/>
      <c r="AC22" s="532"/>
    </row>
    <row r="23" spans="1:29" s="18" customFormat="1" ht="51">
      <c r="A23" s="141">
        <v>12</v>
      </c>
      <c r="B23" s="142" t="s">
        <v>117</v>
      </c>
      <c r="C23" s="143" t="s">
        <v>1</v>
      </c>
      <c r="D23" s="419">
        <v>1541.9157960000007</v>
      </c>
      <c r="E23" s="144">
        <f>'KL TONG HOP'!E19</f>
        <v>1541.9157960000007</v>
      </c>
      <c r="F23" s="753">
        <f>IF(E23-D23&gt;0,D23,E23)</f>
        <v>1541.9157960000007</v>
      </c>
      <c r="G23" s="145">
        <v>69216</v>
      </c>
      <c r="H23" s="145">
        <v>84700</v>
      </c>
      <c r="I23" s="145">
        <f t="shared" si="1"/>
        <v>153916</v>
      </c>
      <c r="J23" s="145">
        <f t="shared" si="0"/>
        <v>237325511.65713611</v>
      </c>
      <c r="K23" s="145">
        <f t="shared" si="2"/>
        <v>237325511.65713611</v>
      </c>
      <c r="L23" s="757">
        <f t="shared" ref="L23" si="6">F23*(G23+H23)</f>
        <v>237325511.65713611</v>
      </c>
      <c r="M23" s="757">
        <f t="shared" ref="M23" si="7">L23-J23</f>
        <v>0</v>
      </c>
      <c r="N23" s="757">
        <f t="shared" ref="N23" si="8">L23-K23</f>
        <v>0</v>
      </c>
      <c r="O23" s="146" t="s">
        <v>155</v>
      </c>
      <c r="P23" s="146" t="s">
        <v>63</v>
      </c>
      <c r="Q23" s="147" t="s">
        <v>154</v>
      </c>
      <c r="R23" s="521" t="s">
        <v>1706</v>
      </c>
      <c r="S23" s="667"/>
      <c r="T23" s="141" t="s">
        <v>153</v>
      </c>
      <c r="U23" s="141" t="s">
        <v>1714</v>
      </c>
      <c r="V23" s="521"/>
      <c r="W23" s="521"/>
      <c r="X23" s="521"/>
      <c r="Y23" s="670" t="s">
        <v>1666</v>
      </c>
      <c r="Z23" s="670" t="s">
        <v>1667</v>
      </c>
      <c r="AA23" s="521"/>
      <c r="AB23" s="521"/>
      <c r="AC23" s="521"/>
    </row>
    <row r="24" spans="1:29" s="533" customFormat="1" ht="25.5">
      <c r="A24" s="524"/>
      <c r="B24" s="525" t="s">
        <v>1102</v>
      </c>
      <c r="C24" s="526" t="s">
        <v>1653</v>
      </c>
      <c r="D24" s="527"/>
      <c r="E24" s="528"/>
      <c r="F24" s="656"/>
      <c r="G24" s="529"/>
      <c r="H24" s="529"/>
      <c r="I24" s="529"/>
      <c r="J24" s="529"/>
      <c r="K24" s="529"/>
      <c r="L24" s="657"/>
      <c r="M24" s="657"/>
      <c r="N24" s="657"/>
      <c r="O24" s="530"/>
      <c r="P24" s="530"/>
      <c r="Q24" s="531"/>
      <c r="R24" s="532"/>
      <c r="S24" s="560"/>
      <c r="T24" s="524"/>
      <c r="U24" s="524"/>
      <c r="V24" s="670" t="s">
        <v>1717</v>
      </c>
      <c r="W24" s="670" t="s">
        <v>1717</v>
      </c>
      <c r="X24" s="670" t="s">
        <v>1717</v>
      </c>
      <c r="Y24" s="532"/>
      <c r="Z24" s="532"/>
      <c r="AA24" s="521"/>
      <c r="AB24" s="532"/>
      <c r="AC24" s="532"/>
    </row>
    <row r="25" spans="1:29" s="533" customFormat="1" ht="25.5">
      <c r="A25" s="524"/>
      <c r="B25" s="525" t="s">
        <v>1103</v>
      </c>
      <c r="C25" s="526" t="s">
        <v>1652</v>
      </c>
      <c r="D25" s="527"/>
      <c r="E25" s="528"/>
      <c r="F25" s="656"/>
      <c r="G25" s="529"/>
      <c r="H25" s="529"/>
      <c r="I25" s="529"/>
      <c r="J25" s="529"/>
      <c r="K25" s="529"/>
      <c r="L25" s="657"/>
      <c r="M25" s="657"/>
      <c r="N25" s="657"/>
      <c r="O25" s="530"/>
      <c r="P25" s="530"/>
      <c r="Q25" s="531"/>
      <c r="R25" s="532"/>
      <c r="S25" s="665"/>
      <c r="T25" s="524"/>
      <c r="U25" s="524"/>
      <c r="V25" s="670" t="s">
        <v>1720</v>
      </c>
      <c r="W25" s="670" t="s">
        <v>1720</v>
      </c>
      <c r="X25" s="670" t="s">
        <v>1720</v>
      </c>
      <c r="Y25" s="532"/>
      <c r="Z25" s="532"/>
      <c r="AA25" s="521"/>
      <c r="AB25" s="532"/>
      <c r="AC25" s="532"/>
    </row>
    <row r="26" spans="1:29" s="533" customFormat="1" ht="38.25">
      <c r="A26" s="524"/>
      <c r="B26" s="525" t="s">
        <v>1104</v>
      </c>
      <c r="C26" s="526" t="s">
        <v>1655</v>
      </c>
      <c r="D26" s="527"/>
      <c r="E26" s="528"/>
      <c r="F26" s="656"/>
      <c r="G26" s="529"/>
      <c r="H26" s="529"/>
      <c r="I26" s="529"/>
      <c r="J26" s="529"/>
      <c r="K26" s="529"/>
      <c r="L26" s="657"/>
      <c r="M26" s="657"/>
      <c r="N26" s="657"/>
      <c r="O26" s="530"/>
      <c r="P26" s="530"/>
      <c r="Q26" s="531"/>
      <c r="R26" s="532"/>
      <c r="S26" s="560"/>
      <c r="T26" s="524"/>
      <c r="U26" s="524"/>
      <c r="V26" s="670" t="s">
        <v>1722</v>
      </c>
      <c r="W26" s="670" t="s">
        <v>1722</v>
      </c>
      <c r="X26" s="670" t="s">
        <v>1722</v>
      </c>
      <c r="Y26" s="532"/>
      <c r="Z26" s="532"/>
      <c r="AA26" s="521"/>
      <c r="AB26" s="532"/>
      <c r="AC26" s="532"/>
    </row>
    <row r="27" spans="1:29" s="18" customFormat="1" ht="38.25">
      <c r="A27" s="141">
        <v>13</v>
      </c>
      <c r="B27" s="142" t="s">
        <v>118</v>
      </c>
      <c r="C27" s="143" t="s">
        <v>1</v>
      </c>
      <c r="D27" s="419">
        <v>7.6136522000000006</v>
      </c>
      <c r="E27" s="144">
        <f>'KL TONG HOP'!E20</f>
        <v>7.6136522000000006</v>
      </c>
      <c r="F27" s="753">
        <f>IF(E27-D27&gt;0,D27,E27)</f>
        <v>7.6136522000000006</v>
      </c>
      <c r="G27" s="145">
        <v>92288.000000000015</v>
      </c>
      <c r="H27" s="145">
        <v>139150</v>
      </c>
      <c r="I27" s="145">
        <f t="shared" si="1"/>
        <v>231438</v>
      </c>
      <c r="J27" s="145">
        <f t="shared" si="0"/>
        <v>1762088.4378636002</v>
      </c>
      <c r="K27" s="145">
        <f t="shared" si="2"/>
        <v>1762088.4378636002</v>
      </c>
      <c r="L27" s="757">
        <f t="shared" ref="L27:L28" si="9">F27*(G27+H27)</f>
        <v>1762088.4378636002</v>
      </c>
      <c r="M27" s="757">
        <f t="shared" ref="M27:M28" si="10">L27-J27</f>
        <v>0</v>
      </c>
      <c r="N27" s="757">
        <f t="shared" ref="N27:N28" si="11">L27-K27</f>
        <v>0</v>
      </c>
      <c r="O27" s="146" t="s">
        <v>156</v>
      </c>
      <c r="P27" s="146" t="s">
        <v>63</v>
      </c>
      <c r="Q27" s="147" t="s">
        <v>154</v>
      </c>
      <c r="R27" s="521" t="s">
        <v>1705</v>
      </c>
      <c r="S27" s="667"/>
      <c r="T27" s="141" t="s">
        <v>1715</v>
      </c>
      <c r="U27" s="141" t="s">
        <v>1715</v>
      </c>
      <c r="V27" s="715" t="s">
        <v>1743</v>
      </c>
      <c r="W27" s="521"/>
      <c r="X27" s="521"/>
      <c r="Y27" s="521" t="s">
        <v>1668</v>
      </c>
      <c r="Z27" s="523" t="s">
        <v>827</v>
      </c>
      <c r="AA27" s="521"/>
      <c r="AB27" s="521"/>
      <c r="AC27" s="521"/>
    </row>
    <row r="28" spans="1:29" s="18" customFormat="1" ht="38.25">
      <c r="A28" s="141">
        <v>14</v>
      </c>
      <c r="B28" s="142" t="s">
        <v>119</v>
      </c>
      <c r="C28" s="143" t="s">
        <v>1</v>
      </c>
      <c r="D28" s="419">
        <v>1305.4874</v>
      </c>
      <c r="E28" s="144" t="e">
        <f>'KL TONG HOP'!E21</f>
        <v>#REF!</v>
      </c>
      <c r="F28" s="753" t="e">
        <f>'Dien giai KL'!#REF!</f>
        <v>#REF!</v>
      </c>
      <c r="G28" s="145">
        <v>40376.000000000007</v>
      </c>
      <c r="H28" s="145">
        <v>54450</v>
      </c>
      <c r="I28" s="145">
        <f t="shared" si="1"/>
        <v>94826</v>
      </c>
      <c r="J28" s="145">
        <f t="shared" si="0"/>
        <v>123794148.19239999</v>
      </c>
      <c r="K28" s="145" t="e">
        <f t="shared" si="2"/>
        <v>#REF!</v>
      </c>
      <c r="L28" s="757" t="e">
        <f t="shared" si="9"/>
        <v>#REF!</v>
      </c>
      <c r="M28" s="757" t="e">
        <f t="shared" si="10"/>
        <v>#REF!</v>
      </c>
      <c r="N28" s="757" t="e">
        <f t="shared" si="11"/>
        <v>#REF!</v>
      </c>
      <c r="O28" s="146" t="s">
        <v>157</v>
      </c>
      <c r="P28" s="146" t="s">
        <v>63</v>
      </c>
      <c r="Q28" s="147" t="s">
        <v>154</v>
      </c>
      <c r="R28" s="521" t="s">
        <v>1707</v>
      </c>
      <c r="S28" s="667"/>
      <c r="T28" s="703" t="s">
        <v>157</v>
      </c>
      <c r="U28" s="703" t="s">
        <v>157</v>
      </c>
      <c r="V28" s="521"/>
      <c r="W28" s="521"/>
      <c r="X28" s="521"/>
      <c r="Y28" s="670" t="s">
        <v>1670</v>
      </c>
      <c r="Z28" s="521" t="s">
        <v>1669</v>
      </c>
      <c r="AA28" s="521"/>
      <c r="AB28" s="521"/>
      <c r="AC28" s="521"/>
    </row>
    <row r="29" spans="1:29" s="533" customFormat="1" ht="25.5">
      <c r="A29" s="524"/>
      <c r="B29" s="525" t="s">
        <v>966</v>
      </c>
      <c r="C29" s="526" t="s">
        <v>0</v>
      </c>
      <c r="D29" s="527"/>
      <c r="E29" s="528"/>
      <c r="F29" s="656"/>
      <c r="G29" s="529"/>
      <c r="H29" s="529"/>
      <c r="I29" s="529"/>
      <c r="J29" s="529"/>
      <c r="K29" s="529"/>
      <c r="L29" s="657"/>
      <c r="M29" s="657"/>
      <c r="N29" s="657"/>
      <c r="O29" s="530"/>
      <c r="P29" s="530"/>
      <c r="Q29" s="531"/>
      <c r="R29" s="532"/>
      <c r="S29" s="534"/>
      <c r="T29" s="524"/>
      <c r="U29" s="524"/>
      <c r="V29" s="670" t="s">
        <v>1724</v>
      </c>
      <c r="W29" s="670" t="s">
        <v>1725</v>
      </c>
      <c r="X29" s="670" t="s">
        <v>1725</v>
      </c>
      <c r="Y29" s="532"/>
      <c r="Z29" s="532"/>
      <c r="AA29" s="521" t="s">
        <v>1726</v>
      </c>
      <c r="AB29" s="532"/>
      <c r="AC29" s="532"/>
    </row>
    <row r="30" spans="1:29" s="533" customFormat="1" ht="51">
      <c r="A30" s="524"/>
      <c r="B30" s="525" t="s">
        <v>422</v>
      </c>
      <c r="C30" s="526" t="s">
        <v>324</v>
      </c>
      <c r="D30" s="527"/>
      <c r="E30" s="528"/>
      <c r="F30" s="656"/>
      <c r="G30" s="529"/>
      <c r="H30" s="529"/>
      <c r="I30" s="529"/>
      <c r="J30" s="529"/>
      <c r="K30" s="529"/>
      <c r="L30" s="657"/>
      <c r="M30" s="657"/>
      <c r="N30" s="657"/>
      <c r="O30" s="530"/>
      <c r="P30" s="530"/>
      <c r="Q30" s="531"/>
      <c r="R30" s="532"/>
      <c r="S30" s="534"/>
      <c r="T30" s="524"/>
      <c r="U30" s="524"/>
      <c r="V30" s="670" t="s">
        <v>1723</v>
      </c>
      <c r="W30" s="670" t="s">
        <v>1723</v>
      </c>
      <c r="X30" s="670" t="s">
        <v>1723</v>
      </c>
      <c r="Y30" s="532"/>
      <c r="Z30" s="532"/>
      <c r="AA30" s="521"/>
      <c r="AB30" s="532"/>
      <c r="AC30" s="532"/>
    </row>
    <row r="31" spans="1:29" s="18" customFormat="1" ht="38.25">
      <c r="A31" s="141">
        <v>15</v>
      </c>
      <c r="B31" s="142" t="s">
        <v>120</v>
      </c>
      <c r="C31" s="143" t="s">
        <v>1</v>
      </c>
      <c r="D31" s="419">
        <v>93.629999999999981</v>
      </c>
      <c r="E31" s="144" t="e">
        <f>'KL TONG HOP'!#REF!</f>
        <v>#REF!</v>
      </c>
      <c r="F31" s="753" t="e">
        <f>IF(E31-D31&gt;0,D31,E31)</f>
        <v>#REF!</v>
      </c>
      <c r="G31" s="145">
        <v>40376.000000000007</v>
      </c>
      <c r="H31" s="145">
        <v>54450</v>
      </c>
      <c r="I31" s="145">
        <f t="shared" si="1"/>
        <v>94826</v>
      </c>
      <c r="J31" s="145">
        <f t="shared" si="0"/>
        <v>8878558.379999999</v>
      </c>
      <c r="K31" s="145" t="e">
        <f t="shared" si="2"/>
        <v>#REF!</v>
      </c>
      <c r="L31" s="757" t="e">
        <f t="shared" ref="L31" si="12">F31*(G31+H31)</f>
        <v>#REF!</v>
      </c>
      <c r="M31" s="757" t="e">
        <f t="shared" ref="M31" si="13">L31-J31</f>
        <v>#REF!</v>
      </c>
      <c r="N31" s="757" t="e">
        <f t="shared" ref="N31" si="14">L31-K31</f>
        <v>#REF!</v>
      </c>
      <c r="O31" s="146" t="s">
        <v>157</v>
      </c>
      <c r="P31" s="146" t="s">
        <v>63</v>
      </c>
      <c r="Q31" s="147" t="s">
        <v>154</v>
      </c>
      <c r="R31" s="521" t="s">
        <v>1707</v>
      </c>
      <c r="S31" s="667"/>
      <c r="T31" s="703" t="s">
        <v>157</v>
      </c>
      <c r="U31" s="703" t="s">
        <v>157</v>
      </c>
      <c r="V31" s="521"/>
      <c r="W31" s="521"/>
      <c r="X31" s="521"/>
      <c r="Y31" s="670" t="s">
        <v>1670</v>
      </c>
      <c r="Z31" s="521" t="s">
        <v>821</v>
      </c>
      <c r="AA31" s="521"/>
      <c r="AB31" s="521"/>
      <c r="AC31" s="521"/>
    </row>
    <row r="32" spans="1:29" s="533" customFormat="1" ht="25.5">
      <c r="A32" s="524"/>
      <c r="B32" s="525" t="s">
        <v>966</v>
      </c>
      <c r="C32" s="526" t="s">
        <v>0</v>
      </c>
      <c r="D32" s="527"/>
      <c r="E32" s="528"/>
      <c r="F32" s="656"/>
      <c r="G32" s="529"/>
      <c r="H32" s="529"/>
      <c r="I32" s="529"/>
      <c r="J32" s="529"/>
      <c r="K32" s="529"/>
      <c r="L32" s="657"/>
      <c r="M32" s="657"/>
      <c r="N32" s="657"/>
      <c r="O32" s="530"/>
      <c r="P32" s="530"/>
      <c r="Q32" s="531"/>
      <c r="R32" s="532"/>
      <c r="S32" s="534"/>
      <c r="T32" s="524"/>
      <c r="U32" s="524"/>
      <c r="V32" s="670" t="s">
        <v>1724</v>
      </c>
      <c r="W32" s="670" t="s">
        <v>1725</v>
      </c>
      <c r="X32" s="670" t="s">
        <v>1725</v>
      </c>
      <c r="Y32" s="532"/>
      <c r="Z32" s="532"/>
      <c r="AA32" s="521" t="s">
        <v>1726</v>
      </c>
      <c r="AB32" s="532"/>
      <c r="AC32" s="532"/>
    </row>
    <row r="33" spans="1:33" s="533" customFormat="1" ht="51">
      <c r="A33" s="524"/>
      <c r="B33" s="525" t="s">
        <v>422</v>
      </c>
      <c r="C33" s="526" t="s">
        <v>1651</v>
      </c>
      <c r="D33" s="527"/>
      <c r="E33" s="528"/>
      <c r="F33" s="656"/>
      <c r="G33" s="529"/>
      <c r="H33" s="529"/>
      <c r="I33" s="529"/>
      <c r="J33" s="529"/>
      <c r="K33" s="529"/>
      <c r="L33" s="657"/>
      <c r="M33" s="657"/>
      <c r="N33" s="657"/>
      <c r="O33" s="530"/>
      <c r="P33" s="530"/>
      <c r="Q33" s="531"/>
      <c r="R33" s="532"/>
      <c r="S33" s="534"/>
      <c r="T33" s="524"/>
      <c r="U33" s="524"/>
      <c r="V33" s="670" t="s">
        <v>1723</v>
      </c>
      <c r="W33" s="670" t="s">
        <v>1723</v>
      </c>
      <c r="X33" s="670" t="s">
        <v>1723</v>
      </c>
      <c r="Y33" s="532"/>
      <c r="Z33" s="532"/>
      <c r="AA33" s="521"/>
      <c r="AB33" s="532"/>
      <c r="AC33" s="532"/>
    </row>
    <row r="34" spans="1:33" s="18" customFormat="1" ht="276" customHeight="1">
      <c r="A34" s="141">
        <v>16</v>
      </c>
      <c r="B34" s="142" t="s">
        <v>121</v>
      </c>
      <c r="C34" s="143" t="s">
        <v>1</v>
      </c>
      <c r="D34" s="419">
        <v>127.55999999999997</v>
      </c>
      <c r="E34" s="144" t="e">
        <f>'KL TONG HOP'!#REF!</f>
        <v>#REF!</v>
      </c>
      <c r="F34" s="753" t="e">
        <f>'Dien giai KL'!#REF!</f>
        <v>#REF!</v>
      </c>
      <c r="G34" s="145">
        <v>317240.00000000006</v>
      </c>
      <c r="H34" s="145">
        <v>169400</v>
      </c>
      <c r="I34" s="145">
        <f t="shared" si="1"/>
        <v>486640.00000000006</v>
      </c>
      <c r="J34" s="145">
        <f t="shared" si="0"/>
        <v>62075798.399999991</v>
      </c>
      <c r="K34" s="145" t="e">
        <f t="shared" si="2"/>
        <v>#REF!</v>
      </c>
      <c r="L34" s="757" t="e">
        <f t="shared" ref="L34" si="15">F34*(G34+H34)</f>
        <v>#REF!</v>
      </c>
      <c r="M34" s="757" t="e">
        <f t="shared" ref="M34" si="16">L34-J34</f>
        <v>#REF!</v>
      </c>
      <c r="N34" s="757" t="e">
        <f t="shared" ref="N34" si="17">L34-K34</f>
        <v>#REF!</v>
      </c>
      <c r="O34" s="146"/>
      <c r="P34" s="146"/>
      <c r="Q34" s="147" t="s">
        <v>158</v>
      </c>
      <c r="R34" s="521" t="s">
        <v>1708</v>
      </c>
      <c r="S34" s="667"/>
      <c r="T34" s="141" t="s">
        <v>1716</v>
      </c>
      <c r="U34" s="141" t="s">
        <v>1716</v>
      </c>
      <c r="V34" s="521"/>
      <c r="W34" s="521"/>
      <c r="X34" s="521"/>
      <c r="Y34" s="521" t="s">
        <v>1671</v>
      </c>
      <c r="Z34" s="521" t="s">
        <v>821</v>
      </c>
      <c r="AA34" s="521"/>
      <c r="AB34" s="521"/>
      <c r="AC34" s="521"/>
    </row>
    <row r="35" spans="1:33" s="533" customFormat="1" ht="25.5">
      <c r="A35" s="524"/>
      <c r="B35" s="525" t="s">
        <v>971</v>
      </c>
      <c r="C35" s="526" t="s">
        <v>1654</v>
      </c>
      <c r="D35" s="527"/>
      <c r="E35" s="528"/>
      <c r="F35" s="656"/>
      <c r="G35" s="529"/>
      <c r="H35" s="529"/>
      <c r="I35" s="529"/>
      <c r="J35" s="529"/>
      <c r="K35" s="529"/>
      <c r="L35" s="657"/>
      <c r="M35" s="657"/>
      <c r="N35" s="657"/>
      <c r="O35" s="530"/>
      <c r="P35" s="530"/>
      <c r="Q35" s="531"/>
      <c r="R35" s="532"/>
      <c r="S35" s="560"/>
      <c r="T35" s="524"/>
      <c r="U35" s="524"/>
      <c r="V35" s="670" t="s">
        <v>1727</v>
      </c>
      <c r="W35" s="521" t="s">
        <v>1728</v>
      </c>
      <c r="X35" s="521" t="s">
        <v>1728</v>
      </c>
      <c r="Y35" s="532"/>
      <c r="Z35" s="532"/>
      <c r="AA35" s="521"/>
      <c r="AB35" s="532"/>
      <c r="AC35" s="532"/>
      <c r="AD35" s="533" t="s">
        <v>972</v>
      </c>
      <c r="AE35" s="533" t="s">
        <v>973</v>
      </c>
      <c r="AG35" s="533" t="s">
        <v>974</v>
      </c>
    </row>
    <row r="36" spans="1:33" s="533" customFormat="1" ht="25.5">
      <c r="A36" s="652"/>
      <c r="B36" s="653" t="s">
        <v>1649</v>
      </c>
      <c r="C36" s="654" t="s">
        <v>1468</v>
      </c>
      <c r="D36" s="655"/>
      <c r="E36" s="656"/>
      <c r="F36" s="656"/>
      <c r="G36" s="657"/>
      <c r="H36" s="657"/>
      <c r="I36" s="657"/>
      <c r="J36" s="657"/>
      <c r="K36" s="657"/>
      <c r="L36" s="657"/>
      <c r="M36" s="657"/>
      <c r="N36" s="657"/>
      <c r="O36" s="658"/>
      <c r="P36" s="658"/>
      <c r="Q36" s="659"/>
      <c r="R36" s="660"/>
      <c r="S36" s="669"/>
      <c r="T36" s="652"/>
      <c r="U36" s="652"/>
      <c r="V36" s="670" t="s">
        <v>1727</v>
      </c>
      <c r="W36" s="707"/>
      <c r="X36" s="707"/>
      <c r="Y36" s="660"/>
      <c r="Z36" s="660"/>
      <c r="AA36" s="707"/>
      <c r="AB36" s="660"/>
      <c r="AC36" s="660"/>
    </row>
    <row r="37" spans="1:33" s="18" customFormat="1" ht="51">
      <c r="A37" s="141">
        <v>17</v>
      </c>
      <c r="B37" s="142" t="s">
        <v>122</v>
      </c>
      <c r="C37" s="143" t="s">
        <v>1</v>
      </c>
      <c r="D37" s="419">
        <v>1214.3674000000001</v>
      </c>
      <c r="E37" s="144" t="e">
        <f>'KL TONG HOP'!#REF!</f>
        <v>#REF!</v>
      </c>
      <c r="F37" s="753" t="e">
        <f>IF(E37-D37&gt;0,D37,E37)</f>
        <v>#REF!</v>
      </c>
      <c r="G37" s="145">
        <v>315000</v>
      </c>
      <c r="H37" s="145">
        <v>228690</v>
      </c>
      <c r="I37" s="145">
        <f t="shared" si="1"/>
        <v>543690</v>
      </c>
      <c r="J37" s="145">
        <f t="shared" si="0"/>
        <v>660239411.70600009</v>
      </c>
      <c r="K37" s="145" t="e">
        <f t="shared" si="2"/>
        <v>#REF!</v>
      </c>
      <c r="L37" s="757" t="e">
        <f t="shared" ref="L37" si="18">F37*(G37+H37)</f>
        <v>#REF!</v>
      </c>
      <c r="M37" s="757" t="e">
        <f t="shared" ref="M37" si="19">L37-J37</f>
        <v>#REF!</v>
      </c>
      <c r="N37" s="757" t="e">
        <f t="shared" ref="N37" si="20">L37-K37</f>
        <v>#REF!</v>
      </c>
      <c r="O37" s="146"/>
      <c r="P37" s="146"/>
      <c r="Q37" s="147" t="s">
        <v>154</v>
      </c>
      <c r="R37" s="521" t="s">
        <v>1709</v>
      </c>
      <c r="S37" s="667"/>
      <c r="T37" s="141"/>
      <c r="U37" s="141" t="s">
        <v>63</v>
      </c>
      <c r="V37" s="670" t="s">
        <v>1729</v>
      </c>
      <c r="W37" s="670" t="s">
        <v>1729</v>
      </c>
      <c r="X37" s="670" t="s">
        <v>1729</v>
      </c>
      <c r="Y37" s="670" t="s">
        <v>1672</v>
      </c>
      <c r="Z37" s="521" t="s">
        <v>1669</v>
      </c>
      <c r="AA37" s="521"/>
      <c r="AB37" s="521"/>
      <c r="AC37" s="521"/>
    </row>
    <row r="38" spans="1:33" s="533" customFormat="1">
      <c r="A38" s="524"/>
      <c r="B38" s="525" t="s">
        <v>1631</v>
      </c>
      <c r="C38" s="526" t="s">
        <v>1</v>
      </c>
      <c r="D38" s="527"/>
      <c r="E38" s="528"/>
      <c r="F38" s="656"/>
      <c r="G38" s="529"/>
      <c r="H38" s="529"/>
      <c r="I38" s="529"/>
      <c r="J38" s="529"/>
      <c r="K38" s="529"/>
      <c r="L38" s="657"/>
      <c r="M38" s="657"/>
      <c r="N38" s="657"/>
      <c r="O38" s="530"/>
      <c r="P38" s="530"/>
      <c r="Q38" s="531"/>
      <c r="R38" s="532"/>
      <c r="S38" s="560"/>
      <c r="T38" s="524"/>
      <c r="U38" s="524"/>
      <c r="V38" s="670"/>
      <c r="W38" s="670"/>
      <c r="X38" s="670"/>
      <c r="Y38" s="532"/>
      <c r="Z38" s="532"/>
      <c r="AA38" s="521"/>
      <c r="AB38" s="532"/>
      <c r="AC38" s="532"/>
    </row>
    <row r="39" spans="1:33" s="66" customFormat="1">
      <c r="A39" s="136" t="s">
        <v>9</v>
      </c>
      <c r="B39" s="135" t="s">
        <v>123</v>
      </c>
      <c r="C39" s="136"/>
      <c r="D39" s="418">
        <v>0</v>
      </c>
      <c r="E39" s="137" t="e">
        <f>'KL TONG HOP'!#REF!</f>
        <v>#REF!</v>
      </c>
      <c r="F39" s="752"/>
      <c r="G39" s="138"/>
      <c r="H39" s="138"/>
      <c r="I39" s="148"/>
      <c r="J39" s="138">
        <f>SUBTOTAL(9,J40:J57)</f>
        <v>210805186.56</v>
      </c>
      <c r="K39" s="138" t="e">
        <f>SUBTOTAL(9,K40:K57)</f>
        <v>#REF!</v>
      </c>
      <c r="L39" s="138" t="e">
        <f>SUBTOTAL(9,L40:L57)</f>
        <v>#REF!</v>
      </c>
      <c r="M39" s="756"/>
      <c r="N39" s="756"/>
      <c r="O39" s="139"/>
      <c r="P39" s="139"/>
      <c r="Q39" s="140"/>
      <c r="R39" s="520"/>
      <c r="S39" s="666"/>
      <c r="T39" s="134"/>
      <c r="U39" s="134"/>
      <c r="V39" s="520"/>
      <c r="W39" s="520"/>
      <c r="X39" s="520"/>
      <c r="Y39" s="520"/>
      <c r="Z39" s="520"/>
      <c r="AA39" s="520"/>
      <c r="AB39" s="520"/>
      <c r="AC39" s="520"/>
    </row>
    <row r="40" spans="1:33" s="3" customFormat="1">
      <c r="A40" s="141" t="s">
        <v>66</v>
      </c>
      <c r="B40" s="150" t="s">
        <v>84</v>
      </c>
      <c r="C40" s="151"/>
      <c r="D40" s="420">
        <v>0</v>
      </c>
      <c r="E40" s="152" t="e">
        <f>'KL TONG HOP'!#REF!</f>
        <v>#REF!</v>
      </c>
      <c r="F40" s="754"/>
      <c r="G40" s="153"/>
      <c r="H40" s="153"/>
      <c r="I40" s="145"/>
      <c r="J40" s="145"/>
      <c r="K40" s="153"/>
      <c r="L40" s="758"/>
      <c r="M40" s="758"/>
      <c r="N40" s="758"/>
      <c r="O40" s="154"/>
      <c r="P40" s="154"/>
      <c r="Q40" s="155"/>
      <c r="R40" s="522"/>
      <c r="S40" s="667"/>
      <c r="T40" s="149"/>
      <c r="U40" s="149"/>
      <c r="V40" s="522"/>
      <c r="W40" s="522"/>
      <c r="X40" s="522"/>
      <c r="Y40" s="522"/>
      <c r="Z40" s="522"/>
      <c r="AA40" s="522"/>
      <c r="AB40" s="522"/>
      <c r="AC40" s="522"/>
    </row>
    <row r="41" spans="1:33" s="18" customFormat="1" ht="51">
      <c r="A41" s="141">
        <v>1</v>
      </c>
      <c r="B41" s="142" t="s">
        <v>52</v>
      </c>
      <c r="C41" s="143" t="s">
        <v>5</v>
      </c>
      <c r="D41" s="419">
        <v>198</v>
      </c>
      <c r="E41" s="144" t="e">
        <f>'KL TONG HOP'!#REF!</f>
        <v>#REF!</v>
      </c>
      <c r="F41" s="753" t="e">
        <f>IF(E41-D41&gt;0,D41,E41)</f>
        <v>#REF!</v>
      </c>
      <c r="G41" s="145">
        <v>638880</v>
      </c>
      <c r="H41" s="145">
        <v>251680</v>
      </c>
      <c r="I41" s="145">
        <f t="shared" si="1"/>
        <v>890560</v>
      </c>
      <c r="J41" s="145">
        <f t="shared" ref="J41:J55" si="21">D41*I41</f>
        <v>176330880</v>
      </c>
      <c r="K41" s="145" t="e">
        <f t="shared" ref="K41:K56" si="22">E41*I41</f>
        <v>#REF!</v>
      </c>
      <c r="L41" s="757" t="e">
        <f t="shared" ref="L41" si="23">F41*(G41+H41)</f>
        <v>#REF!</v>
      </c>
      <c r="M41" s="757" t="e">
        <f t="shared" ref="M41" si="24">L41-J41</f>
        <v>#REF!</v>
      </c>
      <c r="N41" s="757" t="e">
        <f t="shared" ref="N41" si="25">L41-K41</f>
        <v>#REF!</v>
      </c>
      <c r="O41" s="146" t="s">
        <v>160</v>
      </c>
      <c r="P41" s="146" t="s">
        <v>161</v>
      </c>
      <c r="Q41" s="147" t="s">
        <v>162</v>
      </c>
      <c r="R41" s="521" t="s">
        <v>1709</v>
      </c>
      <c r="S41" s="667">
        <f>S42</f>
        <v>198</v>
      </c>
      <c r="T41" s="703" t="s">
        <v>161</v>
      </c>
      <c r="U41" s="141" t="s">
        <v>63</v>
      </c>
      <c r="V41" s="521" t="s">
        <v>1730</v>
      </c>
      <c r="W41" s="521" t="s">
        <v>1730</v>
      </c>
      <c r="X41" s="521" t="s">
        <v>1730</v>
      </c>
      <c r="Y41" s="670" t="s">
        <v>1734</v>
      </c>
      <c r="Z41" s="521" t="s">
        <v>1673</v>
      </c>
      <c r="AA41" s="521"/>
      <c r="AB41" s="521"/>
      <c r="AC41" s="521"/>
    </row>
    <row r="42" spans="1:33" s="533" customFormat="1">
      <c r="A42" s="524"/>
      <c r="B42" s="525" t="s">
        <v>52</v>
      </c>
      <c r="C42" s="526" t="s">
        <v>5</v>
      </c>
      <c r="D42" s="527"/>
      <c r="E42" s="528"/>
      <c r="F42" s="656"/>
      <c r="G42" s="529"/>
      <c r="H42" s="529"/>
      <c r="I42" s="529"/>
      <c r="J42" s="529"/>
      <c r="K42" s="529"/>
      <c r="L42" s="657"/>
      <c r="M42" s="657"/>
      <c r="N42" s="657"/>
      <c r="O42" s="530"/>
      <c r="P42" s="530"/>
      <c r="Q42" s="531"/>
      <c r="R42" s="532"/>
      <c r="S42" s="560">
        <f>100+95+3</f>
        <v>198</v>
      </c>
      <c r="T42" s="524"/>
      <c r="U42" s="524"/>
      <c r="V42" s="521"/>
      <c r="W42" s="521"/>
      <c r="X42" s="521"/>
      <c r="Y42" s="532"/>
      <c r="Z42" s="532"/>
      <c r="AA42" s="521"/>
      <c r="AB42" s="532"/>
      <c r="AC42" s="532"/>
    </row>
    <row r="43" spans="1:33" s="18" customFormat="1" ht="51">
      <c r="A43" s="141">
        <v>18</v>
      </c>
      <c r="B43" s="142" t="s">
        <v>131</v>
      </c>
      <c r="C43" s="143" t="s">
        <v>24</v>
      </c>
      <c r="D43" s="419">
        <v>0</v>
      </c>
      <c r="E43" s="144" t="e">
        <f>'KL TONG HOP'!#REF!</f>
        <v>#REF!</v>
      </c>
      <c r="F43" s="753">
        <v>1</v>
      </c>
      <c r="G43" s="145">
        <v>0</v>
      </c>
      <c r="H43" s="145">
        <v>0</v>
      </c>
      <c r="I43" s="145">
        <f t="shared" ref="I43:I56" si="26">G43+H43</f>
        <v>0</v>
      </c>
      <c r="J43" s="145">
        <f t="shared" si="21"/>
        <v>0</v>
      </c>
      <c r="K43" s="145" t="e">
        <f t="shared" si="22"/>
        <v>#REF!</v>
      </c>
      <c r="L43" s="757">
        <f t="shared" ref="L43:L55" si="27">F43*(G43+H43)</f>
        <v>0</v>
      </c>
      <c r="M43" s="757">
        <f t="shared" ref="M43:M55" si="28">L43-J43</f>
        <v>0</v>
      </c>
      <c r="N43" s="757" t="e">
        <f t="shared" ref="N43:N55" si="29">L43-K43</f>
        <v>#REF!</v>
      </c>
      <c r="O43" s="146"/>
      <c r="P43" s="146" t="s">
        <v>163</v>
      </c>
      <c r="Q43" s="147" t="s">
        <v>164</v>
      </c>
      <c r="R43" s="521" t="s">
        <v>1710</v>
      </c>
      <c r="S43" s="668"/>
      <c r="T43" s="703" t="s">
        <v>163</v>
      </c>
      <c r="U43" s="141" t="s">
        <v>627</v>
      </c>
      <c r="V43" s="670" t="s">
        <v>1731</v>
      </c>
      <c r="W43" s="837" t="s">
        <v>1732</v>
      </c>
      <c r="X43" s="838"/>
      <c r="Y43" s="521" t="s">
        <v>1735</v>
      </c>
      <c r="Z43" s="521" t="s">
        <v>543</v>
      </c>
      <c r="AA43" s="521"/>
      <c r="AB43" s="521"/>
      <c r="AC43" s="521"/>
    </row>
    <row r="44" spans="1:33" s="18" customFormat="1">
      <c r="A44" s="141"/>
      <c r="B44" s="142" t="s">
        <v>130</v>
      </c>
      <c r="C44" s="143" t="s">
        <v>6</v>
      </c>
      <c r="D44" s="419">
        <v>1</v>
      </c>
      <c r="E44" s="144" t="e">
        <f>'KL TONG HOP'!#REF!</f>
        <v>#REF!</v>
      </c>
      <c r="F44" s="753" t="e">
        <f t="shared" ref="F44:F55" si="30">IF(E44-D44&gt;0,D44,E44)</f>
        <v>#REF!</v>
      </c>
      <c r="G44" s="145">
        <v>3945480.0000000005</v>
      </c>
      <c r="H44" s="145">
        <v>338800</v>
      </c>
      <c r="I44" s="145">
        <f t="shared" si="26"/>
        <v>4284280</v>
      </c>
      <c r="J44" s="145">
        <f t="shared" si="21"/>
        <v>4284280</v>
      </c>
      <c r="K44" s="145" t="e">
        <f t="shared" si="22"/>
        <v>#REF!</v>
      </c>
      <c r="L44" s="757" t="e">
        <f t="shared" si="27"/>
        <v>#REF!</v>
      </c>
      <c r="M44" s="757" t="e">
        <f t="shared" si="28"/>
        <v>#REF!</v>
      </c>
      <c r="N44" s="757" t="e">
        <f t="shared" si="29"/>
        <v>#REF!</v>
      </c>
      <c r="O44" s="146" t="s">
        <v>166</v>
      </c>
      <c r="P44" s="146" t="s">
        <v>54</v>
      </c>
      <c r="Q44" s="147"/>
      <c r="R44" s="521"/>
      <c r="S44" s="560">
        <v>1</v>
      </c>
      <c r="T44" s="141" t="s">
        <v>54</v>
      </c>
      <c r="U44" s="141" t="s">
        <v>54</v>
      </c>
      <c r="V44" s="521"/>
      <c r="W44" s="521"/>
      <c r="X44" s="521"/>
      <c r="Y44" s="521"/>
      <c r="Z44" s="521"/>
      <c r="AA44" s="521"/>
      <c r="AB44" s="521"/>
      <c r="AC44" s="521"/>
    </row>
    <row r="45" spans="1:33" s="18" customFormat="1" ht="25.5">
      <c r="A45" s="141"/>
      <c r="B45" s="142" t="s">
        <v>20</v>
      </c>
      <c r="C45" s="143" t="s">
        <v>6</v>
      </c>
      <c r="D45" s="419">
        <v>3</v>
      </c>
      <c r="E45" s="144" t="e">
        <f>'KL TONG HOP'!#REF!</f>
        <v>#REF!</v>
      </c>
      <c r="F45" s="753" t="e">
        <f t="shared" si="30"/>
        <v>#REF!</v>
      </c>
      <c r="G45" s="145">
        <v>106400.00000000001</v>
      </c>
      <c r="H45" s="145">
        <v>37510</v>
      </c>
      <c r="I45" s="145">
        <f t="shared" si="26"/>
        <v>143910</v>
      </c>
      <c r="J45" s="145">
        <f t="shared" si="21"/>
        <v>431730</v>
      </c>
      <c r="K45" s="145" t="e">
        <f t="shared" si="22"/>
        <v>#REF!</v>
      </c>
      <c r="L45" s="757" t="e">
        <f t="shared" si="27"/>
        <v>#REF!</v>
      </c>
      <c r="M45" s="757" t="e">
        <f t="shared" si="28"/>
        <v>#REF!</v>
      </c>
      <c r="N45" s="757" t="e">
        <f t="shared" si="29"/>
        <v>#REF!</v>
      </c>
      <c r="O45" s="146" t="s">
        <v>56</v>
      </c>
      <c r="P45" s="146" t="s">
        <v>57</v>
      </c>
      <c r="Q45" s="147"/>
      <c r="R45" s="521"/>
      <c r="S45" s="560">
        <v>3</v>
      </c>
      <c r="T45" s="141" t="s">
        <v>57</v>
      </c>
      <c r="U45" s="141" t="s">
        <v>57</v>
      </c>
      <c r="V45" s="521"/>
      <c r="W45" s="521"/>
      <c r="X45" s="521"/>
      <c r="Y45" s="521"/>
      <c r="Z45" s="521"/>
      <c r="AA45" s="521"/>
      <c r="AB45" s="521"/>
      <c r="AC45" s="521"/>
    </row>
    <row r="46" spans="1:33" s="18" customFormat="1" ht="25.5">
      <c r="A46" s="141"/>
      <c r="B46" s="142" t="s">
        <v>21</v>
      </c>
      <c r="C46" s="143" t="s">
        <v>6</v>
      </c>
      <c r="D46" s="419">
        <v>3</v>
      </c>
      <c r="E46" s="144" t="e">
        <f>'KL TONG HOP'!#REF!</f>
        <v>#REF!</v>
      </c>
      <c r="F46" s="753" t="e">
        <f t="shared" si="30"/>
        <v>#REF!</v>
      </c>
      <c r="G46" s="145">
        <v>80640.000000000015</v>
      </c>
      <c r="H46" s="145">
        <v>65340</v>
      </c>
      <c r="I46" s="145">
        <f t="shared" si="26"/>
        <v>145980</v>
      </c>
      <c r="J46" s="145">
        <f t="shared" si="21"/>
        <v>437940</v>
      </c>
      <c r="K46" s="145" t="e">
        <f t="shared" si="22"/>
        <v>#REF!</v>
      </c>
      <c r="L46" s="757" t="e">
        <f t="shared" si="27"/>
        <v>#REF!</v>
      </c>
      <c r="M46" s="757" t="e">
        <f t="shared" si="28"/>
        <v>#REF!</v>
      </c>
      <c r="N46" s="757" t="e">
        <f t="shared" si="29"/>
        <v>#REF!</v>
      </c>
      <c r="O46" s="146" t="s">
        <v>58</v>
      </c>
      <c r="P46" s="146" t="s">
        <v>59</v>
      </c>
      <c r="Q46" s="147"/>
      <c r="R46" s="521"/>
      <c r="S46" s="560">
        <v>3</v>
      </c>
      <c r="T46" s="141" t="s">
        <v>59</v>
      </c>
      <c r="U46" s="141" t="s">
        <v>59</v>
      </c>
      <c r="V46" s="521"/>
      <c r="W46" s="521"/>
      <c r="X46" s="521"/>
      <c r="Y46" s="521"/>
      <c r="Z46" s="521"/>
      <c r="AA46" s="521"/>
      <c r="AB46" s="521"/>
      <c r="AC46" s="521"/>
    </row>
    <row r="47" spans="1:33" s="18" customFormat="1">
      <c r="A47" s="141"/>
      <c r="B47" s="142" t="s">
        <v>132</v>
      </c>
      <c r="C47" s="143" t="s">
        <v>6</v>
      </c>
      <c r="D47" s="419">
        <v>1</v>
      </c>
      <c r="E47" s="144" t="e">
        <f>'KL TONG HOP'!#REF!</f>
        <v>#REF!</v>
      </c>
      <c r="F47" s="753" t="e">
        <f t="shared" si="30"/>
        <v>#REF!</v>
      </c>
      <c r="G47" s="145">
        <v>1421829</v>
      </c>
      <c r="H47" s="145">
        <v>332750</v>
      </c>
      <c r="I47" s="145">
        <f t="shared" si="26"/>
        <v>1754579</v>
      </c>
      <c r="J47" s="145">
        <f t="shared" si="21"/>
        <v>1754579</v>
      </c>
      <c r="K47" s="145" t="e">
        <f t="shared" si="22"/>
        <v>#REF!</v>
      </c>
      <c r="L47" s="757" t="e">
        <f t="shared" si="27"/>
        <v>#REF!</v>
      </c>
      <c r="M47" s="757" t="e">
        <f t="shared" si="28"/>
        <v>#REF!</v>
      </c>
      <c r="N47" s="757" t="e">
        <f t="shared" si="29"/>
        <v>#REF!</v>
      </c>
      <c r="O47" s="146" t="s">
        <v>171</v>
      </c>
      <c r="P47" s="146" t="s">
        <v>87</v>
      </c>
      <c r="Q47" s="147"/>
      <c r="R47" s="521"/>
      <c r="S47" s="560">
        <v>1</v>
      </c>
      <c r="T47" s="141" t="s">
        <v>87</v>
      </c>
      <c r="U47" s="141" t="s">
        <v>87</v>
      </c>
      <c r="V47" s="521"/>
      <c r="W47" s="521"/>
      <c r="X47" s="521"/>
      <c r="Y47" s="521"/>
      <c r="Z47" s="521"/>
      <c r="AA47" s="521"/>
      <c r="AB47" s="521"/>
      <c r="AC47" s="521"/>
    </row>
    <row r="48" spans="1:33" s="18" customFormat="1">
      <c r="A48" s="141"/>
      <c r="B48" s="142" t="s">
        <v>90</v>
      </c>
      <c r="C48" s="143" t="s">
        <v>25</v>
      </c>
      <c r="D48" s="419">
        <v>1</v>
      </c>
      <c r="E48" s="144" t="e">
        <f>'KL TONG HOP'!#REF!</f>
        <v>#REF!</v>
      </c>
      <c r="F48" s="753" t="e">
        <f t="shared" si="30"/>
        <v>#REF!</v>
      </c>
      <c r="G48" s="145">
        <v>543200</v>
      </c>
      <c r="H48" s="145">
        <v>60500</v>
      </c>
      <c r="I48" s="145">
        <f t="shared" si="26"/>
        <v>603700</v>
      </c>
      <c r="J48" s="145">
        <f t="shared" si="21"/>
        <v>603700</v>
      </c>
      <c r="K48" s="145" t="e">
        <f t="shared" si="22"/>
        <v>#REF!</v>
      </c>
      <c r="L48" s="757" t="e">
        <f t="shared" si="27"/>
        <v>#REF!</v>
      </c>
      <c r="M48" s="757" t="e">
        <f t="shared" si="28"/>
        <v>#REF!</v>
      </c>
      <c r="N48" s="757" t="e">
        <f t="shared" si="29"/>
        <v>#REF!</v>
      </c>
      <c r="O48" s="146" t="s">
        <v>60</v>
      </c>
      <c r="P48" s="146" t="s">
        <v>61</v>
      </c>
      <c r="Q48" s="147"/>
      <c r="R48" s="521"/>
      <c r="S48" s="560">
        <v>1</v>
      </c>
      <c r="T48" s="141" t="s">
        <v>61</v>
      </c>
      <c r="U48" s="141" t="s">
        <v>61</v>
      </c>
      <c r="V48" s="521"/>
      <c r="W48" s="521"/>
      <c r="X48" s="521"/>
      <c r="Y48" s="521"/>
      <c r="Z48" s="521"/>
      <c r="AA48" s="521"/>
      <c r="AB48" s="521"/>
      <c r="AC48" s="521"/>
    </row>
    <row r="49" spans="1:29" s="18" customFormat="1">
      <c r="A49" s="141"/>
      <c r="B49" s="142" t="s">
        <v>91</v>
      </c>
      <c r="C49" s="143" t="s">
        <v>25</v>
      </c>
      <c r="D49" s="419">
        <v>1</v>
      </c>
      <c r="E49" s="144" t="e">
        <f>'KL TONG HOP'!#REF!</f>
        <v>#REF!</v>
      </c>
      <c r="F49" s="753" t="e">
        <f t="shared" si="30"/>
        <v>#REF!</v>
      </c>
      <c r="G49" s="145">
        <v>543200</v>
      </c>
      <c r="H49" s="145">
        <v>60500</v>
      </c>
      <c r="I49" s="145">
        <f t="shared" si="26"/>
        <v>603700</v>
      </c>
      <c r="J49" s="145">
        <f t="shared" si="21"/>
        <v>603700</v>
      </c>
      <c r="K49" s="145" t="e">
        <f t="shared" si="22"/>
        <v>#REF!</v>
      </c>
      <c r="L49" s="757" t="e">
        <f t="shared" si="27"/>
        <v>#REF!</v>
      </c>
      <c r="M49" s="757" t="e">
        <f t="shared" si="28"/>
        <v>#REF!</v>
      </c>
      <c r="N49" s="757" t="e">
        <f t="shared" si="29"/>
        <v>#REF!</v>
      </c>
      <c r="O49" s="146" t="s">
        <v>60</v>
      </c>
      <c r="P49" s="146" t="s">
        <v>61</v>
      </c>
      <c r="Q49" s="147"/>
      <c r="R49" s="521"/>
      <c r="S49" s="560">
        <v>1</v>
      </c>
      <c r="T49" s="141" t="s">
        <v>61</v>
      </c>
      <c r="U49" s="141" t="s">
        <v>61</v>
      </c>
      <c r="V49" s="521"/>
      <c r="W49" s="521"/>
      <c r="X49" s="521"/>
      <c r="Y49" s="521"/>
      <c r="Z49" s="521"/>
      <c r="AA49" s="521"/>
      <c r="AB49" s="521"/>
      <c r="AC49" s="521"/>
    </row>
    <row r="50" spans="1:29" s="18" customFormat="1">
      <c r="A50" s="141"/>
      <c r="B50" s="142" t="s">
        <v>129</v>
      </c>
      <c r="C50" s="143" t="s">
        <v>6</v>
      </c>
      <c r="D50" s="419">
        <v>1</v>
      </c>
      <c r="E50" s="144" t="e">
        <f>'KL TONG HOP'!#REF!</f>
        <v>#REF!</v>
      </c>
      <c r="F50" s="753" t="e">
        <f t="shared" si="30"/>
        <v>#REF!</v>
      </c>
      <c r="G50" s="145">
        <v>3607520.0000000005</v>
      </c>
      <c r="H50" s="145">
        <v>302500</v>
      </c>
      <c r="I50" s="145">
        <f t="shared" si="26"/>
        <v>3910020.0000000005</v>
      </c>
      <c r="J50" s="145">
        <f t="shared" si="21"/>
        <v>3910020.0000000005</v>
      </c>
      <c r="K50" s="145" t="e">
        <f t="shared" si="22"/>
        <v>#REF!</v>
      </c>
      <c r="L50" s="757" t="e">
        <f t="shared" si="27"/>
        <v>#REF!</v>
      </c>
      <c r="M50" s="757" t="e">
        <f t="shared" si="28"/>
        <v>#REF!</v>
      </c>
      <c r="N50" s="757" t="e">
        <f t="shared" si="29"/>
        <v>#REF!</v>
      </c>
      <c r="O50" s="146" t="s">
        <v>165</v>
      </c>
      <c r="P50" s="146" t="s">
        <v>54</v>
      </c>
      <c r="Q50" s="147"/>
      <c r="R50" s="521"/>
      <c r="S50" s="560">
        <v>1</v>
      </c>
      <c r="T50" s="141" t="s">
        <v>54</v>
      </c>
      <c r="U50" s="141" t="s">
        <v>54</v>
      </c>
      <c r="V50" s="521"/>
      <c r="W50" s="521"/>
      <c r="X50" s="521"/>
      <c r="Y50" s="521"/>
      <c r="Z50" s="521"/>
      <c r="AA50" s="521"/>
      <c r="AB50" s="521"/>
      <c r="AC50" s="521"/>
    </row>
    <row r="51" spans="1:29" s="18" customFormat="1">
      <c r="A51" s="141"/>
      <c r="B51" s="142" t="s">
        <v>89</v>
      </c>
      <c r="C51" s="143" t="s">
        <v>6</v>
      </c>
      <c r="D51" s="419">
        <v>1</v>
      </c>
      <c r="E51" s="144" t="e">
        <f>'KL TONG HOP'!#REF!</f>
        <v>#REF!</v>
      </c>
      <c r="F51" s="753" t="e">
        <f t="shared" si="30"/>
        <v>#REF!</v>
      </c>
      <c r="G51" s="145">
        <v>3018400.0000000005</v>
      </c>
      <c r="H51" s="145">
        <v>302500</v>
      </c>
      <c r="I51" s="145">
        <f t="shared" si="26"/>
        <v>3320900.0000000005</v>
      </c>
      <c r="J51" s="145">
        <f t="shared" si="21"/>
        <v>3320900.0000000005</v>
      </c>
      <c r="K51" s="145" t="e">
        <f t="shared" si="22"/>
        <v>#REF!</v>
      </c>
      <c r="L51" s="757" t="e">
        <f t="shared" si="27"/>
        <v>#REF!</v>
      </c>
      <c r="M51" s="757" t="e">
        <f t="shared" si="28"/>
        <v>#REF!</v>
      </c>
      <c r="N51" s="757" t="e">
        <f t="shared" si="29"/>
        <v>#REF!</v>
      </c>
      <c r="O51" s="146" t="s">
        <v>166</v>
      </c>
      <c r="P51" s="146" t="s">
        <v>54</v>
      </c>
      <c r="Q51" s="147"/>
      <c r="R51" s="521"/>
      <c r="S51" s="560">
        <v>1</v>
      </c>
      <c r="T51" s="141" t="s">
        <v>54</v>
      </c>
      <c r="U51" s="141" t="s">
        <v>54</v>
      </c>
      <c r="V51" s="521"/>
      <c r="W51" s="521"/>
      <c r="X51" s="521"/>
      <c r="Y51" s="521"/>
      <c r="Z51" s="521"/>
      <c r="AA51" s="521"/>
      <c r="AB51" s="521"/>
      <c r="AC51" s="521"/>
    </row>
    <row r="52" spans="1:29" s="18" customFormat="1" ht="38.25">
      <c r="A52" s="141"/>
      <c r="B52" s="142" t="s">
        <v>92</v>
      </c>
      <c r="C52" s="143" t="s">
        <v>6</v>
      </c>
      <c r="D52" s="419">
        <v>0</v>
      </c>
      <c r="E52" s="144" t="e">
        <f>'KL TONG HOP'!#REF!</f>
        <v>#REF!</v>
      </c>
      <c r="F52" s="753" t="e">
        <f t="shared" si="30"/>
        <v>#REF!</v>
      </c>
      <c r="G52" s="145">
        <v>420000.00000000006</v>
      </c>
      <c r="H52" s="145">
        <v>125840</v>
      </c>
      <c r="I52" s="145">
        <f t="shared" si="26"/>
        <v>545840</v>
      </c>
      <c r="J52" s="145">
        <f t="shared" si="21"/>
        <v>0</v>
      </c>
      <c r="K52" s="145" t="e">
        <f t="shared" si="22"/>
        <v>#REF!</v>
      </c>
      <c r="L52" s="757" t="e">
        <f t="shared" si="27"/>
        <v>#REF!</v>
      </c>
      <c r="M52" s="757" t="e">
        <f t="shared" si="28"/>
        <v>#REF!</v>
      </c>
      <c r="N52" s="757" t="e">
        <f t="shared" si="29"/>
        <v>#REF!</v>
      </c>
      <c r="O52" s="146" t="s">
        <v>167</v>
      </c>
      <c r="P52" s="146" t="s">
        <v>54</v>
      </c>
      <c r="Q52" s="147" t="s">
        <v>168</v>
      </c>
      <c r="R52" s="521"/>
      <c r="S52" s="560">
        <v>0</v>
      </c>
      <c r="T52" s="141" t="s">
        <v>54</v>
      </c>
      <c r="U52" s="141" t="s">
        <v>54</v>
      </c>
      <c r="V52" s="521"/>
      <c r="W52" s="521"/>
      <c r="X52" s="521"/>
      <c r="Y52" s="521"/>
      <c r="Z52" s="521"/>
      <c r="AA52" s="521"/>
      <c r="AB52" s="521"/>
      <c r="AC52" s="521"/>
    </row>
    <row r="53" spans="1:29" s="18" customFormat="1">
      <c r="A53" s="141"/>
      <c r="B53" s="142" t="s">
        <v>85</v>
      </c>
      <c r="C53" s="143" t="s">
        <v>6</v>
      </c>
      <c r="D53" s="419">
        <v>16</v>
      </c>
      <c r="E53" s="144" t="e">
        <f>'KL TONG HOP'!#REF!</f>
        <v>#REF!</v>
      </c>
      <c r="F53" s="753" t="e">
        <f t="shared" si="30"/>
        <v>#REF!</v>
      </c>
      <c r="G53" s="145">
        <v>87360.000000000015</v>
      </c>
      <c r="H53" s="145">
        <v>54450</v>
      </c>
      <c r="I53" s="145">
        <f t="shared" si="26"/>
        <v>141810</v>
      </c>
      <c r="J53" s="145">
        <f t="shared" si="21"/>
        <v>2268960</v>
      </c>
      <c r="K53" s="145" t="e">
        <f t="shared" si="22"/>
        <v>#REF!</v>
      </c>
      <c r="L53" s="757" t="e">
        <f t="shared" si="27"/>
        <v>#REF!</v>
      </c>
      <c r="M53" s="757" t="e">
        <f t="shared" si="28"/>
        <v>#REF!</v>
      </c>
      <c r="N53" s="757" t="e">
        <f t="shared" si="29"/>
        <v>#REF!</v>
      </c>
      <c r="O53" s="146" t="s">
        <v>169</v>
      </c>
      <c r="P53" s="146" t="s">
        <v>54</v>
      </c>
      <c r="Q53" s="147"/>
      <c r="R53" s="521"/>
      <c r="S53" s="560">
        <v>16</v>
      </c>
      <c r="T53" s="141" t="s">
        <v>54</v>
      </c>
      <c r="U53" s="141" t="s">
        <v>54</v>
      </c>
      <c r="V53" s="521"/>
      <c r="W53" s="521"/>
      <c r="X53" s="521"/>
      <c r="Y53" s="521"/>
      <c r="Z53" s="521"/>
      <c r="AA53" s="521"/>
      <c r="AB53" s="521"/>
      <c r="AC53" s="521"/>
    </row>
    <row r="54" spans="1:29" s="18" customFormat="1">
      <c r="A54" s="141"/>
      <c r="B54" s="142" t="s">
        <v>22</v>
      </c>
      <c r="C54" s="143" t="s">
        <v>6</v>
      </c>
      <c r="D54" s="419">
        <v>7</v>
      </c>
      <c r="E54" s="144" t="e">
        <f>'KL TONG HOP'!#REF!</f>
        <v>#REF!</v>
      </c>
      <c r="F54" s="753" t="e">
        <f t="shared" si="30"/>
        <v>#REF!</v>
      </c>
      <c r="G54" s="145">
        <v>87360.000000000015</v>
      </c>
      <c r="H54" s="145">
        <v>54450</v>
      </c>
      <c r="I54" s="145">
        <f t="shared" si="26"/>
        <v>141810</v>
      </c>
      <c r="J54" s="145">
        <f t="shared" si="21"/>
        <v>992670</v>
      </c>
      <c r="K54" s="145" t="e">
        <f t="shared" si="22"/>
        <v>#REF!</v>
      </c>
      <c r="L54" s="757" t="e">
        <f t="shared" si="27"/>
        <v>#REF!</v>
      </c>
      <c r="M54" s="757" t="e">
        <f t="shared" si="28"/>
        <v>#REF!</v>
      </c>
      <c r="N54" s="757" t="e">
        <f t="shared" si="29"/>
        <v>#REF!</v>
      </c>
      <c r="O54" s="146" t="s">
        <v>170</v>
      </c>
      <c r="P54" s="146" t="s">
        <v>54</v>
      </c>
      <c r="Q54" s="147"/>
      <c r="R54" s="521"/>
      <c r="S54" s="560">
        <v>7</v>
      </c>
      <c r="T54" s="141" t="s">
        <v>54</v>
      </c>
      <c r="U54" s="141" t="s">
        <v>54</v>
      </c>
      <c r="V54" s="521"/>
      <c r="W54" s="521"/>
      <c r="X54" s="521"/>
      <c r="Y54" s="521"/>
      <c r="Z54" s="521"/>
      <c r="AA54" s="521"/>
      <c r="AB54" s="521"/>
      <c r="AC54" s="521"/>
    </row>
    <row r="55" spans="1:29" s="18" customFormat="1">
      <c r="A55" s="141"/>
      <c r="B55" s="142" t="s">
        <v>133</v>
      </c>
      <c r="C55" s="143" t="s">
        <v>26</v>
      </c>
      <c r="D55" s="419">
        <v>1</v>
      </c>
      <c r="E55" s="144" t="e">
        <f>'KL TONG HOP'!#REF!</f>
        <v>#REF!</v>
      </c>
      <c r="F55" s="753" t="e">
        <f t="shared" si="30"/>
        <v>#REF!</v>
      </c>
      <c r="G55" s="145">
        <v>5040000.0000000009</v>
      </c>
      <c r="H55" s="145">
        <v>1815000</v>
      </c>
      <c r="I55" s="145">
        <f t="shared" si="26"/>
        <v>6855000.0000000009</v>
      </c>
      <c r="J55" s="145">
        <f t="shared" si="21"/>
        <v>6855000.0000000009</v>
      </c>
      <c r="K55" s="145" t="e">
        <f t="shared" si="22"/>
        <v>#REF!</v>
      </c>
      <c r="L55" s="757" t="e">
        <f t="shared" si="27"/>
        <v>#REF!</v>
      </c>
      <c r="M55" s="757" t="e">
        <f t="shared" si="28"/>
        <v>#REF!</v>
      </c>
      <c r="N55" s="757" t="e">
        <f t="shared" si="29"/>
        <v>#REF!</v>
      </c>
      <c r="O55" s="146"/>
      <c r="P55" s="146" t="s">
        <v>62</v>
      </c>
      <c r="Q55" s="147"/>
      <c r="R55" s="521"/>
      <c r="S55" s="560">
        <v>1</v>
      </c>
      <c r="T55" s="141" t="s">
        <v>62</v>
      </c>
      <c r="U55" s="141" t="s">
        <v>627</v>
      </c>
      <c r="V55" s="521"/>
      <c r="W55" s="521"/>
      <c r="X55" s="521"/>
      <c r="Y55" s="521"/>
      <c r="Z55" s="521"/>
      <c r="AA55" s="521"/>
      <c r="AB55" s="521"/>
      <c r="AC55" s="521"/>
    </row>
    <row r="56" spans="1:29" s="18" customFormat="1" ht="38.25">
      <c r="A56" s="141">
        <v>22</v>
      </c>
      <c r="B56" s="142" t="s">
        <v>13</v>
      </c>
      <c r="C56" s="143" t="s">
        <v>2</v>
      </c>
      <c r="D56" s="419">
        <v>1023.2599999999999</v>
      </c>
      <c r="E56" s="144" t="e">
        <f>'KL TONG HOP'!#REF!</f>
        <v>#REF!</v>
      </c>
      <c r="F56" s="753" t="e">
        <f>IF(E56-D56&gt;0,D56,E56)</f>
        <v>#REF!</v>
      </c>
      <c r="G56" s="145">
        <v>4523</v>
      </c>
      <c r="H56" s="145">
        <v>4283</v>
      </c>
      <c r="I56" s="145">
        <f t="shared" si="26"/>
        <v>8806</v>
      </c>
      <c r="J56" s="145">
        <f t="shared" ref="J56" si="31">D56*I56</f>
        <v>9010827.5599999987</v>
      </c>
      <c r="K56" s="145" t="e">
        <f t="shared" si="22"/>
        <v>#REF!</v>
      </c>
      <c r="L56" s="757" t="e">
        <f t="shared" ref="L56" si="32">F56*(G56+H56)</f>
        <v>#REF!</v>
      </c>
      <c r="M56" s="757" t="e">
        <f t="shared" ref="M56" si="33">L56-J56</f>
        <v>#REF!</v>
      </c>
      <c r="N56" s="757" t="e">
        <f t="shared" ref="N56" si="34">L56-K56</f>
        <v>#REF!</v>
      </c>
      <c r="O56" s="146" t="s">
        <v>172</v>
      </c>
      <c r="P56" s="146" t="s">
        <v>173</v>
      </c>
      <c r="Q56" s="147" t="s">
        <v>174</v>
      </c>
      <c r="R56" s="521" t="s">
        <v>1711</v>
      </c>
      <c r="S56" s="667">
        <f>S57</f>
        <v>1100</v>
      </c>
      <c r="T56" s="146" t="s">
        <v>173</v>
      </c>
      <c r="U56" s="141" t="s">
        <v>63</v>
      </c>
      <c r="V56" s="521" t="s">
        <v>1733</v>
      </c>
      <c r="W56" s="521" t="s">
        <v>1733</v>
      </c>
      <c r="X56" s="521" t="s">
        <v>1733</v>
      </c>
      <c r="Y56" s="521" t="s">
        <v>1736</v>
      </c>
      <c r="Z56" s="670" t="s">
        <v>1674</v>
      </c>
      <c r="AA56" s="521"/>
      <c r="AB56" s="521"/>
      <c r="AC56" s="521"/>
    </row>
    <row r="57" spans="1:29" s="533" customFormat="1">
      <c r="A57" s="524"/>
      <c r="B57" s="525" t="s">
        <v>13</v>
      </c>
      <c r="C57" s="526"/>
      <c r="D57" s="527"/>
      <c r="E57" s="528"/>
      <c r="F57" s="656"/>
      <c r="G57" s="529"/>
      <c r="H57" s="529"/>
      <c r="I57" s="529"/>
      <c r="J57" s="529"/>
      <c r="K57" s="529"/>
      <c r="L57" s="657"/>
      <c r="M57" s="657"/>
      <c r="N57" s="657"/>
      <c r="O57" s="530"/>
      <c r="P57" s="530"/>
      <c r="Q57" s="531"/>
      <c r="R57" s="532"/>
      <c r="S57" s="560">
        <f>500+500+100</f>
        <v>1100</v>
      </c>
      <c r="T57" s="524"/>
      <c r="U57" s="524"/>
      <c r="V57" s="521"/>
      <c r="W57" s="521"/>
      <c r="X57" s="521"/>
      <c r="Y57" s="532"/>
      <c r="Z57" s="532"/>
      <c r="AA57" s="521"/>
      <c r="AB57" s="532"/>
      <c r="AC57" s="532"/>
    </row>
    <row r="58" spans="1:29" s="673" customFormat="1" hidden="1">
      <c r="A58" s="435"/>
      <c r="B58" s="436" t="s">
        <v>27</v>
      </c>
      <c r="C58" s="435"/>
      <c r="D58" s="437"/>
      <c r="E58" s="438"/>
      <c r="F58" s="438"/>
      <c r="G58" s="439"/>
      <c r="H58" s="439"/>
      <c r="I58" s="439"/>
      <c r="J58" s="439">
        <f>SUBTOTAL(9,J7:J57)</f>
        <v>2045027292.5148242</v>
      </c>
      <c r="K58" s="439" t="e">
        <f>SUBTOTAL(9,K7:K57)</f>
        <v>#REF!</v>
      </c>
      <c r="L58" s="439" t="e">
        <f>SUBTOTAL(9,L8:L57)</f>
        <v>#REF!</v>
      </c>
      <c r="M58" s="439" t="e">
        <f>SUBTOTAL(9,M8:M57)</f>
        <v>#REF!</v>
      </c>
      <c r="N58" s="439" t="e">
        <f>SUBTOTAL(9,N8:N57)</f>
        <v>#REF!</v>
      </c>
      <c r="O58" s="440"/>
      <c r="P58" s="438"/>
      <c r="Q58" s="441"/>
      <c r="S58" s="688"/>
      <c r="T58" s="705"/>
      <c r="U58" s="705"/>
    </row>
    <row r="59" spans="1:29" s="674" customFormat="1" hidden="1">
      <c r="A59" s="426"/>
      <c r="B59" s="427" t="s">
        <v>947</v>
      </c>
      <c r="C59" s="426"/>
      <c r="D59" s="428"/>
      <c r="E59" s="433"/>
      <c r="F59" s="433"/>
      <c r="G59" s="429"/>
      <c r="H59" s="430"/>
      <c r="I59" s="430"/>
      <c r="J59" s="425">
        <f>+J58-J62</f>
        <v>443101143.51482415</v>
      </c>
      <c r="K59" s="425" t="e">
        <f>+K58-K62</f>
        <v>#REF!</v>
      </c>
      <c r="L59" s="425" t="e">
        <f t="shared" ref="L59" si="35">+L58-L62</f>
        <v>#REF!</v>
      </c>
      <c r="M59" s="425" t="e">
        <f>+M58-M62</f>
        <v>#REF!</v>
      </c>
      <c r="N59" s="425" t="e">
        <f>+N58-N62</f>
        <v>#REF!</v>
      </c>
      <c r="O59" s="431"/>
      <c r="P59" s="430"/>
      <c r="Q59" s="432"/>
      <c r="S59" s="689"/>
      <c r="T59" s="706"/>
      <c r="U59" s="706"/>
    </row>
    <row r="60" spans="1:29" s="674" customFormat="1" hidden="1">
      <c r="A60" s="426"/>
      <c r="B60" s="427" t="s">
        <v>632</v>
      </c>
      <c r="C60" s="426"/>
      <c r="D60" s="428"/>
      <c r="E60" s="433"/>
      <c r="F60" s="433"/>
      <c r="G60" s="429"/>
      <c r="H60" s="430"/>
      <c r="I60" s="434"/>
      <c r="J60" s="425">
        <f>+J59*8%</f>
        <v>35448091.481185935</v>
      </c>
      <c r="K60" s="425" t="e">
        <f>+K59*8%</f>
        <v>#REF!</v>
      </c>
      <c r="L60" s="425" t="e">
        <f t="shared" ref="L60:M60" si="36">+L59*8%</f>
        <v>#REF!</v>
      </c>
      <c r="M60" s="425" t="e">
        <f t="shared" si="36"/>
        <v>#REF!</v>
      </c>
      <c r="N60" s="425" t="e">
        <f t="shared" ref="N60" si="37">+N59*8%</f>
        <v>#REF!</v>
      </c>
      <c r="O60" s="431"/>
      <c r="P60" s="430"/>
      <c r="Q60" s="432"/>
      <c r="S60" s="689"/>
      <c r="T60" s="706"/>
      <c r="U60" s="706"/>
    </row>
    <row r="61" spans="1:29" s="673" customFormat="1" hidden="1">
      <c r="A61" s="435" t="s">
        <v>633</v>
      </c>
      <c r="B61" s="436" t="s">
        <v>948</v>
      </c>
      <c r="C61" s="435"/>
      <c r="D61" s="437"/>
      <c r="E61" s="442"/>
      <c r="F61" s="442"/>
      <c r="G61" s="438"/>
      <c r="H61" s="439"/>
      <c r="I61" s="439"/>
      <c r="J61" s="183">
        <f>+J59+J60</f>
        <v>478549234.99601007</v>
      </c>
      <c r="K61" s="183" t="e">
        <f>+K59+K60</f>
        <v>#REF!</v>
      </c>
      <c r="L61" s="183" t="e">
        <f t="shared" ref="L61" si="38">+L59+L60</f>
        <v>#REF!</v>
      </c>
      <c r="M61" s="183" t="e">
        <f>+M59+M60</f>
        <v>#REF!</v>
      </c>
      <c r="N61" s="183" t="e">
        <f>+N59+N60</f>
        <v>#REF!</v>
      </c>
      <c r="O61" s="440"/>
      <c r="P61" s="439"/>
      <c r="Q61" s="441"/>
      <c r="S61" s="688"/>
      <c r="T61" s="705"/>
      <c r="U61" s="705"/>
    </row>
    <row r="62" spans="1:29" s="674" customFormat="1" hidden="1">
      <c r="A62" s="426"/>
      <c r="B62" s="427" t="s">
        <v>949</v>
      </c>
      <c r="C62" s="426"/>
      <c r="D62" s="428"/>
      <c r="E62" s="433"/>
      <c r="F62" s="433"/>
      <c r="G62" s="429"/>
      <c r="H62" s="430"/>
      <c r="I62" s="430"/>
      <c r="J62" s="425">
        <v>1601926149</v>
      </c>
      <c r="K62" s="425">
        <v>1601926149</v>
      </c>
      <c r="L62" s="425">
        <v>1601926150</v>
      </c>
      <c r="M62" s="425"/>
      <c r="N62" s="425"/>
      <c r="O62" s="431"/>
      <c r="P62" s="430"/>
      <c r="Q62" s="432"/>
      <c r="S62" s="689"/>
      <c r="T62" s="706"/>
      <c r="U62" s="706"/>
    </row>
    <row r="63" spans="1:29" s="674" customFormat="1" hidden="1">
      <c r="A63" s="426"/>
      <c r="B63" s="427" t="s">
        <v>634</v>
      </c>
      <c r="C63" s="426"/>
      <c r="D63" s="428"/>
      <c r="E63" s="433"/>
      <c r="F63" s="433"/>
      <c r="G63" s="429"/>
      <c r="H63" s="430"/>
      <c r="I63" s="430"/>
      <c r="J63" s="425">
        <f>+J62*0.1</f>
        <v>160192614.90000001</v>
      </c>
      <c r="K63" s="425">
        <f>+K62*0.1</f>
        <v>160192614.90000001</v>
      </c>
      <c r="L63" s="425">
        <f t="shared" ref="L63" si="39">+L62*0.1</f>
        <v>160192615</v>
      </c>
      <c r="M63" s="425"/>
      <c r="N63" s="425"/>
      <c r="O63" s="431"/>
      <c r="P63" s="430"/>
      <c r="Q63" s="432"/>
      <c r="S63" s="689"/>
      <c r="T63" s="706"/>
      <c r="U63" s="706"/>
    </row>
    <row r="64" spans="1:29" s="673" customFormat="1" hidden="1">
      <c r="A64" s="435" t="s">
        <v>635</v>
      </c>
      <c r="B64" s="436" t="s">
        <v>950</v>
      </c>
      <c r="C64" s="435"/>
      <c r="D64" s="437"/>
      <c r="E64" s="442"/>
      <c r="F64" s="442"/>
      <c r="G64" s="438"/>
      <c r="H64" s="439"/>
      <c r="I64" s="439"/>
      <c r="J64" s="183">
        <f>+J63+J62</f>
        <v>1762118763.9000001</v>
      </c>
      <c r="K64" s="183">
        <f>+K63+K62</f>
        <v>1762118763.9000001</v>
      </c>
      <c r="L64" s="183">
        <f t="shared" ref="L64:M64" si="40">+L63+L62</f>
        <v>1762118765</v>
      </c>
      <c r="M64" s="183">
        <f t="shared" si="40"/>
        <v>0</v>
      </c>
      <c r="N64" s="183">
        <f t="shared" ref="N64" si="41">+N63+N62</f>
        <v>0</v>
      </c>
      <c r="O64" s="440"/>
      <c r="P64" s="439"/>
      <c r="Q64" s="441"/>
      <c r="S64" s="688"/>
      <c r="T64" s="705"/>
      <c r="U64" s="705"/>
    </row>
    <row r="65" spans="1:26" s="674" customFormat="1" hidden="1">
      <c r="A65" s="426" t="s">
        <v>636</v>
      </c>
      <c r="B65" s="427" t="s">
        <v>637</v>
      </c>
      <c r="C65" s="426"/>
      <c r="D65" s="428"/>
      <c r="E65" s="433"/>
      <c r="F65" s="433"/>
      <c r="G65" s="429"/>
      <c r="H65" s="430"/>
      <c r="I65" s="430"/>
      <c r="J65" s="425">
        <f>+J61+J64</f>
        <v>2240667998.8960104</v>
      </c>
      <c r="K65" s="425" t="e">
        <f>+K61+K64</f>
        <v>#REF!</v>
      </c>
      <c r="L65" s="425" t="e">
        <f t="shared" ref="L65:M65" si="42">+L61+L64</f>
        <v>#REF!</v>
      </c>
      <c r="M65" s="425" t="e">
        <f t="shared" si="42"/>
        <v>#REF!</v>
      </c>
      <c r="N65" s="425" t="e">
        <f t="shared" ref="N65" si="43">+N61+N64</f>
        <v>#REF!</v>
      </c>
      <c r="O65" s="431"/>
      <c r="P65" s="430"/>
      <c r="Q65" s="432"/>
      <c r="S65" s="689"/>
      <c r="T65" s="706"/>
      <c r="U65" s="706"/>
    </row>
    <row r="66" spans="1:26" ht="13.5" hidden="1">
      <c r="A66" s="690"/>
      <c r="B66" s="690" t="s">
        <v>28</v>
      </c>
      <c r="C66" s="691"/>
      <c r="D66" s="692"/>
      <c r="E66" s="693"/>
      <c r="F66" s="693"/>
      <c r="G66" s="694"/>
      <c r="H66" s="694"/>
      <c r="I66" s="694"/>
      <c r="J66" s="694"/>
      <c r="K66" s="694"/>
      <c r="L66" s="694"/>
      <c r="M66" s="694"/>
      <c r="N66" s="694"/>
      <c r="O66" s="690"/>
      <c r="P66" s="694"/>
      <c r="Q66" s="695"/>
      <c r="S66" s="689"/>
      <c r="Z66" s="674"/>
    </row>
  </sheetData>
  <autoFilter ref="A5:Q66"/>
  <mergeCells count="17">
    <mergeCell ref="Y5:AA5"/>
    <mergeCell ref="A2:AC2"/>
    <mergeCell ref="A3:AC3"/>
    <mergeCell ref="A4:AC4"/>
    <mergeCell ref="A1:AC1"/>
    <mergeCell ref="W43:X43"/>
    <mergeCell ref="O5:O6"/>
    <mergeCell ref="P5:P6"/>
    <mergeCell ref="Q5:Q6"/>
    <mergeCell ref="R5:X5"/>
    <mergeCell ref="A5:A6"/>
    <mergeCell ref="B5:B6"/>
    <mergeCell ref="C5:C6"/>
    <mergeCell ref="G5:I5"/>
    <mergeCell ref="M5:N5"/>
    <mergeCell ref="D5:F5"/>
    <mergeCell ref="J5:L5"/>
  </mergeCells>
  <conditionalFormatting sqref="C5:D5">
    <cfRule type="expression" dxfId="5" priority="2" stopIfTrue="1">
      <formula>C5&lt;0</formula>
    </cfRule>
  </conditionalFormatting>
  <conditionalFormatting sqref="Q5">
    <cfRule type="expression" dxfId="4" priority="5" stopIfTrue="1">
      <formula>Q5&lt;0</formula>
    </cfRule>
  </conditionalFormatting>
  <printOptions horizontalCentered="1"/>
  <pageMargins left="0.47244094488188998" right="0.23622047244094499" top="0.511811023622047" bottom="0.511811023622047" header="0.31496062992126" footer="0.31496062992126"/>
  <pageSetup paperSize="9" scale="48" fitToHeight="0" orientation="landscape" r:id="rId1"/>
  <headerFooter alignWithMargins="0">
    <oddFooter>&amp;R&amp;P /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R585"/>
  <sheetViews>
    <sheetView view="pageBreakPreview" topLeftCell="A49" zoomScale="80" zoomScaleNormal="80" zoomScaleSheetLayoutView="80" workbookViewId="0">
      <selection activeCell="K24" sqref="K24"/>
    </sheetView>
  </sheetViews>
  <sheetFormatPr defaultRowHeight="12.75"/>
  <cols>
    <col min="1" max="1" width="18" style="566" customWidth="1"/>
    <col min="2" max="2" width="6.42578125" style="575" customWidth="1"/>
    <col min="3" max="3" width="28.28515625" style="575" customWidth="1"/>
    <col min="4" max="4" width="8.28515625" style="575" customWidth="1"/>
    <col min="5" max="5" width="10.85546875" style="593" customWidth="1"/>
    <col min="6" max="6" width="13.42578125" style="575" customWidth="1"/>
    <col min="7" max="7" width="16.85546875" style="575" customWidth="1"/>
    <col min="8" max="8" width="12.42578125" style="575" customWidth="1"/>
    <col min="9" max="9" width="10.140625" style="575" customWidth="1"/>
    <col min="10" max="10" width="11" style="684" customWidth="1"/>
    <col min="11" max="11" width="10.5703125" style="684" customWidth="1"/>
    <col min="12" max="12" width="11" style="684" customWidth="1"/>
    <col min="13" max="13" width="10.85546875" style="684" customWidth="1"/>
    <col min="14" max="14" width="9.140625" style="684"/>
    <col min="15" max="15" width="12.7109375" style="684" customWidth="1"/>
    <col min="16" max="16" width="11.7109375" style="684" customWidth="1"/>
    <col min="17" max="17" width="11.28515625" style="684" customWidth="1"/>
    <col min="18" max="18" width="9.140625" style="651"/>
    <col min="19" max="16384" width="9.140625" style="575"/>
  </cols>
  <sheetData>
    <row r="1" spans="1:18">
      <c r="B1" s="856" t="s">
        <v>1114</v>
      </c>
      <c r="C1" s="856"/>
      <c r="D1" s="856"/>
      <c r="E1" s="856"/>
      <c r="F1" s="856"/>
      <c r="G1" s="856"/>
      <c r="H1" s="856"/>
      <c r="I1" s="856"/>
    </row>
    <row r="2" spans="1:18">
      <c r="B2" s="856" t="s">
        <v>1115</v>
      </c>
      <c r="C2" s="856"/>
      <c r="D2" s="856"/>
      <c r="E2" s="856"/>
      <c r="F2" s="856"/>
      <c r="G2" s="856"/>
      <c r="H2" s="856"/>
      <c r="I2" s="856"/>
    </row>
    <row r="3" spans="1:18">
      <c r="B3" s="857" t="s">
        <v>1116</v>
      </c>
      <c r="C3" s="857"/>
      <c r="D3" s="857"/>
      <c r="E3" s="857"/>
      <c r="F3" s="857"/>
      <c r="G3" s="857"/>
      <c r="H3" s="857"/>
      <c r="I3" s="857"/>
    </row>
    <row r="4" spans="1:18">
      <c r="B4" s="677"/>
      <c r="C4" s="569"/>
      <c r="D4" s="576"/>
      <c r="E4" s="570"/>
      <c r="F4" s="577"/>
      <c r="G4" s="577"/>
      <c r="H4" s="577"/>
      <c r="I4" s="741"/>
    </row>
    <row r="5" spans="1:18">
      <c r="B5" s="578"/>
      <c r="C5" s="579"/>
      <c r="D5" s="578"/>
      <c r="E5" s="580"/>
      <c r="F5" s="579"/>
      <c r="G5" s="578"/>
      <c r="H5" s="578"/>
      <c r="I5" s="579"/>
    </row>
    <row r="6" spans="1:18">
      <c r="B6" s="858" t="s">
        <v>1117</v>
      </c>
      <c r="C6" s="858"/>
      <c r="D6" s="858"/>
      <c r="E6" s="858"/>
      <c r="F6" s="858"/>
      <c r="G6" s="858"/>
      <c r="H6" s="858"/>
      <c r="I6" s="858"/>
      <c r="J6" s="685"/>
    </row>
    <row r="7" spans="1:18" ht="13.5">
      <c r="B7" s="567"/>
      <c r="C7" s="740" t="str">
        <f>"Dự án: "&amp;'[1]NT-VL hs'!C9</f>
        <v>Dự án: Văn phòng trụ sở chính  - Tập Đoàn Hoa Sen</v>
      </c>
      <c r="D7" s="568"/>
      <c r="E7" s="678"/>
      <c r="F7" s="568"/>
      <c r="G7" s="568"/>
      <c r="H7" s="568"/>
      <c r="I7" s="568"/>
      <c r="J7" s="686"/>
    </row>
    <row r="8" spans="1:18">
      <c r="B8" s="569"/>
      <c r="C8" s="740" t="str">
        <f>"Hạng mục: "&amp;'[1]NT-VL hs'!$C$11</f>
        <v>Hạng mục: Thi công Xây dựng, M&amp;E</v>
      </c>
      <c r="D8" s="569"/>
      <c r="E8" s="570"/>
      <c r="F8" s="569"/>
      <c r="G8" s="569"/>
      <c r="H8" s="569"/>
      <c r="I8" s="569"/>
      <c r="J8" s="686"/>
    </row>
    <row r="9" spans="1:18" ht="13.5">
      <c r="B9" s="568"/>
      <c r="C9" s="740" t="str">
        <f>"Địa điểm: "&amp;'[1]NT-VL hs'!C12</f>
        <v>Địa điểm: Số 09, Đại Lộ Thống Nhất, KCN Sóng Thần II, P Dĩ An, TP Dĩ An, Bình Dương.</v>
      </c>
      <c r="D9" s="568"/>
      <c r="E9" s="678"/>
      <c r="F9" s="568"/>
      <c r="G9" s="568"/>
      <c r="H9" s="568"/>
      <c r="I9" s="568"/>
      <c r="J9" s="686"/>
    </row>
    <row r="10" spans="1:18">
      <c r="B10" s="676"/>
      <c r="C10" s="581"/>
      <c r="D10" s="677"/>
      <c r="E10" s="582"/>
      <c r="F10" s="583"/>
      <c r="G10" s="584"/>
      <c r="H10" s="584"/>
      <c r="I10" s="584"/>
      <c r="J10" s="686"/>
    </row>
    <row r="11" spans="1:18" ht="25.5">
      <c r="B11" s="735" t="s">
        <v>491</v>
      </c>
      <c r="C11" s="735" t="s">
        <v>1118</v>
      </c>
      <c r="D11" s="735" t="s">
        <v>1119</v>
      </c>
      <c r="E11" s="735" t="s">
        <v>1120</v>
      </c>
      <c r="F11" s="735" t="s">
        <v>1121</v>
      </c>
      <c r="G11" s="735" t="s">
        <v>1289</v>
      </c>
      <c r="H11" s="735" t="s">
        <v>1122</v>
      </c>
      <c r="I11" s="736" t="s">
        <v>1123</v>
      </c>
      <c r="J11" s="859" t="s">
        <v>1620</v>
      </c>
      <c r="K11" s="859"/>
      <c r="L11" s="860" t="s">
        <v>1621</v>
      </c>
      <c r="M11" s="860"/>
      <c r="N11" s="859" t="s">
        <v>1622</v>
      </c>
      <c r="O11" s="859" t="s">
        <v>1623</v>
      </c>
      <c r="P11" s="859" t="s">
        <v>1624</v>
      </c>
      <c r="Q11" s="859"/>
      <c r="R11" s="859" t="s">
        <v>1625</v>
      </c>
    </row>
    <row r="12" spans="1:18" ht="67.5" customHeight="1">
      <c r="B12" s="737"/>
      <c r="C12" s="737"/>
      <c r="D12" s="737"/>
      <c r="E12" s="737"/>
      <c r="F12" s="737"/>
      <c r="G12" s="737"/>
      <c r="H12" s="737"/>
      <c r="I12" s="738"/>
      <c r="J12" s="739" t="s">
        <v>1626</v>
      </c>
      <c r="K12" s="739" t="s">
        <v>1627</v>
      </c>
      <c r="L12" s="739" t="s">
        <v>1626</v>
      </c>
      <c r="M12" s="739" t="s">
        <v>1627</v>
      </c>
      <c r="N12" s="859"/>
      <c r="O12" s="859"/>
      <c r="P12" s="739" t="s">
        <v>1626</v>
      </c>
      <c r="Q12" s="739" t="s">
        <v>1627</v>
      </c>
      <c r="R12" s="859"/>
    </row>
    <row r="13" spans="1:18" s="585" customFormat="1">
      <c r="A13" s="742" t="s">
        <v>1628</v>
      </c>
      <c r="B13" s="631" t="s">
        <v>8</v>
      </c>
      <c r="C13" s="632" t="s">
        <v>614</v>
      </c>
      <c r="D13" s="631"/>
      <c r="E13" s="633"/>
      <c r="F13" s="631"/>
      <c r="G13" s="631"/>
      <c r="H13" s="631"/>
      <c r="I13" s="638"/>
      <c r="J13" s="791"/>
      <c r="K13" s="792"/>
      <c r="L13" s="792"/>
      <c r="M13" s="792"/>
      <c r="N13" s="792"/>
      <c r="O13" s="792"/>
      <c r="P13" s="792"/>
      <c r="Q13" s="792"/>
      <c r="R13" s="793"/>
    </row>
    <row r="14" spans="1:18" s="586" customFormat="1">
      <c r="A14" s="661"/>
      <c r="B14" s="597"/>
      <c r="C14" s="598" t="s">
        <v>1263</v>
      </c>
      <c r="D14" s="597"/>
      <c r="E14" s="599"/>
      <c r="F14" s="597"/>
      <c r="G14" s="597"/>
      <c r="H14" s="597"/>
      <c r="I14" s="639"/>
      <c r="J14" s="794"/>
      <c r="K14" s="795"/>
      <c r="L14" s="795"/>
      <c r="M14" s="795"/>
      <c r="N14" s="795"/>
      <c r="O14" s="795"/>
      <c r="P14" s="795"/>
      <c r="Q14" s="795"/>
      <c r="R14" s="796"/>
    </row>
    <row r="15" spans="1:18" ht="25.5">
      <c r="A15" s="566" t="s">
        <v>1082</v>
      </c>
      <c r="B15" s="600">
        <v>1</v>
      </c>
      <c r="C15" s="601" t="s">
        <v>1090</v>
      </c>
      <c r="D15" s="600" t="s">
        <v>187</v>
      </c>
      <c r="E15" s="602">
        <v>151.65</v>
      </c>
      <c r="F15" s="603" t="s">
        <v>94</v>
      </c>
      <c r="G15" s="600" t="s">
        <v>1124</v>
      </c>
      <c r="H15" s="603" t="s">
        <v>94</v>
      </c>
      <c r="I15" s="640" t="s">
        <v>1125</v>
      </c>
      <c r="J15" s="603"/>
      <c r="K15" s="603"/>
      <c r="L15" s="603"/>
      <c r="M15" s="603"/>
      <c r="N15" s="603" t="s">
        <v>1703</v>
      </c>
      <c r="O15" s="603" t="s">
        <v>1704</v>
      </c>
      <c r="P15" s="603"/>
      <c r="Q15" s="603"/>
      <c r="R15" s="797"/>
    </row>
    <row r="16" spans="1:18" ht="25.5">
      <c r="A16" s="566" t="s">
        <v>1082</v>
      </c>
      <c r="B16" s="600">
        <v>2</v>
      </c>
      <c r="C16" s="604" t="s">
        <v>1091</v>
      </c>
      <c r="D16" s="600" t="s">
        <v>187</v>
      </c>
      <c r="E16" s="602">
        <v>155.04</v>
      </c>
      <c r="F16" s="603" t="s">
        <v>94</v>
      </c>
      <c r="G16" s="600" t="s">
        <v>1124</v>
      </c>
      <c r="H16" s="603" t="s">
        <v>94</v>
      </c>
      <c r="I16" s="640" t="s">
        <v>1125</v>
      </c>
      <c r="J16" s="603"/>
      <c r="K16" s="603"/>
      <c r="L16" s="603"/>
      <c r="M16" s="603"/>
      <c r="N16" s="603" t="s">
        <v>1703</v>
      </c>
      <c r="O16" s="603" t="s">
        <v>1704</v>
      </c>
      <c r="P16" s="603"/>
      <c r="Q16" s="603"/>
      <c r="R16" s="797"/>
    </row>
    <row r="17" spans="1:18" s="586" customFormat="1">
      <c r="A17" s="661"/>
      <c r="B17" s="597"/>
      <c r="C17" s="598" t="s">
        <v>1264</v>
      </c>
      <c r="D17" s="597"/>
      <c r="E17" s="599"/>
      <c r="F17" s="597"/>
      <c r="G17" s="597"/>
      <c r="H17" s="597"/>
      <c r="I17" s="639"/>
      <c r="J17" s="794"/>
      <c r="K17" s="795"/>
      <c r="L17" s="795"/>
      <c r="M17" s="795"/>
      <c r="N17" s="795"/>
      <c r="O17" s="795"/>
      <c r="P17" s="795"/>
      <c r="Q17" s="795"/>
      <c r="R17" s="796"/>
    </row>
    <row r="18" spans="1:18">
      <c r="A18" s="566" t="s">
        <v>1126</v>
      </c>
      <c r="B18" s="600">
        <v>1</v>
      </c>
      <c r="C18" s="601" t="s">
        <v>1126</v>
      </c>
      <c r="D18" s="600" t="s">
        <v>967</v>
      </c>
      <c r="E18" s="605">
        <v>10500</v>
      </c>
      <c r="F18" s="600" t="s">
        <v>1127</v>
      </c>
      <c r="G18" s="603" t="s">
        <v>1128</v>
      </c>
      <c r="H18" s="600" t="s">
        <v>1129</v>
      </c>
      <c r="I18" s="641"/>
      <c r="J18" s="798" t="s">
        <v>1703</v>
      </c>
      <c r="K18" s="603"/>
      <c r="L18" s="603" t="s">
        <v>1703</v>
      </c>
      <c r="M18" s="603"/>
      <c r="N18" s="603" t="s">
        <v>1703</v>
      </c>
      <c r="O18" s="603" t="s">
        <v>1703</v>
      </c>
      <c r="P18" s="603" t="s">
        <v>1703</v>
      </c>
      <c r="Q18" s="603"/>
      <c r="R18" s="797"/>
    </row>
    <row r="19" spans="1:18">
      <c r="A19" s="566" t="s">
        <v>1130</v>
      </c>
      <c r="B19" s="600">
        <v>2</v>
      </c>
      <c r="C19" s="601" t="s">
        <v>1130</v>
      </c>
      <c r="D19" s="600" t="s">
        <v>967</v>
      </c>
      <c r="E19" s="605">
        <v>4000</v>
      </c>
      <c r="F19" s="600" t="s">
        <v>1127</v>
      </c>
      <c r="G19" s="603" t="s">
        <v>1131</v>
      </c>
      <c r="H19" s="600" t="s">
        <v>1129</v>
      </c>
      <c r="I19" s="641"/>
      <c r="J19" s="603" t="s">
        <v>1703</v>
      </c>
      <c r="K19" s="603"/>
      <c r="L19" s="603" t="s">
        <v>1703</v>
      </c>
      <c r="M19" s="603"/>
      <c r="N19" s="603" t="s">
        <v>1703</v>
      </c>
      <c r="O19" s="603" t="s">
        <v>1703</v>
      </c>
      <c r="P19" s="603" t="s">
        <v>1703</v>
      </c>
      <c r="Q19" s="603"/>
      <c r="R19" s="797"/>
    </row>
    <row r="20" spans="1:18">
      <c r="A20" s="566" t="s">
        <v>966</v>
      </c>
      <c r="B20" s="600">
        <v>3</v>
      </c>
      <c r="C20" s="601" t="s">
        <v>1132</v>
      </c>
      <c r="D20" s="600" t="s">
        <v>0</v>
      </c>
      <c r="E20" s="602">
        <v>98.5</v>
      </c>
      <c r="F20" s="600" t="s">
        <v>1133</v>
      </c>
      <c r="G20" s="600"/>
      <c r="H20" s="600" t="s">
        <v>1129</v>
      </c>
      <c r="I20" s="641"/>
      <c r="J20" s="603" t="s">
        <v>1703</v>
      </c>
      <c r="K20" s="603"/>
      <c r="L20" s="603" t="s">
        <v>1703</v>
      </c>
      <c r="M20" s="603"/>
      <c r="N20" s="603" t="s">
        <v>1703</v>
      </c>
      <c r="O20" s="603" t="s">
        <v>1703</v>
      </c>
      <c r="P20" s="603" t="s">
        <v>1703</v>
      </c>
      <c r="Q20" s="603"/>
      <c r="R20" s="797"/>
    </row>
    <row r="21" spans="1:18">
      <c r="A21" s="566" t="s">
        <v>422</v>
      </c>
      <c r="B21" s="600">
        <v>4</v>
      </c>
      <c r="C21" s="601" t="s">
        <v>422</v>
      </c>
      <c r="D21" s="600" t="s">
        <v>324</v>
      </c>
      <c r="E21" s="602">
        <v>500</v>
      </c>
      <c r="F21" s="600" t="s">
        <v>1134</v>
      </c>
      <c r="G21" s="600" t="s">
        <v>1135</v>
      </c>
      <c r="H21" s="600" t="s">
        <v>1136</v>
      </c>
      <c r="I21" s="640" t="s">
        <v>1125</v>
      </c>
      <c r="J21" s="603"/>
      <c r="K21" s="603"/>
      <c r="L21" s="603"/>
      <c r="M21" s="603"/>
      <c r="N21" s="603" t="s">
        <v>1703</v>
      </c>
      <c r="O21" s="603" t="s">
        <v>1704</v>
      </c>
      <c r="P21" s="600"/>
      <c r="Q21" s="603"/>
      <c r="R21" s="797"/>
    </row>
    <row r="22" spans="1:18" s="586" customFormat="1">
      <c r="A22" s="661"/>
      <c r="B22" s="597"/>
      <c r="C22" s="598" t="s">
        <v>1265</v>
      </c>
      <c r="D22" s="597"/>
      <c r="E22" s="599"/>
      <c r="F22" s="597"/>
      <c r="G22" s="597"/>
      <c r="H22" s="597"/>
      <c r="I22" s="639"/>
      <c r="J22" s="794"/>
      <c r="K22" s="795"/>
      <c r="L22" s="795"/>
      <c r="M22" s="795"/>
      <c r="N22" s="795"/>
      <c r="O22" s="795"/>
      <c r="P22" s="795"/>
      <c r="Q22" s="795"/>
      <c r="R22" s="796"/>
    </row>
    <row r="23" spans="1:18" ht="25.5">
      <c r="A23" s="566" t="s">
        <v>968</v>
      </c>
      <c r="B23" s="600">
        <v>1</v>
      </c>
      <c r="C23" s="606" t="s">
        <v>1137</v>
      </c>
      <c r="D23" s="600" t="s">
        <v>324</v>
      </c>
      <c r="E23" s="602">
        <v>111</v>
      </c>
      <c r="F23" s="600" t="s">
        <v>622</v>
      </c>
      <c r="G23" s="600" t="s">
        <v>1138</v>
      </c>
      <c r="H23" s="600" t="s">
        <v>1139</v>
      </c>
      <c r="I23" s="640" t="s">
        <v>1125</v>
      </c>
      <c r="J23" s="798"/>
      <c r="K23" s="603"/>
      <c r="L23" s="603"/>
      <c r="M23" s="603"/>
      <c r="N23" s="603" t="s">
        <v>1703</v>
      </c>
      <c r="O23" s="603" t="s">
        <v>1704</v>
      </c>
      <c r="P23" s="603"/>
      <c r="Q23" s="603"/>
      <c r="R23" s="797"/>
    </row>
    <row r="24" spans="1:18" ht="38.25">
      <c r="A24" s="566" t="s">
        <v>1102</v>
      </c>
      <c r="B24" s="600">
        <v>2</v>
      </c>
      <c r="C24" s="606" t="s">
        <v>1140</v>
      </c>
      <c r="D24" s="600" t="s">
        <v>324</v>
      </c>
      <c r="E24" s="602">
        <v>40</v>
      </c>
      <c r="F24" s="600" t="s">
        <v>1141</v>
      </c>
      <c r="G24" s="600" t="s">
        <v>1138</v>
      </c>
      <c r="H24" s="600" t="s">
        <v>1136</v>
      </c>
      <c r="I24" s="640" t="s">
        <v>1125</v>
      </c>
      <c r="J24" s="798"/>
      <c r="K24" s="603"/>
      <c r="L24" s="603"/>
      <c r="M24" s="603"/>
      <c r="N24" s="603" t="s">
        <v>1703</v>
      </c>
      <c r="O24" s="603" t="s">
        <v>1704</v>
      </c>
      <c r="P24" s="603"/>
      <c r="Q24" s="603"/>
      <c r="R24" s="797"/>
    </row>
    <row r="25" spans="1:18" ht="25.5">
      <c r="A25" s="566" t="s">
        <v>969</v>
      </c>
      <c r="B25" s="600">
        <v>3</v>
      </c>
      <c r="C25" s="604" t="s">
        <v>1142</v>
      </c>
      <c r="D25" s="600" t="s">
        <v>327</v>
      </c>
      <c r="E25" s="602">
        <v>20</v>
      </c>
      <c r="F25" s="600" t="s">
        <v>622</v>
      </c>
      <c r="G25" s="600" t="s">
        <v>1143</v>
      </c>
      <c r="H25" s="600" t="s">
        <v>1139</v>
      </c>
      <c r="I25" s="640" t="s">
        <v>1125</v>
      </c>
      <c r="J25" s="603"/>
      <c r="K25" s="603"/>
      <c r="L25" s="603"/>
      <c r="M25" s="603"/>
      <c r="N25" s="603" t="s">
        <v>1703</v>
      </c>
      <c r="O25" s="603" t="s">
        <v>1704</v>
      </c>
      <c r="P25" s="603"/>
      <c r="Q25" s="603"/>
      <c r="R25" s="797"/>
    </row>
    <row r="26" spans="1:18" ht="38.25">
      <c r="A26" s="566" t="s">
        <v>1103</v>
      </c>
      <c r="B26" s="600">
        <v>4</v>
      </c>
      <c r="C26" s="604" t="s">
        <v>1144</v>
      </c>
      <c r="D26" s="600" t="s">
        <v>327</v>
      </c>
      <c r="E26" s="602">
        <v>10</v>
      </c>
      <c r="F26" s="600" t="s">
        <v>1141</v>
      </c>
      <c r="G26" s="600" t="s">
        <v>1143</v>
      </c>
      <c r="H26" s="600" t="s">
        <v>1136</v>
      </c>
      <c r="I26" s="640" t="s">
        <v>1125</v>
      </c>
      <c r="J26" s="603"/>
      <c r="K26" s="603"/>
      <c r="L26" s="603"/>
      <c r="M26" s="603"/>
      <c r="N26" s="603" t="s">
        <v>1703</v>
      </c>
      <c r="O26" s="603" t="s">
        <v>1704</v>
      </c>
      <c r="P26" s="603"/>
      <c r="Q26" s="603"/>
      <c r="R26" s="797"/>
    </row>
    <row r="27" spans="1:18" s="586" customFormat="1">
      <c r="A27" s="661"/>
      <c r="B27" s="597"/>
      <c r="C27" s="598" t="s">
        <v>1266</v>
      </c>
      <c r="D27" s="597"/>
      <c r="E27" s="599"/>
      <c r="F27" s="597"/>
      <c r="G27" s="597"/>
      <c r="H27" s="597"/>
      <c r="I27" s="639"/>
      <c r="J27" s="794"/>
      <c r="K27" s="795"/>
      <c r="L27" s="795"/>
      <c r="M27" s="795"/>
      <c r="N27" s="795"/>
      <c r="O27" s="795"/>
      <c r="P27" s="795"/>
      <c r="Q27" s="795"/>
      <c r="R27" s="796"/>
    </row>
    <row r="28" spans="1:18" ht="25.5">
      <c r="A28" s="566" t="s">
        <v>1070</v>
      </c>
      <c r="B28" s="600">
        <v>1</v>
      </c>
      <c r="C28" s="604" t="s">
        <v>1145</v>
      </c>
      <c r="D28" s="600" t="s">
        <v>187</v>
      </c>
      <c r="E28" s="602">
        <v>6637</v>
      </c>
      <c r="F28" s="600" t="s">
        <v>63</v>
      </c>
      <c r="G28" s="600" t="s">
        <v>1146</v>
      </c>
      <c r="H28" s="600" t="s">
        <v>63</v>
      </c>
      <c r="I28" s="640" t="s">
        <v>1125</v>
      </c>
      <c r="J28" s="603"/>
      <c r="K28" s="603"/>
      <c r="L28" s="603"/>
      <c r="M28" s="603"/>
      <c r="N28" s="603" t="s">
        <v>1703</v>
      </c>
      <c r="O28" s="603" t="s">
        <v>1704</v>
      </c>
      <c r="P28" s="603"/>
      <c r="Q28" s="603"/>
      <c r="R28" s="797"/>
    </row>
    <row r="29" spans="1:18">
      <c r="B29" s="600">
        <v>2</v>
      </c>
      <c r="C29" s="604" t="s">
        <v>1147</v>
      </c>
      <c r="D29" s="600" t="s">
        <v>187</v>
      </c>
      <c r="E29" s="602">
        <v>50</v>
      </c>
      <c r="F29" s="600" t="s">
        <v>63</v>
      </c>
      <c r="G29" s="600"/>
      <c r="H29" s="600" t="s">
        <v>63</v>
      </c>
      <c r="I29" s="640" t="s">
        <v>1125</v>
      </c>
      <c r="J29" s="603"/>
      <c r="K29" s="603"/>
      <c r="L29" s="603"/>
      <c r="M29" s="603"/>
      <c r="N29" s="603" t="s">
        <v>1703</v>
      </c>
      <c r="O29" s="603" t="s">
        <v>1704</v>
      </c>
      <c r="P29" s="603"/>
      <c r="Q29" s="603"/>
      <c r="R29" s="797"/>
    </row>
    <row r="30" spans="1:18" s="586" customFormat="1">
      <c r="A30" s="661"/>
      <c r="B30" s="597"/>
      <c r="C30" s="598" t="s">
        <v>1267</v>
      </c>
      <c r="D30" s="597"/>
      <c r="E30" s="599"/>
      <c r="F30" s="597"/>
      <c r="G30" s="597"/>
      <c r="H30" s="597"/>
      <c r="I30" s="639"/>
      <c r="J30" s="794"/>
      <c r="K30" s="795"/>
      <c r="L30" s="795"/>
      <c r="M30" s="795"/>
      <c r="N30" s="795"/>
      <c r="O30" s="795"/>
      <c r="P30" s="795"/>
      <c r="Q30" s="795"/>
      <c r="R30" s="796"/>
    </row>
    <row r="31" spans="1:18" ht="38.25">
      <c r="A31" s="566" t="s">
        <v>1629</v>
      </c>
      <c r="B31" s="600">
        <v>1</v>
      </c>
      <c r="C31" s="604" t="s">
        <v>1148</v>
      </c>
      <c r="D31" s="600" t="s">
        <v>0</v>
      </c>
      <c r="E31" s="602">
        <v>46</v>
      </c>
      <c r="F31" s="600" t="s">
        <v>1149</v>
      </c>
      <c r="G31" s="600" t="s">
        <v>1150</v>
      </c>
      <c r="H31" s="600" t="s">
        <v>1129</v>
      </c>
      <c r="I31" s="641"/>
      <c r="J31" s="603" t="s">
        <v>1703</v>
      </c>
      <c r="K31" s="603"/>
      <c r="L31" s="603" t="s">
        <v>1703</v>
      </c>
      <c r="M31" s="603"/>
      <c r="N31" s="603" t="s">
        <v>1703</v>
      </c>
      <c r="O31" s="603" t="s">
        <v>1703</v>
      </c>
      <c r="P31" s="603" t="s">
        <v>1703</v>
      </c>
      <c r="Q31" s="603"/>
      <c r="R31" s="797"/>
    </row>
    <row r="32" spans="1:18" s="586" customFormat="1">
      <c r="A32" s="661"/>
      <c r="B32" s="597"/>
      <c r="C32" s="598" t="s">
        <v>1268</v>
      </c>
      <c r="D32" s="597"/>
      <c r="E32" s="599"/>
      <c r="F32" s="597"/>
      <c r="G32" s="597"/>
      <c r="H32" s="597"/>
      <c r="I32" s="639"/>
      <c r="J32" s="794"/>
      <c r="K32" s="795"/>
      <c r="L32" s="795"/>
      <c r="M32" s="795"/>
      <c r="N32" s="795"/>
      <c r="O32" s="795"/>
      <c r="P32" s="795"/>
      <c r="Q32" s="795"/>
      <c r="R32" s="796"/>
    </row>
    <row r="33" spans="1:18" ht="25.5">
      <c r="B33" s="600">
        <v>1</v>
      </c>
      <c r="C33" s="604" t="s">
        <v>1151</v>
      </c>
      <c r="D33" s="607" t="s">
        <v>327</v>
      </c>
      <c r="E33" s="608">
        <v>7</v>
      </c>
      <c r="F33" s="607" t="s">
        <v>1152</v>
      </c>
      <c r="G33" s="607" t="s">
        <v>1153</v>
      </c>
      <c r="H33" s="607" t="s">
        <v>1136</v>
      </c>
      <c r="I33" s="640" t="s">
        <v>1125</v>
      </c>
      <c r="J33" s="603"/>
      <c r="K33" s="603"/>
      <c r="L33" s="603"/>
      <c r="M33" s="603"/>
      <c r="N33" s="603" t="s">
        <v>1703</v>
      </c>
      <c r="O33" s="603" t="s">
        <v>1704</v>
      </c>
      <c r="P33" s="603"/>
      <c r="Q33" s="603"/>
      <c r="R33" s="797"/>
    </row>
    <row r="34" spans="1:18" ht="25.5">
      <c r="B34" s="600">
        <v>2</v>
      </c>
      <c r="C34" s="604" t="s">
        <v>1154</v>
      </c>
      <c r="D34" s="607" t="s">
        <v>327</v>
      </c>
      <c r="E34" s="608">
        <v>5</v>
      </c>
      <c r="F34" s="607" t="s">
        <v>1152</v>
      </c>
      <c r="G34" s="607" t="s">
        <v>1153</v>
      </c>
      <c r="H34" s="607" t="s">
        <v>1136</v>
      </c>
      <c r="I34" s="640" t="s">
        <v>1125</v>
      </c>
      <c r="J34" s="603"/>
      <c r="K34" s="603"/>
      <c r="L34" s="603"/>
      <c r="M34" s="603"/>
      <c r="N34" s="603" t="s">
        <v>1703</v>
      </c>
      <c r="O34" s="603" t="s">
        <v>1704</v>
      </c>
      <c r="P34" s="603"/>
      <c r="Q34" s="603"/>
      <c r="R34" s="797"/>
    </row>
    <row r="35" spans="1:18" s="586" customFormat="1">
      <c r="A35" s="661"/>
      <c r="B35" s="597"/>
      <c r="C35" s="598" t="s">
        <v>1269</v>
      </c>
      <c r="D35" s="597"/>
      <c r="E35" s="599"/>
      <c r="F35" s="597"/>
      <c r="G35" s="597"/>
      <c r="H35" s="597"/>
      <c r="I35" s="639"/>
      <c r="J35" s="794"/>
      <c r="K35" s="795"/>
      <c r="L35" s="795"/>
      <c r="M35" s="795"/>
      <c r="N35" s="795"/>
      <c r="O35" s="795"/>
      <c r="P35" s="795"/>
      <c r="Q35" s="795"/>
      <c r="R35" s="796"/>
    </row>
    <row r="36" spans="1:18" ht="25.5">
      <c r="A36" s="566" t="s">
        <v>997</v>
      </c>
      <c r="B36" s="600">
        <v>1</v>
      </c>
      <c r="C36" s="604" t="s">
        <v>1155</v>
      </c>
      <c r="D36" s="600" t="s">
        <v>1</v>
      </c>
      <c r="E36" s="719">
        <v>1160.952</v>
      </c>
      <c r="F36" s="600" t="s">
        <v>1156</v>
      </c>
      <c r="G36" s="600" t="s">
        <v>1157</v>
      </c>
      <c r="H36" s="600"/>
      <c r="I36" s="640" t="s">
        <v>1125</v>
      </c>
      <c r="J36" s="603"/>
      <c r="K36" s="603"/>
      <c r="L36" s="603"/>
      <c r="M36" s="603"/>
      <c r="N36" s="603" t="s">
        <v>1703</v>
      </c>
      <c r="O36" s="603" t="s">
        <v>1704</v>
      </c>
      <c r="P36" s="603"/>
      <c r="Q36" s="603"/>
      <c r="R36" s="797"/>
    </row>
    <row r="37" spans="1:18" ht="25.5">
      <c r="A37" s="566" t="s">
        <v>979</v>
      </c>
      <c r="B37" s="600">
        <v>2</v>
      </c>
      <c r="C37" s="604" t="s">
        <v>1158</v>
      </c>
      <c r="D37" s="600" t="s">
        <v>1</v>
      </c>
      <c r="E37" s="719">
        <v>128.84079999999997</v>
      </c>
      <c r="F37" s="600" t="s">
        <v>1159</v>
      </c>
      <c r="G37" s="600" t="s">
        <v>1160</v>
      </c>
      <c r="H37" s="717"/>
      <c r="I37" s="640" t="s">
        <v>1125</v>
      </c>
      <c r="J37" s="603"/>
      <c r="K37" s="603"/>
      <c r="L37" s="603"/>
      <c r="M37" s="603"/>
      <c r="N37" s="603" t="s">
        <v>1703</v>
      </c>
      <c r="O37" s="603" t="s">
        <v>1704</v>
      </c>
      <c r="P37" s="603"/>
      <c r="Q37" s="603"/>
      <c r="R37" s="797"/>
    </row>
    <row r="38" spans="1:18" ht="25.5">
      <c r="B38" s="600">
        <v>3</v>
      </c>
      <c r="C38" s="604" t="s">
        <v>1161</v>
      </c>
      <c r="D38" s="600" t="s">
        <v>982</v>
      </c>
      <c r="E38" s="602">
        <v>325</v>
      </c>
      <c r="F38" s="600" t="s">
        <v>1159</v>
      </c>
      <c r="G38" s="600" t="s">
        <v>1162</v>
      </c>
      <c r="H38" s="600"/>
      <c r="I38" s="640" t="s">
        <v>1125</v>
      </c>
      <c r="J38" s="603"/>
      <c r="K38" s="603"/>
      <c r="L38" s="603"/>
      <c r="M38" s="603"/>
      <c r="N38" s="603" t="s">
        <v>1703</v>
      </c>
      <c r="O38" s="603" t="s">
        <v>1704</v>
      </c>
      <c r="P38" s="603"/>
      <c r="Q38" s="603"/>
      <c r="R38" s="797"/>
    </row>
    <row r="39" spans="1:18" ht="25.5">
      <c r="B39" s="600">
        <v>4</v>
      </c>
      <c r="C39" s="604" t="s">
        <v>1163</v>
      </c>
      <c r="D39" s="600" t="s">
        <v>982</v>
      </c>
      <c r="E39" s="602">
        <v>1725</v>
      </c>
      <c r="F39" s="600" t="s">
        <v>1159</v>
      </c>
      <c r="G39" s="600" t="s">
        <v>1164</v>
      </c>
      <c r="H39" s="600"/>
      <c r="I39" s="640" t="s">
        <v>1125</v>
      </c>
      <c r="J39" s="603"/>
      <c r="K39" s="603"/>
      <c r="L39" s="603"/>
      <c r="M39" s="603"/>
      <c r="N39" s="603" t="s">
        <v>1703</v>
      </c>
      <c r="O39" s="603" t="s">
        <v>1704</v>
      </c>
      <c r="P39" s="603"/>
      <c r="Q39" s="603"/>
      <c r="R39" s="797"/>
    </row>
    <row r="40" spans="1:18" ht="25.5">
      <c r="B40" s="600">
        <v>5</v>
      </c>
      <c r="C40" s="604" t="s">
        <v>1165</v>
      </c>
      <c r="D40" s="600" t="s">
        <v>982</v>
      </c>
      <c r="E40" s="602">
        <v>244</v>
      </c>
      <c r="F40" s="600" t="s">
        <v>1159</v>
      </c>
      <c r="G40" s="600" t="s">
        <v>1166</v>
      </c>
      <c r="H40" s="600"/>
      <c r="I40" s="640" t="s">
        <v>1125</v>
      </c>
      <c r="J40" s="603"/>
      <c r="K40" s="603"/>
      <c r="L40" s="603"/>
      <c r="M40" s="603"/>
      <c r="N40" s="603" t="s">
        <v>1703</v>
      </c>
      <c r="O40" s="603" t="s">
        <v>1704</v>
      </c>
      <c r="P40" s="603"/>
      <c r="Q40" s="603"/>
      <c r="R40" s="797"/>
    </row>
    <row r="41" spans="1:18" ht="25.5">
      <c r="B41" s="600">
        <v>6</v>
      </c>
      <c r="C41" s="604" t="s">
        <v>1167</v>
      </c>
      <c r="D41" s="600" t="s">
        <v>982</v>
      </c>
      <c r="E41" s="602">
        <v>1725</v>
      </c>
      <c r="F41" s="600" t="s">
        <v>1159</v>
      </c>
      <c r="G41" s="600" t="s">
        <v>1168</v>
      </c>
      <c r="H41" s="600"/>
      <c r="I41" s="640" t="s">
        <v>1125</v>
      </c>
      <c r="J41" s="603"/>
      <c r="K41" s="603"/>
      <c r="L41" s="603"/>
      <c r="M41" s="603"/>
      <c r="N41" s="603" t="s">
        <v>1703</v>
      </c>
      <c r="O41" s="603" t="s">
        <v>1704</v>
      </c>
      <c r="P41" s="603"/>
      <c r="Q41" s="603"/>
      <c r="R41" s="797"/>
    </row>
    <row r="42" spans="1:18" ht="25.5">
      <c r="A42" s="566" t="s">
        <v>979</v>
      </c>
      <c r="B42" s="600">
        <v>7</v>
      </c>
      <c r="C42" s="601" t="s">
        <v>1169</v>
      </c>
      <c r="D42" s="600" t="s">
        <v>1</v>
      </c>
      <c r="E42" s="609">
        <v>600.28099999999995</v>
      </c>
      <c r="F42" s="600" t="s">
        <v>1156</v>
      </c>
      <c r="G42" s="600" t="s">
        <v>1170</v>
      </c>
      <c r="H42" s="600"/>
      <c r="I42" s="640" t="s">
        <v>1125</v>
      </c>
      <c r="J42" s="603"/>
      <c r="K42" s="603"/>
      <c r="L42" s="603"/>
      <c r="M42" s="603"/>
      <c r="N42" s="603" t="s">
        <v>1703</v>
      </c>
      <c r="O42" s="603" t="s">
        <v>1704</v>
      </c>
      <c r="P42" s="603"/>
      <c r="Q42" s="603"/>
      <c r="R42" s="797"/>
    </row>
    <row r="43" spans="1:18" ht="25.5">
      <c r="B43" s="600">
        <v>8</v>
      </c>
      <c r="C43" s="601" t="s">
        <v>1171</v>
      </c>
      <c r="D43" s="600" t="s">
        <v>982</v>
      </c>
      <c r="E43" s="602">
        <v>343</v>
      </c>
      <c r="F43" s="600" t="s">
        <v>1156</v>
      </c>
      <c r="G43" s="600" t="s">
        <v>1172</v>
      </c>
      <c r="H43" s="600"/>
      <c r="I43" s="640" t="s">
        <v>1125</v>
      </c>
      <c r="J43" s="603"/>
      <c r="K43" s="603"/>
      <c r="L43" s="603"/>
      <c r="M43" s="603"/>
      <c r="N43" s="603" t="s">
        <v>1703</v>
      </c>
      <c r="O43" s="603" t="s">
        <v>1704</v>
      </c>
      <c r="P43" s="603"/>
      <c r="Q43" s="603"/>
      <c r="R43" s="797"/>
    </row>
    <row r="44" spans="1:18" ht="25.5">
      <c r="B44" s="600">
        <v>9</v>
      </c>
      <c r="C44" s="601" t="s">
        <v>1173</v>
      </c>
      <c r="D44" s="600" t="s">
        <v>982</v>
      </c>
      <c r="E44" s="602">
        <v>44</v>
      </c>
      <c r="F44" s="600" t="s">
        <v>1156</v>
      </c>
      <c r="G44" s="600" t="s">
        <v>1174</v>
      </c>
      <c r="H44" s="600"/>
      <c r="I44" s="640" t="s">
        <v>1125</v>
      </c>
      <c r="J44" s="603"/>
      <c r="K44" s="603"/>
      <c r="L44" s="603"/>
      <c r="M44" s="603"/>
      <c r="N44" s="603" t="s">
        <v>1703</v>
      </c>
      <c r="O44" s="603" t="s">
        <v>1704</v>
      </c>
      <c r="P44" s="603"/>
      <c r="Q44" s="603"/>
      <c r="R44" s="797"/>
    </row>
    <row r="45" spans="1:18" s="586" customFormat="1">
      <c r="A45" s="661"/>
      <c r="B45" s="597"/>
      <c r="C45" s="598" t="s">
        <v>1270</v>
      </c>
      <c r="D45" s="597"/>
      <c r="E45" s="599"/>
      <c r="F45" s="597"/>
      <c r="G45" s="597"/>
      <c r="H45" s="597"/>
      <c r="I45" s="639"/>
      <c r="J45" s="794"/>
      <c r="K45" s="795"/>
      <c r="L45" s="795"/>
      <c r="M45" s="795"/>
      <c r="N45" s="795"/>
      <c r="O45" s="795"/>
      <c r="P45" s="795"/>
      <c r="Q45" s="795"/>
      <c r="R45" s="796"/>
    </row>
    <row r="46" spans="1:18">
      <c r="A46" s="566" t="s">
        <v>1071</v>
      </c>
      <c r="B46" s="600">
        <v>1</v>
      </c>
      <c r="C46" s="601" t="s">
        <v>1175</v>
      </c>
      <c r="D46" s="600" t="s">
        <v>187</v>
      </c>
      <c r="E46" s="609">
        <v>4262.3999999999996</v>
      </c>
      <c r="F46" s="603" t="s">
        <v>94</v>
      </c>
      <c r="G46" s="600" t="s">
        <v>1176</v>
      </c>
      <c r="H46" s="600" t="s">
        <v>63</v>
      </c>
      <c r="I46" s="640" t="s">
        <v>1125</v>
      </c>
      <c r="J46" s="603"/>
      <c r="K46" s="603"/>
      <c r="L46" s="603"/>
      <c r="M46" s="603"/>
      <c r="N46" s="603" t="s">
        <v>1703</v>
      </c>
      <c r="O46" s="603" t="s">
        <v>1704</v>
      </c>
      <c r="P46" s="603"/>
      <c r="Q46" s="603"/>
      <c r="R46" s="797"/>
    </row>
    <row r="47" spans="1:18">
      <c r="A47" s="566" t="s">
        <v>1071</v>
      </c>
      <c r="B47" s="600">
        <v>2</v>
      </c>
      <c r="C47" s="601" t="s">
        <v>1177</v>
      </c>
      <c r="D47" s="600" t="s">
        <v>187</v>
      </c>
      <c r="E47" s="609">
        <v>10479.6</v>
      </c>
      <c r="F47" s="603" t="s">
        <v>94</v>
      </c>
      <c r="G47" s="600" t="s">
        <v>1176</v>
      </c>
      <c r="H47" s="600" t="s">
        <v>63</v>
      </c>
      <c r="I47" s="640" t="s">
        <v>1125</v>
      </c>
      <c r="J47" s="603"/>
      <c r="K47" s="603"/>
      <c r="L47" s="603"/>
      <c r="M47" s="603"/>
      <c r="N47" s="603" t="s">
        <v>1703</v>
      </c>
      <c r="O47" s="603" t="s">
        <v>1704</v>
      </c>
      <c r="P47" s="603"/>
      <c r="Q47" s="603"/>
      <c r="R47" s="797"/>
    </row>
    <row r="48" spans="1:18">
      <c r="A48" s="566" t="s">
        <v>1072</v>
      </c>
      <c r="B48" s="603">
        <v>3</v>
      </c>
      <c r="C48" s="601" t="s">
        <v>1178</v>
      </c>
      <c r="D48" s="600" t="s">
        <v>187</v>
      </c>
      <c r="E48" s="610">
        <v>1150</v>
      </c>
      <c r="F48" s="600" t="s">
        <v>1136</v>
      </c>
      <c r="G48" s="600" t="s">
        <v>1179</v>
      </c>
      <c r="H48" s="600" t="s">
        <v>1136</v>
      </c>
      <c r="I48" s="642"/>
      <c r="J48" s="603"/>
      <c r="K48" s="603"/>
      <c r="L48" s="603"/>
      <c r="M48" s="603"/>
      <c r="N48" s="603" t="s">
        <v>1703</v>
      </c>
      <c r="O48" s="600" t="s">
        <v>1703</v>
      </c>
      <c r="P48" s="603"/>
      <c r="Q48" s="603"/>
      <c r="R48" s="797"/>
    </row>
    <row r="49" spans="1:18" ht="25.5">
      <c r="A49" s="566" t="s">
        <v>1073</v>
      </c>
      <c r="B49" s="600">
        <v>4</v>
      </c>
      <c r="C49" s="604" t="s">
        <v>1180</v>
      </c>
      <c r="D49" s="600" t="s">
        <v>187</v>
      </c>
      <c r="E49" s="609">
        <v>4956.1000000000004</v>
      </c>
      <c r="F49" s="600" t="s">
        <v>63</v>
      </c>
      <c r="G49" s="600" t="s">
        <v>1181</v>
      </c>
      <c r="H49" s="600" t="s">
        <v>63</v>
      </c>
      <c r="I49" s="640" t="s">
        <v>1125</v>
      </c>
      <c r="J49" s="603"/>
      <c r="K49" s="603"/>
      <c r="L49" s="603"/>
      <c r="M49" s="603"/>
      <c r="N49" s="603" t="s">
        <v>1703</v>
      </c>
      <c r="O49" s="603" t="s">
        <v>1704</v>
      </c>
      <c r="P49" s="603"/>
      <c r="Q49" s="603"/>
      <c r="R49" s="797"/>
    </row>
    <row r="50" spans="1:18" ht="25.5">
      <c r="A50" s="566" t="s">
        <v>1073</v>
      </c>
      <c r="B50" s="600">
        <v>5</v>
      </c>
      <c r="C50" s="604" t="s">
        <v>1182</v>
      </c>
      <c r="D50" s="600" t="s">
        <v>187</v>
      </c>
      <c r="E50" s="609">
        <v>138.69999999999999</v>
      </c>
      <c r="F50" s="600" t="s">
        <v>63</v>
      </c>
      <c r="G50" s="600" t="s">
        <v>1181</v>
      </c>
      <c r="H50" s="600" t="s">
        <v>63</v>
      </c>
      <c r="I50" s="640" t="s">
        <v>1125</v>
      </c>
      <c r="J50" s="603"/>
      <c r="K50" s="603"/>
      <c r="L50" s="603"/>
      <c r="M50" s="603"/>
      <c r="N50" s="603" t="s">
        <v>1703</v>
      </c>
      <c r="O50" s="603" t="s">
        <v>1704</v>
      </c>
      <c r="P50" s="603"/>
      <c r="Q50" s="603"/>
      <c r="R50" s="797"/>
    </row>
    <row r="51" spans="1:18" s="586" customFormat="1">
      <c r="A51" s="661"/>
      <c r="B51" s="597"/>
      <c r="C51" s="598" t="s">
        <v>1271</v>
      </c>
      <c r="D51" s="597"/>
      <c r="E51" s="599"/>
      <c r="F51" s="597"/>
      <c r="G51" s="597"/>
      <c r="H51" s="597"/>
      <c r="I51" s="639"/>
      <c r="J51" s="794"/>
      <c r="K51" s="795"/>
      <c r="L51" s="795"/>
      <c r="M51" s="795"/>
      <c r="N51" s="795"/>
      <c r="O51" s="795"/>
      <c r="P51" s="795"/>
      <c r="Q51" s="795"/>
      <c r="R51" s="796"/>
    </row>
    <row r="52" spans="1:18" s="681" customFormat="1">
      <c r="A52" s="716" t="s">
        <v>1126</v>
      </c>
      <c r="B52" s="600">
        <v>1</v>
      </c>
      <c r="C52" s="601" t="s">
        <v>1126</v>
      </c>
      <c r="D52" s="600" t="s">
        <v>967</v>
      </c>
      <c r="E52" s="602">
        <v>4500</v>
      </c>
      <c r="F52" s="600" t="s">
        <v>1127</v>
      </c>
      <c r="G52" s="600" t="s">
        <v>1128</v>
      </c>
      <c r="H52" s="600" t="s">
        <v>1675</v>
      </c>
      <c r="I52" s="641"/>
      <c r="J52" s="600" t="s">
        <v>1703</v>
      </c>
      <c r="K52" s="600"/>
      <c r="L52" s="600" t="s">
        <v>1703</v>
      </c>
      <c r="M52" s="600"/>
      <c r="N52" s="600" t="s">
        <v>1703</v>
      </c>
      <c r="O52" s="600" t="s">
        <v>1703</v>
      </c>
      <c r="P52" s="600" t="s">
        <v>1703</v>
      </c>
      <c r="Q52" s="600"/>
      <c r="R52" s="679"/>
    </row>
    <row r="53" spans="1:18" s="681" customFormat="1">
      <c r="A53" s="716"/>
      <c r="B53" s="600">
        <v>2</v>
      </c>
      <c r="C53" s="601" t="s">
        <v>1113</v>
      </c>
      <c r="D53" s="600" t="s">
        <v>0</v>
      </c>
      <c r="E53" s="602">
        <v>5</v>
      </c>
      <c r="F53" s="600"/>
      <c r="G53" s="600" t="s">
        <v>1676</v>
      </c>
      <c r="H53" s="600" t="s">
        <v>1675</v>
      </c>
      <c r="I53" s="641"/>
      <c r="J53" s="600" t="s">
        <v>1703</v>
      </c>
      <c r="K53" s="600"/>
      <c r="L53" s="600" t="s">
        <v>1703</v>
      </c>
      <c r="M53" s="600"/>
      <c r="N53" s="600" t="s">
        <v>1703</v>
      </c>
      <c r="O53" s="600" t="s">
        <v>1703</v>
      </c>
      <c r="P53" s="600" t="s">
        <v>1703</v>
      </c>
      <c r="Q53" s="600"/>
      <c r="R53" s="679"/>
    </row>
    <row r="54" spans="1:18" s="681" customFormat="1">
      <c r="A54" s="716" t="s">
        <v>1656</v>
      </c>
      <c r="B54" s="600">
        <v>3</v>
      </c>
      <c r="C54" s="601" t="s">
        <v>1656</v>
      </c>
      <c r="D54" s="600" t="s">
        <v>1</v>
      </c>
      <c r="E54" s="602">
        <v>28</v>
      </c>
      <c r="F54" s="600"/>
      <c r="G54" s="600"/>
      <c r="H54" s="600" t="s">
        <v>62</v>
      </c>
      <c r="I54" s="641"/>
      <c r="J54" s="600"/>
      <c r="K54" s="600"/>
      <c r="L54" s="600"/>
      <c r="M54" s="600"/>
      <c r="N54" s="600" t="s">
        <v>1703</v>
      </c>
      <c r="O54" s="600" t="s">
        <v>1703</v>
      </c>
      <c r="P54" s="600"/>
      <c r="Q54" s="600"/>
      <c r="R54" s="679"/>
    </row>
    <row r="55" spans="1:18" s="681" customFormat="1">
      <c r="A55" s="716" t="s">
        <v>1737</v>
      </c>
      <c r="B55" s="600">
        <v>4</v>
      </c>
      <c r="C55" s="601" t="s">
        <v>1712</v>
      </c>
      <c r="D55" s="600" t="s">
        <v>1</v>
      </c>
      <c r="E55" s="602">
        <v>500</v>
      </c>
      <c r="F55" s="600"/>
      <c r="G55" s="600"/>
      <c r="H55" s="600"/>
      <c r="I55" s="641"/>
      <c r="J55" s="600"/>
      <c r="K55" s="600"/>
      <c r="L55" s="600"/>
      <c r="M55" s="600"/>
      <c r="N55" s="600" t="s">
        <v>1703</v>
      </c>
      <c r="O55" s="600" t="s">
        <v>1703</v>
      </c>
      <c r="P55" s="600"/>
      <c r="Q55" s="600"/>
      <c r="R55" s="679"/>
    </row>
    <row r="56" spans="1:18" s="586" customFormat="1">
      <c r="A56" s="661"/>
      <c r="B56" s="597"/>
      <c r="C56" s="598" t="s">
        <v>1272</v>
      </c>
      <c r="D56" s="597"/>
      <c r="E56" s="599"/>
      <c r="F56" s="597"/>
      <c r="G56" s="597"/>
      <c r="H56" s="597"/>
      <c r="I56" s="639"/>
      <c r="J56" s="794"/>
      <c r="K56" s="795"/>
      <c r="L56" s="795"/>
      <c r="M56" s="795"/>
      <c r="N56" s="795"/>
      <c r="O56" s="795"/>
      <c r="P56" s="795"/>
      <c r="Q56" s="795"/>
      <c r="R56" s="796"/>
    </row>
    <row r="57" spans="1:18" ht="25.5">
      <c r="B57" s="600">
        <v>1</v>
      </c>
      <c r="C57" s="604" t="s">
        <v>1183</v>
      </c>
      <c r="D57" s="600" t="s">
        <v>88</v>
      </c>
      <c r="E57" s="605">
        <v>622</v>
      </c>
      <c r="F57" s="600" t="s">
        <v>1184</v>
      </c>
      <c r="G57" s="600" t="s">
        <v>1185</v>
      </c>
      <c r="H57" s="600" t="s">
        <v>1186</v>
      </c>
      <c r="I57" s="640" t="s">
        <v>1125</v>
      </c>
      <c r="J57" s="603"/>
      <c r="K57" s="603"/>
      <c r="L57" s="603"/>
      <c r="M57" s="603"/>
      <c r="N57" s="603" t="s">
        <v>1703</v>
      </c>
      <c r="O57" s="603" t="s">
        <v>1704</v>
      </c>
      <c r="P57" s="603"/>
      <c r="Q57" s="603"/>
      <c r="R57" s="797"/>
    </row>
    <row r="58" spans="1:18" ht="25.5">
      <c r="B58" s="600">
        <v>2</v>
      </c>
      <c r="C58" s="604" t="s">
        <v>1187</v>
      </c>
      <c r="D58" s="600" t="s">
        <v>187</v>
      </c>
      <c r="E58" s="605">
        <v>28</v>
      </c>
      <c r="F58" s="600" t="s">
        <v>1184</v>
      </c>
      <c r="G58" s="600" t="s">
        <v>1185</v>
      </c>
      <c r="H58" s="600" t="s">
        <v>1186</v>
      </c>
      <c r="I58" s="640" t="s">
        <v>1125</v>
      </c>
      <c r="J58" s="603"/>
      <c r="K58" s="603"/>
      <c r="L58" s="603"/>
      <c r="M58" s="603"/>
      <c r="N58" s="603" t="s">
        <v>1703</v>
      </c>
      <c r="O58" s="603" t="s">
        <v>1704</v>
      </c>
      <c r="P58" s="603"/>
      <c r="Q58" s="603"/>
      <c r="R58" s="797"/>
    </row>
    <row r="59" spans="1:18" ht="25.5">
      <c r="B59" s="600">
        <v>3</v>
      </c>
      <c r="C59" s="604" t="s">
        <v>1188</v>
      </c>
      <c r="D59" s="600" t="s">
        <v>187</v>
      </c>
      <c r="E59" s="605">
        <v>150</v>
      </c>
      <c r="F59" s="600" t="s">
        <v>1184</v>
      </c>
      <c r="G59" s="600" t="s">
        <v>1189</v>
      </c>
      <c r="H59" s="600" t="s">
        <v>1186</v>
      </c>
      <c r="I59" s="640" t="s">
        <v>1125</v>
      </c>
      <c r="J59" s="603"/>
      <c r="K59" s="603"/>
      <c r="L59" s="603"/>
      <c r="M59" s="603"/>
      <c r="N59" s="603" t="s">
        <v>1703</v>
      </c>
      <c r="O59" s="603" t="s">
        <v>1704</v>
      </c>
      <c r="P59" s="603"/>
      <c r="Q59" s="603"/>
      <c r="R59" s="797"/>
    </row>
    <row r="60" spans="1:18" s="586" customFormat="1">
      <c r="A60" s="661"/>
      <c r="B60" s="597"/>
      <c r="C60" s="598" t="s">
        <v>1273</v>
      </c>
      <c r="D60" s="597"/>
      <c r="E60" s="599"/>
      <c r="F60" s="597"/>
      <c r="G60" s="597"/>
      <c r="H60" s="597"/>
      <c r="I60" s="639"/>
      <c r="J60" s="794"/>
      <c r="K60" s="795"/>
      <c r="L60" s="795"/>
      <c r="M60" s="795"/>
      <c r="N60" s="795"/>
      <c r="O60" s="795"/>
      <c r="P60" s="795"/>
      <c r="Q60" s="795"/>
      <c r="R60" s="796"/>
    </row>
    <row r="61" spans="1:18" ht="25.5">
      <c r="A61" s="566" t="s">
        <v>1631</v>
      </c>
      <c r="B61" s="600">
        <v>1</v>
      </c>
      <c r="C61" s="601" t="s">
        <v>1190</v>
      </c>
      <c r="D61" s="600" t="s">
        <v>1</v>
      </c>
      <c r="E61" s="602">
        <v>1424.64</v>
      </c>
      <c r="F61" s="600" t="s">
        <v>1191</v>
      </c>
      <c r="G61" s="600" t="s">
        <v>1192</v>
      </c>
      <c r="H61" s="600" t="s">
        <v>1136</v>
      </c>
      <c r="I61" s="640" t="s">
        <v>1125</v>
      </c>
      <c r="J61" s="603"/>
      <c r="K61" s="603"/>
      <c r="L61" s="603"/>
      <c r="M61" s="603"/>
      <c r="N61" s="603" t="s">
        <v>1703</v>
      </c>
      <c r="O61" s="603" t="s">
        <v>1704</v>
      </c>
      <c r="P61" s="603"/>
      <c r="Q61" s="603"/>
      <c r="R61" s="797"/>
    </row>
    <row r="62" spans="1:18" ht="38.25">
      <c r="A62" s="566" t="s">
        <v>1630</v>
      </c>
      <c r="B62" s="600">
        <v>2</v>
      </c>
      <c r="C62" s="601" t="s">
        <v>1193</v>
      </c>
      <c r="D62" s="600" t="s">
        <v>1</v>
      </c>
      <c r="E62" s="602">
        <v>46.08</v>
      </c>
      <c r="F62" s="600" t="s">
        <v>1191</v>
      </c>
      <c r="G62" s="600" t="s">
        <v>1192</v>
      </c>
      <c r="H62" s="600" t="s">
        <v>1136</v>
      </c>
      <c r="I62" s="640" t="s">
        <v>1125</v>
      </c>
      <c r="J62" s="603"/>
      <c r="K62" s="603"/>
      <c r="L62" s="603"/>
      <c r="M62" s="603"/>
      <c r="N62" s="603" t="s">
        <v>1703</v>
      </c>
      <c r="O62" s="603" t="s">
        <v>1704</v>
      </c>
      <c r="P62" s="603"/>
      <c r="Q62" s="603"/>
      <c r="R62" s="797"/>
    </row>
    <row r="63" spans="1:18" s="586" customFormat="1">
      <c r="A63" s="661"/>
      <c r="B63" s="597"/>
      <c r="C63" s="598" t="s">
        <v>1274</v>
      </c>
      <c r="D63" s="597"/>
      <c r="E63" s="599"/>
      <c r="F63" s="597"/>
      <c r="G63" s="597"/>
      <c r="H63" s="597"/>
      <c r="I63" s="639"/>
      <c r="J63" s="794"/>
      <c r="K63" s="795"/>
      <c r="L63" s="795"/>
      <c r="M63" s="795"/>
      <c r="N63" s="795"/>
      <c r="O63" s="795"/>
      <c r="P63" s="795"/>
      <c r="Q63" s="795"/>
      <c r="R63" s="796"/>
    </row>
    <row r="64" spans="1:18" ht="25.5">
      <c r="A64" s="566" t="s">
        <v>1647</v>
      </c>
      <c r="B64" s="600">
        <v>1</v>
      </c>
      <c r="C64" s="601" t="s">
        <v>1194</v>
      </c>
      <c r="D64" s="600" t="s">
        <v>4</v>
      </c>
      <c r="E64" s="602">
        <v>165</v>
      </c>
      <c r="F64" s="600"/>
      <c r="G64" s="600" t="s">
        <v>1195</v>
      </c>
      <c r="H64" s="600" t="s">
        <v>62</v>
      </c>
      <c r="I64" s="640"/>
      <c r="J64" s="600"/>
      <c r="K64" s="600"/>
      <c r="L64" s="600"/>
      <c r="M64" s="600"/>
      <c r="N64" s="600" t="s">
        <v>1703</v>
      </c>
      <c r="O64" s="600" t="s">
        <v>1703</v>
      </c>
      <c r="P64" s="600" t="s">
        <v>1703</v>
      </c>
      <c r="Q64" s="603"/>
      <c r="R64" s="797"/>
    </row>
    <row r="65" spans="1:18" ht="25.5">
      <c r="A65" s="566" t="s">
        <v>1648</v>
      </c>
      <c r="B65" s="600">
        <v>2</v>
      </c>
      <c r="C65" s="601" t="s">
        <v>1196</v>
      </c>
      <c r="D65" s="600" t="s">
        <v>4</v>
      </c>
      <c r="E65" s="602">
        <v>400</v>
      </c>
      <c r="F65" s="600"/>
      <c r="G65" s="600" t="s">
        <v>1678</v>
      </c>
      <c r="H65" s="600" t="s">
        <v>62</v>
      </c>
      <c r="I65" s="640"/>
      <c r="J65" s="600"/>
      <c r="K65" s="600"/>
      <c r="L65" s="600"/>
      <c r="M65" s="600"/>
      <c r="N65" s="600" t="s">
        <v>1703</v>
      </c>
      <c r="O65" s="600" t="s">
        <v>1703</v>
      </c>
      <c r="P65" s="600" t="s">
        <v>1703</v>
      </c>
      <c r="Q65" s="603"/>
      <c r="R65" s="797"/>
    </row>
    <row r="66" spans="1:18" s="681" customFormat="1">
      <c r="A66" s="716" t="s">
        <v>1751</v>
      </c>
      <c r="B66" s="600">
        <v>3</v>
      </c>
      <c r="C66" s="601" t="s">
        <v>1677</v>
      </c>
      <c r="D66" s="600" t="s">
        <v>4</v>
      </c>
      <c r="E66" s="602">
        <v>1200</v>
      </c>
      <c r="F66" s="600"/>
      <c r="G66" s="600" t="s">
        <v>1679</v>
      </c>
      <c r="H66" s="600" t="s">
        <v>62</v>
      </c>
      <c r="I66" s="640"/>
      <c r="J66" s="600"/>
      <c r="K66" s="600"/>
      <c r="L66" s="600"/>
      <c r="M66" s="600"/>
      <c r="N66" s="600"/>
      <c r="O66" s="600"/>
      <c r="P66" s="600"/>
      <c r="Q66" s="600"/>
      <c r="R66" s="679"/>
    </row>
    <row r="67" spans="1:18" s="586" customFormat="1">
      <c r="A67" s="661"/>
      <c r="B67" s="597"/>
      <c r="C67" s="598" t="s">
        <v>1275</v>
      </c>
      <c r="D67" s="597"/>
      <c r="E67" s="599"/>
      <c r="F67" s="597"/>
      <c r="G67" s="597"/>
      <c r="H67" s="597"/>
      <c r="I67" s="639"/>
      <c r="J67" s="794"/>
      <c r="K67" s="795"/>
      <c r="L67" s="795"/>
      <c r="M67" s="795"/>
      <c r="N67" s="795"/>
      <c r="O67" s="795"/>
      <c r="P67" s="795"/>
      <c r="Q67" s="795"/>
      <c r="R67" s="796"/>
    </row>
    <row r="68" spans="1:18" ht="38.25">
      <c r="A68" s="566" t="s">
        <v>978</v>
      </c>
      <c r="B68" s="600">
        <v>1</v>
      </c>
      <c r="C68" s="601" t="s">
        <v>1197</v>
      </c>
      <c r="D68" s="600" t="s">
        <v>1</v>
      </c>
      <c r="E68" s="602">
        <v>385.92</v>
      </c>
      <c r="F68" s="600" t="s">
        <v>1191</v>
      </c>
      <c r="G68" s="600" t="s">
        <v>1198</v>
      </c>
      <c r="H68" s="600" t="s">
        <v>1136</v>
      </c>
      <c r="I68" s="640" t="s">
        <v>1125</v>
      </c>
      <c r="J68" s="603"/>
      <c r="K68" s="603"/>
      <c r="L68" s="603"/>
      <c r="M68" s="603"/>
      <c r="N68" s="603" t="s">
        <v>1703</v>
      </c>
      <c r="O68" s="603" t="s">
        <v>1704</v>
      </c>
      <c r="P68" s="603"/>
      <c r="Q68" s="603"/>
      <c r="R68" s="797"/>
    </row>
    <row r="69" spans="1:18" ht="38.25">
      <c r="A69" s="566" t="s">
        <v>977</v>
      </c>
      <c r="B69" s="600">
        <v>2</v>
      </c>
      <c r="C69" s="601" t="s">
        <v>1199</v>
      </c>
      <c r="D69" s="600" t="s">
        <v>1</v>
      </c>
      <c r="E69" s="602">
        <v>105.12</v>
      </c>
      <c r="F69" s="600" t="s">
        <v>1191</v>
      </c>
      <c r="G69" s="600" t="s">
        <v>1198</v>
      </c>
      <c r="H69" s="600" t="s">
        <v>1136</v>
      </c>
      <c r="I69" s="640" t="s">
        <v>1125</v>
      </c>
      <c r="J69" s="603"/>
      <c r="K69" s="603"/>
      <c r="L69" s="603"/>
      <c r="M69" s="603"/>
      <c r="N69" s="603" t="s">
        <v>1703</v>
      </c>
      <c r="O69" s="603" t="s">
        <v>1704</v>
      </c>
      <c r="P69" s="603"/>
      <c r="Q69" s="603"/>
      <c r="R69" s="797"/>
    </row>
    <row r="70" spans="1:18" s="586" customFormat="1">
      <c r="A70" s="661"/>
      <c r="B70" s="597"/>
      <c r="C70" s="598" t="s">
        <v>1276</v>
      </c>
      <c r="D70" s="597"/>
      <c r="E70" s="599"/>
      <c r="F70" s="597"/>
      <c r="G70" s="597"/>
      <c r="H70" s="597"/>
      <c r="I70" s="639"/>
      <c r="J70" s="794"/>
      <c r="K70" s="795"/>
      <c r="L70" s="795"/>
      <c r="M70" s="795"/>
      <c r="N70" s="795"/>
      <c r="O70" s="795"/>
      <c r="P70" s="795"/>
      <c r="Q70" s="795"/>
      <c r="R70" s="796"/>
    </row>
    <row r="71" spans="1:18">
      <c r="A71" s="566" t="s">
        <v>971</v>
      </c>
      <c r="B71" s="600">
        <v>1</v>
      </c>
      <c r="C71" s="604" t="s">
        <v>1200</v>
      </c>
      <c r="D71" s="600" t="s">
        <v>4</v>
      </c>
      <c r="E71" s="605">
        <v>31</v>
      </c>
      <c r="F71" s="600" t="s">
        <v>1201</v>
      </c>
      <c r="G71" s="600" t="s">
        <v>1202</v>
      </c>
      <c r="H71" s="600" t="s">
        <v>1136</v>
      </c>
      <c r="I71" s="640"/>
      <c r="J71" s="603" t="s">
        <v>1703</v>
      </c>
      <c r="K71" s="603"/>
      <c r="L71" s="603" t="s">
        <v>1703</v>
      </c>
      <c r="M71" s="603"/>
      <c r="N71" s="603" t="s">
        <v>1703</v>
      </c>
      <c r="O71" s="603" t="s">
        <v>1703</v>
      </c>
      <c r="P71" s="603"/>
      <c r="Q71" s="603"/>
      <c r="R71" s="797"/>
    </row>
    <row r="72" spans="1:18">
      <c r="A72" s="566" t="s">
        <v>1632</v>
      </c>
      <c r="B72" s="600">
        <v>2</v>
      </c>
      <c r="C72" s="604" t="s">
        <v>1203</v>
      </c>
      <c r="D72" s="600" t="s">
        <v>4</v>
      </c>
      <c r="E72" s="605">
        <v>6</v>
      </c>
      <c r="F72" s="600" t="s">
        <v>1201</v>
      </c>
      <c r="G72" s="600" t="s">
        <v>1202</v>
      </c>
      <c r="H72" s="600" t="s">
        <v>1136</v>
      </c>
      <c r="I72" s="640"/>
      <c r="J72" s="603" t="s">
        <v>1703</v>
      </c>
      <c r="K72" s="603"/>
      <c r="L72" s="603" t="s">
        <v>1703</v>
      </c>
      <c r="M72" s="603"/>
      <c r="N72" s="603" t="s">
        <v>1703</v>
      </c>
      <c r="O72" s="603" t="s">
        <v>1703</v>
      </c>
      <c r="P72" s="603"/>
      <c r="Q72" s="603"/>
      <c r="R72" s="797"/>
    </row>
    <row r="73" spans="1:18">
      <c r="A73" s="566" t="s">
        <v>1649</v>
      </c>
      <c r="B73" s="600">
        <v>3</v>
      </c>
      <c r="C73" s="604" t="s">
        <v>1204</v>
      </c>
      <c r="D73" s="600" t="s">
        <v>1205</v>
      </c>
      <c r="E73" s="605">
        <v>1</v>
      </c>
      <c r="F73" s="600"/>
      <c r="G73" s="600" t="s">
        <v>1206</v>
      </c>
      <c r="H73" s="600" t="s">
        <v>1136</v>
      </c>
      <c r="I73" s="640"/>
      <c r="J73" s="600"/>
      <c r="K73" s="600"/>
      <c r="L73" s="600"/>
      <c r="M73" s="603"/>
      <c r="N73" s="603" t="s">
        <v>1703</v>
      </c>
      <c r="O73" s="603" t="s">
        <v>1703</v>
      </c>
      <c r="P73" s="603"/>
      <c r="Q73" s="603"/>
      <c r="R73" s="797"/>
    </row>
    <row r="74" spans="1:18" s="586" customFormat="1">
      <c r="A74" s="661"/>
      <c r="B74" s="597"/>
      <c r="C74" s="598" t="s">
        <v>1277</v>
      </c>
      <c r="D74" s="597"/>
      <c r="E74" s="599"/>
      <c r="F74" s="597"/>
      <c r="G74" s="597"/>
      <c r="H74" s="597"/>
      <c r="I74" s="639"/>
      <c r="J74" s="794"/>
      <c r="K74" s="795"/>
      <c r="L74" s="795"/>
      <c r="M74" s="795"/>
      <c r="N74" s="795"/>
      <c r="O74" s="795"/>
      <c r="P74" s="795"/>
      <c r="Q74" s="795"/>
      <c r="R74" s="796"/>
    </row>
    <row r="75" spans="1:18" ht="25.5">
      <c r="A75" s="566" t="s">
        <v>1082</v>
      </c>
      <c r="B75" s="600">
        <v>1</v>
      </c>
      <c r="C75" s="601" t="s">
        <v>1207</v>
      </c>
      <c r="D75" s="600" t="s">
        <v>187</v>
      </c>
      <c r="E75" s="602">
        <v>3609.2</v>
      </c>
      <c r="F75" s="603" t="s">
        <v>94</v>
      </c>
      <c r="G75" s="600" t="s">
        <v>1124</v>
      </c>
      <c r="H75" s="603" t="s">
        <v>94</v>
      </c>
      <c r="I75" s="640" t="s">
        <v>1125</v>
      </c>
      <c r="J75" s="603"/>
      <c r="K75" s="603"/>
      <c r="L75" s="603"/>
      <c r="M75" s="603"/>
      <c r="N75" s="603" t="s">
        <v>1703</v>
      </c>
      <c r="O75" s="603" t="s">
        <v>1704</v>
      </c>
      <c r="P75" s="603"/>
      <c r="Q75" s="603"/>
      <c r="R75" s="797"/>
    </row>
    <row r="76" spans="1:18" ht="25.5">
      <c r="A76" s="566" t="s">
        <v>1082</v>
      </c>
      <c r="B76" s="600">
        <v>2</v>
      </c>
      <c r="C76" s="604" t="s">
        <v>1208</v>
      </c>
      <c r="D76" s="600" t="s">
        <v>187</v>
      </c>
      <c r="E76" s="602">
        <v>612</v>
      </c>
      <c r="F76" s="603" t="s">
        <v>94</v>
      </c>
      <c r="G76" s="600" t="s">
        <v>1124</v>
      </c>
      <c r="H76" s="603" t="s">
        <v>94</v>
      </c>
      <c r="I76" s="640" t="s">
        <v>1125</v>
      </c>
      <c r="J76" s="603"/>
      <c r="K76" s="603"/>
      <c r="L76" s="603"/>
      <c r="M76" s="603"/>
      <c r="N76" s="603" t="s">
        <v>1703</v>
      </c>
      <c r="O76" s="603" t="s">
        <v>1704</v>
      </c>
      <c r="P76" s="603"/>
      <c r="Q76" s="603"/>
      <c r="R76" s="797"/>
    </row>
    <row r="77" spans="1:18" ht="25.5">
      <c r="B77" s="600">
        <v>3</v>
      </c>
      <c r="C77" s="604" t="s">
        <v>1209</v>
      </c>
      <c r="D77" s="600" t="s">
        <v>187</v>
      </c>
      <c r="E77" s="602">
        <v>44.34</v>
      </c>
      <c r="F77" s="603" t="s">
        <v>94</v>
      </c>
      <c r="G77" s="600" t="s">
        <v>1124</v>
      </c>
      <c r="H77" s="603" t="s">
        <v>94</v>
      </c>
      <c r="I77" s="640" t="s">
        <v>1125</v>
      </c>
      <c r="J77" s="603"/>
      <c r="K77" s="603"/>
      <c r="L77" s="603"/>
      <c r="M77" s="603"/>
      <c r="N77" s="603" t="s">
        <v>1703</v>
      </c>
      <c r="O77" s="603" t="s">
        <v>1704</v>
      </c>
      <c r="P77" s="603"/>
      <c r="Q77" s="603"/>
      <c r="R77" s="797"/>
    </row>
    <row r="78" spans="1:18" s="586" customFormat="1">
      <c r="A78" s="661"/>
      <c r="B78" s="597"/>
      <c r="C78" s="598" t="s">
        <v>1278</v>
      </c>
      <c r="D78" s="597"/>
      <c r="E78" s="599"/>
      <c r="F78" s="597"/>
      <c r="G78" s="597"/>
      <c r="H78" s="597"/>
      <c r="I78" s="639"/>
      <c r="J78" s="794"/>
      <c r="K78" s="795"/>
      <c r="L78" s="795"/>
      <c r="M78" s="795"/>
      <c r="N78" s="795"/>
      <c r="O78" s="795"/>
      <c r="P78" s="795"/>
      <c r="Q78" s="795"/>
      <c r="R78" s="796"/>
    </row>
    <row r="79" spans="1:18" ht="51">
      <c r="A79" s="566" t="s">
        <v>1650</v>
      </c>
      <c r="B79" s="600">
        <v>1</v>
      </c>
      <c r="C79" s="604" t="s">
        <v>1210</v>
      </c>
      <c r="D79" s="600" t="s">
        <v>0</v>
      </c>
      <c r="E79" s="602">
        <v>57.5</v>
      </c>
      <c r="F79" s="600" t="s">
        <v>1149</v>
      </c>
      <c r="G79" s="600" t="s">
        <v>1211</v>
      </c>
      <c r="H79" s="600" t="s">
        <v>1129</v>
      </c>
      <c r="I79" s="641"/>
      <c r="J79" s="603" t="s">
        <v>1703</v>
      </c>
      <c r="K79" s="603"/>
      <c r="L79" s="603" t="s">
        <v>1703</v>
      </c>
      <c r="M79" s="603"/>
      <c r="N79" s="603" t="s">
        <v>1703</v>
      </c>
      <c r="O79" s="603"/>
      <c r="P79" s="603" t="s">
        <v>1703</v>
      </c>
      <c r="Q79" s="603"/>
      <c r="R79" s="797"/>
    </row>
    <row r="80" spans="1:18" s="586" customFormat="1">
      <c r="A80" s="661"/>
      <c r="B80" s="597"/>
      <c r="C80" s="598" t="s">
        <v>1279</v>
      </c>
      <c r="D80" s="597"/>
      <c r="E80" s="599"/>
      <c r="F80" s="597"/>
      <c r="G80" s="597"/>
      <c r="H80" s="597"/>
      <c r="I80" s="639"/>
      <c r="J80" s="794"/>
      <c r="K80" s="795"/>
      <c r="L80" s="795"/>
      <c r="M80" s="795"/>
      <c r="N80" s="795"/>
      <c r="O80" s="795"/>
      <c r="P80" s="795"/>
      <c r="Q80" s="795"/>
      <c r="R80" s="796"/>
    </row>
    <row r="81" spans="1:18" ht="51">
      <c r="A81" s="566" t="s">
        <v>1104</v>
      </c>
      <c r="B81" s="600">
        <v>1</v>
      </c>
      <c r="C81" s="604" t="s">
        <v>1212</v>
      </c>
      <c r="D81" s="600" t="s">
        <v>327</v>
      </c>
      <c r="E81" s="602">
        <v>14</v>
      </c>
      <c r="F81" s="600" t="s">
        <v>1141</v>
      </c>
      <c r="G81" s="600" t="s">
        <v>1215</v>
      </c>
      <c r="H81" s="600" t="s">
        <v>1136</v>
      </c>
      <c r="I81" s="640" t="s">
        <v>1125</v>
      </c>
      <c r="J81" s="603"/>
      <c r="K81" s="603"/>
      <c r="L81" s="603"/>
      <c r="M81" s="603"/>
      <c r="N81" s="603" t="s">
        <v>1703</v>
      </c>
      <c r="O81" s="603" t="s">
        <v>1704</v>
      </c>
      <c r="P81" s="603"/>
      <c r="Q81" s="603"/>
      <c r="R81" s="797"/>
    </row>
    <row r="82" spans="1:18" ht="51">
      <c r="A82" s="566" t="s">
        <v>1104</v>
      </c>
      <c r="B82" s="600">
        <v>2</v>
      </c>
      <c r="C82" s="604" t="s">
        <v>1214</v>
      </c>
      <c r="D82" s="600" t="s">
        <v>327</v>
      </c>
      <c r="E82" s="602">
        <v>15</v>
      </c>
      <c r="F82" s="600" t="s">
        <v>1141</v>
      </c>
      <c r="G82" s="600" t="s">
        <v>1215</v>
      </c>
      <c r="H82" s="600" t="s">
        <v>1136</v>
      </c>
      <c r="I82" s="640" t="s">
        <v>1125</v>
      </c>
      <c r="J82" s="603"/>
      <c r="K82" s="603"/>
      <c r="L82" s="603"/>
      <c r="M82" s="603"/>
      <c r="N82" s="603" t="s">
        <v>1703</v>
      </c>
      <c r="O82" s="603" t="s">
        <v>1704</v>
      </c>
      <c r="P82" s="603"/>
      <c r="Q82" s="603"/>
      <c r="R82" s="797"/>
    </row>
    <row r="83" spans="1:18" ht="51">
      <c r="A83" s="566" t="s">
        <v>1104</v>
      </c>
      <c r="B83" s="600">
        <v>3</v>
      </c>
      <c r="C83" s="604" t="s">
        <v>1216</v>
      </c>
      <c r="D83" s="600" t="s">
        <v>327</v>
      </c>
      <c r="E83" s="602">
        <v>7</v>
      </c>
      <c r="F83" s="600" t="s">
        <v>1141</v>
      </c>
      <c r="G83" s="600" t="s">
        <v>1215</v>
      </c>
      <c r="H83" s="600" t="s">
        <v>1136</v>
      </c>
      <c r="I83" s="640" t="s">
        <v>1125</v>
      </c>
      <c r="J83" s="603"/>
      <c r="K83" s="603"/>
      <c r="L83" s="603"/>
      <c r="M83" s="603"/>
      <c r="N83" s="603" t="s">
        <v>1703</v>
      </c>
      <c r="O83" s="603" t="s">
        <v>1704</v>
      </c>
      <c r="P83" s="603"/>
      <c r="Q83" s="603"/>
      <c r="R83" s="797"/>
    </row>
    <row r="84" spans="1:18" ht="51">
      <c r="A84" s="566" t="s">
        <v>970</v>
      </c>
      <c r="B84" s="600">
        <v>4</v>
      </c>
      <c r="C84" s="604" t="s">
        <v>1217</v>
      </c>
      <c r="D84" s="600" t="s">
        <v>327</v>
      </c>
      <c r="E84" s="602">
        <v>35</v>
      </c>
      <c r="F84" s="600" t="s">
        <v>622</v>
      </c>
      <c r="G84" s="600" t="s">
        <v>1143</v>
      </c>
      <c r="H84" s="600" t="s">
        <v>1139</v>
      </c>
      <c r="I84" s="640" t="s">
        <v>1125</v>
      </c>
      <c r="J84" s="603"/>
      <c r="K84" s="603"/>
      <c r="L84" s="603"/>
      <c r="M84" s="603"/>
      <c r="N84" s="603" t="s">
        <v>1703</v>
      </c>
      <c r="O84" s="603" t="s">
        <v>1704</v>
      </c>
      <c r="P84" s="603"/>
      <c r="Q84" s="603"/>
      <c r="R84" s="797"/>
    </row>
    <row r="85" spans="1:18" ht="25.5">
      <c r="A85" s="566" t="s">
        <v>1104</v>
      </c>
      <c r="B85" s="600">
        <v>5</v>
      </c>
      <c r="C85" s="604" t="s">
        <v>1218</v>
      </c>
      <c r="D85" s="600" t="s">
        <v>327</v>
      </c>
      <c r="E85" s="602">
        <v>2</v>
      </c>
      <c r="F85" s="600" t="s">
        <v>1219</v>
      </c>
      <c r="G85" s="600" t="s">
        <v>1213</v>
      </c>
      <c r="H85" s="600" t="s">
        <v>1136</v>
      </c>
      <c r="I85" s="640"/>
      <c r="J85" s="603"/>
      <c r="K85" s="603"/>
      <c r="L85" s="603"/>
      <c r="M85" s="603"/>
      <c r="N85" s="603" t="s">
        <v>1703</v>
      </c>
      <c r="O85" s="603" t="s">
        <v>1704</v>
      </c>
      <c r="P85" s="603"/>
      <c r="Q85" s="603"/>
      <c r="R85" s="797"/>
    </row>
    <row r="86" spans="1:18" s="586" customFormat="1">
      <c r="A86" s="661"/>
      <c r="B86" s="597"/>
      <c r="C86" s="598" t="s">
        <v>1280</v>
      </c>
      <c r="D86" s="597"/>
      <c r="E86" s="599"/>
      <c r="F86" s="597"/>
      <c r="G86" s="597"/>
      <c r="H86" s="597"/>
      <c r="I86" s="639"/>
      <c r="J86" s="794"/>
      <c r="K86" s="795"/>
      <c r="L86" s="795"/>
      <c r="M86" s="795"/>
      <c r="N86" s="795"/>
      <c r="O86" s="795"/>
      <c r="P86" s="795"/>
      <c r="Q86" s="795"/>
      <c r="R86" s="796"/>
    </row>
    <row r="87" spans="1:18" ht="51">
      <c r="A87" s="566" t="s">
        <v>999</v>
      </c>
      <c r="B87" s="600">
        <v>1</v>
      </c>
      <c r="C87" s="611" t="s">
        <v>1685</v>
      </c>
      <c r="D87" s="600" t="s">
        <v>1</v>
      </c>
      <c r="E87" s="608">
        <v>111.42</v>
      </c>
      <c r="F87" s="600" t="s">
        <v>1220</v>
      </c>
      <c r="G87" s="600" t="s">
        <v>1221</v>
      </c>
      <c r="H87" s="600" t="s">
        <v>1222</v>
      </c>
      <c r="I87" s="641"/>
      <c r="J87" s="603" t="s">
        <v>1703</v>
      </c>
      <c r="K87" s="603"/>
      <c r="L87" s="603" t="s">
        <v>1703</v>
      </c>
      <c r="M87" s="603"/>
      <c r="N87" s="603" t="s">
        <v>1703</v>
      </c>
      <c r="O87" s="603" t="s">
        <v>1703</v>
      </c>
      <c r="P87" s="603"/>
      <c r="Q87" s="603"/>
      <c r="R87" s="797"/>
    </row>
    <row r="88" spans="1:18" ht="38.25">
      <c r="B88" s="600">
        <v>2</v>
      </c>
      <c r="C88" s="611" t="s">
        <v>1686</v>
      </c>
      <c r="D88" s="600" t="s">
        <v>1</v>
      </c>
      <c r="E88" s="608">
        <v>29.86</v>
      </c>
      <c r="F88" s="600" t="s">
        <v>1687</v>
      </c>
      <c r="G88" s="600" t="s">
        <v>1688</v>
      </c>
      <c r="H88" s="600" t="s">
        <v>1689</v>
      </c>
      <c r="I88" s="641"/>
      <c r="J88" s="603" t="s">
        <v>1703</v>
      </c>
      <c r="K88" s="603"/>
      <c r="L88" s="603" t="s">
        <v>1703</v>
      </c>
      <c r="M88" s="603"/>
      <c r="N88" s="603" t="s">
        <v>1703</v>
      </c>
      <c r="O88" s="603" t="s">
        <v>1703</v>
      </c>
      <c r="P88" s="603"/>
      <c r="Q88" s="603"/>
      <c r="R88" s="797"/>
    </row>
    <row r="89" spans="1:18">
      <c r="B89" s="600">
        <v>3</v>
      </c>
      <c r="C89" s="604" t="s">
        <v>1690</v>
      </c>
      <c r="D89" s="600" t="s">
        <v>617</v>
      </c>
      <c r="E89" s="602">
        <v>14</v>
      </c>
      <c r="F89" s="600" t="s">
        <v>1691</v>
      </c>
      <c r="G89" s="600"/>
      <c r="H89" s="600" t="s">
        <v>1692</v>
      </c>
      <c r="I89" s="641"/>
      <c r="J89" s="603" t="s">
        <v>1703</v>
      </c>
      <c r="K89" s="603"/>
      <c r="L89" s="603" t="s">
        <v>1703</v>
      </c>
      <c r="M89" s="603"/>
      <c r="N89" s="603" t="s">
        <v>1703</v>
      </c>
      <c r="O89" s="603" t="s">
        <v>1703</v>
      </c>
      <c r="P89" s="603"/>
      <c r="Q89" s="603"/>
      <c r="R89" s="797"/>
    </row>
    <row r="90" spans="1:18" ht="51">
      <c r="A90" s="566" t="s">
        <v>1105</v>
      </c>
      <c r="B90" s="600">
        <v>4</v>
      </c>
      <c r="C90" s="604" t="s">
        <v>1693</v>
      </c>
      <c r="D90" s="600" t="s">
        <v>1</v>
      </c>
      <c r="E90" s="602">
        <v>5.94</v>
      </c>
      <c r="F90" s="600" t="s">
        <v>1220</v>
      </c>
      <c r="G90" s="600" t="s">
        <v>1221</v>
      </c>
      <c r="H90" s="600" t="s">
        <v>1222</v>
      </c>
      <c r="I90" s="641"/>
      <c r="J90" s="603" t="s">
        <v>1703</v>
      </c>
      <c r="K90" s="603"/>
      <c r="L90" s="603" t="s">
        <v>1703</v>
      </c>
      <c r="M90" s="603"/>
      <c r="N90" s="603" t="s">
        <v>1703</v>
      </c>
      <c r="O90" s="603" t="s">
        <v>1703</v>
      </c>
      <c r="P90" s="603"/>
      <c r="Q90" s="603"/>
      <c r="R90" s="797"/>
    </row>
    <row r="91" spans="1:18" s="586" customFormat="1">
      <c r="A91" s="661"/>
      <c r="B91" s="597"/>
      <c r="C91" s="598" t="s">
        <v>1281</v>
      </c>
      <c r="D91" s="597"/>
      <c r="E91" s="599"/>
      <c r="F91" s="597"/>
      <c r="G91" s="597"/>
      <c r="H91" s="597"/>
      <c r="I91" s="639"/>
      <c r="J91" s="794"/>
      <c r="K91" s="795"/>
      <c r="L91" s="795"/>
      <c r="M91" s="795"/>
      <c r="N91" s="795"/>
      <c r="O91" s="795"/>
      <c r="P91" s="795"/>
      <c r="Q91" s="795"/>
      <c r="R91" s="796"/>
    </row>
    <row r="92" spans="1:18">
      <c r="A92" s="575"/>
      <c r="B92" s="600">
        <v>1</v>
      </c>
      <c r="C92" s="601" t="s">
        <v>1698</v>
      </c>
      <c r="D92" s="600" t="s">
        <v>615</v>
      </c>
      <c r="E92" s="680">
        <v>8</v>
      </c>
      <c r="F92" s="603"/>
      <c r="G92" s="600" t="s">
        <v>1701</v>
      </c>
      <c r="H92" s="603" t="s">
        <v>1398</v>
      </c>
      <c r="I92" s="640"/>
      <c r="J92" s="603"/>
      <c r="K92" s="603"/>
      <c r="L92" s="603"/>
      <c r="M92" s="603"/>
      <c r="N92" s="603" t="s">
        <v>1703</v>
      </c>
      <c r="O92" s="603" t="s">
        <v>1703</v>
      </c>
      <c r="P92" s="603"/>
      <c r="Q92" s="603"/>
      <c r="R92" s="797"/>
    </row>
    <row r="93" spans="1:18">
      <c r="A93" s="575"/>
      <c r="B93" s="600">
        <v>2</v>
      </c>
      <c r="C93" s="601" t="s">
        <v>1699</v>
      </c>
      <c r="D93" s="600" t="s">
        <v>2</v>
      </c>
      <c r="E93" s="680">
        <v>4</v>
      </c>
      <c r="F93" s="603"/>
      <c r="G93" s="600"/>
      <c r="H93" s="603" t="s">
        <v>1398</v>
      </c>
      <c r="I93" s="640"/>
      <c r="J93" s="603"/>
      <c r="K93" s="603"/>
      <c r="L93" s="603"/>
      <c r="M93" s="603"/>
      <c r="N93" s="603" t="s">
        <v>1703</v>
      </c>
      <c r="O93" s="603" t="s">
        <v>1703</v>
      </c>
      <c r="P93" s="603"/>
      <c r="Q93" s="603"/>
      <c r="R93" s="797"/>
    </row>
    <row r="94" spans="1:18" ht="25.5">
      <c r="A94" s="575"/>
      <c r="B94" s="600">
        <v>3</v>
      </c>
      <c r="C94" s="601" t="s">
        <v>1700</v>
      </c>
      <c r="D94" s="600" t="s">
        <v>2</v>
      </c>
      <c r="E94" s="680">
        <v>3</v>
      </c>
      <c r="F94" s="603"/>
      <c r="G94" s="600" t="s">
        <v>1702</v>
      </c>
      <c r="H94" s="603" t="s">
        <v>1398</v>
      </c>
      <c r="I94" s="640"/>
      <c r="J94" s="603"/>
      <c r="K94" s="603"/>
      <c r="L94" s="603"/>
      <c r="M94" s="603"/>
      <c r="N94" s="603" t="s">
        <v>1703</v>
      </c>
      <c r="O94" s="603" t="s">
        <v>1703</v>
      </c>
      <c r="P94" s="603"/>
      <c r="Q94" s="603"/>
      <c r="R94" s="797"/>
    </row>
    <row r="95" spans="1:18" s="586" customFormat="1">
      <c r="A95" s="661"/>
      <c r="B95" s="597"/>
      <c r="C95" s="598" t="s">
        <v>1282</v>
      </c>
      <c r="D95" s="597"/>
      <c r="E95" s="599"/>
      <c r="F95" s="597"/>
      <c r="G95" s="597"/>
      <c r="H95" s="597"/>
      <c r="I95" s="639"/>
      <c r="J95" s="794"/>
      <c r="K95" s="795"/>
      <c r="L95" s="795"/>
      <c r="M95" s="795"/>
      <c r="N95" s="795"/>
      <c r="O95" s="795"/>
      <c r="P95" s="795"/>
      <c r="Q95" s="795"/>
      <c r="R95" s="796"/>
    </row>
    <row r="96" spans="1:18" ht="51">
      <c r="A96" s="566" t="s">
        <v>998</v>
      </c>
      <c r="B96" s="600">
        <v>1</v>
      </c>
      <c r="C96" s="611" t="s">
        <v>1223</v>
      </c>
      <c r="D96" s="600" t="s">
        <v>1</v>
      </c>
      <c r="E96" s="602">
        <f>5.9*3.3*2</f>
        <v>38.94</v>
      </c>
      <c r="F96" s="600" t="s">
        <v>1224</v>
      </c>
      <c r="G96" s="600"/>
      <c r="H96" s="600" t="s">
        <v>1186</v>
      </c>
      <c r="I96" s="641"/>
      <c r="J96" s="603" t="s">
        <v>1703</v>
      </c>
      <c r="K96" s="603"/>
      <c r="L96" s="603" t="s">
        <v>1703</v>
      </c>
      <c r="M96" s="603"/>
      <c r="N96" s="603" t="s">
        <v>1703</v>
      </c>
      <c r="O96" s="603" t="s">
        <v>1703</v>
      </c>
      <c r="P96" s="603"/>
      <c r="Q96" s="603"/>
      <c r="R96" s="797"/>
    </row>
    <row r="97" spans="1:18" s="586" customFormat="1">
      <c r="A97" s="661"/>
      <c r="B97" s="597"/>
      <c r="C97" s="598" t="s">
        <v>1283</v>
      </c>
      <c r="D97" s="597"/>
      <c r="E97" s="599"/>
      <c r="F97" s="597"/>
      <c r="G97" s="597"/>
      <c r="H97" s="597"/>
      <c r="I97" s="639"/>
      <c r="J97" s="794"/>
      <c r="K97" s="795"/>
      <c r="L97" s="795"/>
      <c r="M97" s="795"/>
      <c r="N97" s="795"/>
      <c r="O97" s="795"/>
      <c r="P97" s="795"/>
      <c r="Q97" s="795"/>
      <c r="R97" s="796"/>
    </row>
    <row r="98" spans="1:18">
      <c r="A98" s="566" t="s">
        <v>1081</v>
      </c>
      <c r="B98" s="600">
        <v>1</v>
      </c>
      <c r="C98" s="604" t="s">
        <v>1225</v>
      </c>
      <c r="D98" s="600" t="s">
        <v>1</v>
      </c>
      <c r="E98" s="602">
        <v>4</v>
      </c>
      <c r="F98" s="600"/>
      <c r="G98" s="600" t="s">
        <v>1226</v>
      </c>
      <c r="H98" s="600" t="s">
        <v>1136</v>
      </c>
      <c r="I98" s="641"/>
      <c r="J98" s="603"/>
      <c r="K98" s="603"/>
      <c r="L98" s="603"/>
      <c r="M98" s="603"/>
      <c r="N98" s="603" t="s">
        <v>1703</v>
      </c>
      <c r="O98" s="603" t="s">
        <v>1703</v>
      </c>
      <c r="P98" s="603"/>
      <c r="Q98" s="603"/>
      <c r="R98" s="797"/>
    </row>
    <row r="99" spans="1:18">
      <c r="A99" s="566" t="s">
        <v>1081</v>
      </c>
      <c r="B99" s="600">
        <v>2</v>
      </c>
      <c r="C99" s="604" t="s">
        <v>1227</v>
      </c>
      <c r="D99" s="600" t="s">
        <v>1</v>
      </c>
      <c r="E99" s="602">
        <v>11</v>
      </c>
      <c r="F99" s="600"/>
      <c r="G99" s="600" t="s">
        <v>1226</v>
      </c>
      <c r="H99" s="600" t="s">
        <v>1136</v>
      </c>
      <c r="I99" s="641"/>
      <c r="J99" s="603"/>
      <c r="K99" s="603"/>
      <c r="L99" s="603"/>
      <c r="M99" s="603"/>
      <c r="N99" s="603" t="s">
        <v>1703</v>
      </c>
      <c r="O99" s="603" t="s">
        <v>1703</v>
      </c>
      <c r="P99" s="603"/>
      <c r="Q99" s="603"/>
      <c r="R99" s="797"/>
    </row>
    <row r="100" spans="1:18" s="586" customFormat="1">
      <c r="A100" s="661"/>
      <c r="B100" s="597"/>
      <c r="C100" s="598" t="s">
        <v>1284</v>
      </c>
      <c r="D100" s="597"/>
      <c r="E100" s="599"/>
      <c r="F100" s="597"/>
      <c r="G100" s="597"/>
      <c r="H100" s="597"/>
      <c r="I100" s="639"/>
      <c r="J100" s="794"/>
      <c r="K100" s="795"/>
      <c r="L100" s="795"/>
      <c r="M100" s="795"/>
      <c r="N100" s="795"/>
      <c r="O100" s="795"/>
      <c r="P100" s="795"/>
      <c r="Q100" s="795"/>
      <c r="R100" s="796"/>
    </row>
    <row r="101" spans="1:18">
      <c r="A101" s="566" t="s">
        <v>1074</v>
      </c>
      <c r="B101" s="600">
        <v>1</v>
      </c>
      <c r="C101" s="604" t="s">
        <v>1074</v>
      </c>
      <c r="D101" s="600" t="s">
        <v>1228</v>
      </c>
      <c r="E101" s="602">
        <v>30</v>
      </c>
      <c r="F101" s="600" t="s">
        <v>1229</v>
      </c>
      <c r="G101" s="600" t="s">
        <v>1230</v>
      </c>
      <c r="H101" s="600" t="s">
        <v>1136</v>
      </c>
      <c r="I101" s="641"/>
      <c r="J101" s="603" t="s">
        <v>1703</v>
      </c>
      <c r="K101" s="603"/>
      <c r="L101" s="603" t="s">
        <v>1703</v>
      </c>
      <c r="M101" s="603"/>
      <c r="N101" s="603" t="s">
        <v>1703</v>
      </c>
      <c r="O101" s="603" t="s">
        <v>1703</v>
      </c>
      <c r="P101" s="603"/>
      <c r="Q101" s="603"/>
      <c r="R101" s="797"/>
    </row>
    <row r="102" spans="1:18">
      <c r="A102" s="566" t="s">
        <v>1075</v>
      </c>
      <c r="B102" s="600">
        <v>2</v>
      </c>
      <c r="C102" s="604" t="s">
        <v>1075</v>
      </c>
      <c r="D102" s="600" t="s">
        <v>4</v>
      </c>
      <c r="E102" s="602">
        <v>68</v>
      </c>
      <c r="F102" s="600" t="s">
        <v>1229</v>
      </c>
      <c r="G102" s="600" t="s">
        <v>1231</v>
      </c>
      <c r="H102" s="600" t="s">
        <v>1136</v>
      </c>
      <c r="I102" s="641"/>
      <c r="J102" s="603" t="s">
        <v>1703</v>
      </c>
      <c r="K102" s="603"/>
      <c r="L102" s="603" t="s">
        <v>1703</v>
      </c>
      <c r="M102" s="603"/>
      <c r="N102" s="603" t="s">
        <v>1703</v>
      </c>
      <c r="O102" s="603" t="s">
        <v>1703</v>
      </c>
      <c r="P102" s="603"/>
      <c r="Q102" s="603"/>
      <c r="R102" s="797"/>
    </row>
    <row r="103" spans="1:18">
      <c r="A103" s="566" t="s">
        <v>1076</v>
      </c>
      <c r="B103" s="600">
        <v>3</v>
      </c>
      <c r="C103" s="604" t="s">
        <v>1076</v>
      </c>
      <c r="D103" s="600" t="s">
        <v>4</v>
      </c>
      <c r="E103" s="602">
        <v>40</v>
      </c>
      <c r="F103" s="600" t="s">
        <v>1229</v>
      </c>
      <c r="G103" s="600" t="s">
        <v>1232</v>
      </c>
      <c r="H103" s="600" t="s">
        <v>1136</v>
      </c>
      <c r="I103" s="641"/>
      <c r="J103" s="603" t="s">
        <v>1703</v>
      </c>
      <c r="K103" s="603"/>
      <c r="L103" s="603" t="s">
        <v>1703</v>
      </c>
      <c r="M103" s="603"/>
      <c r="N103" s="603" t="s">
        <v>1703</v>
      </c>
      <c r="O103" s="603" t="s">
        <v>1703</v>
      </c>
      <c r="P103" s="603"/>
      <c r="Q103" s="603"/>
      <c r="R103" s="797"/>
    </row>
    <row r="104" spans="1:18">
      <c r="B104" s="600">
        <v>4</v>
      </c>
      <c r="C104" s="604" t="s">
        <v>1680</v>
      </c>
      <c r="D104" s="600" t="s">
        <v>4</v>
      </c>
      <c r="E104" s="602">
        <v>40</v>
      </c>
      <c r="F104" s="600" t="s">
        <v>1681</v>
      </c>
      <c r="G104" s="600" t="s">
        <v>1682</v>
      </c>
      <c r="H104" s="600" t="s">
        <v>1136</v>
      </c>
      <c r="I104" s="641"/>
      <c r="J104" s="603"/>
      <c r="K104" s="603"/>
      <c r="L104" s="603"/>
      <c r="M104" s="603"/>
      <c r="N104" s="603" t="s">
        <v>1703</v>
      </c>
      <c r="O104" s="603"/>
      <c r="P104" s="603"/>
      <c r="Q104" s="603"/>
      <c r="R104" s="797"/>
    </row>
    <row r="105" spans="1:18" s="586" customFormat="1">
      <c r="A105" s="661"/>
      <c r="B105" s="597"/>
      <c r="C105" s="598" t="s">
        <v>1285</v>
      </c>
      <c r="D105" s="597"/>
      <c r="E105" s="599"/>
      <c r="F105" s="597"/>
      <c r="G105" s="597"/>
      <c r="H105" s="597"/>
      <c r="I105" s="639"/>
      <c r="J105" s="794"/>
      <c r="K105" s="795"/>
      <c r="L105" s="795"/>
      <c r="M105" s="795"/>
      <c r="N105" s="795"/>
      <c r="O105" s="795"/>
      <c r="P105" s="795"/>
      <c r="Q105" s="795"/>
      <c r="R105" s="796"/>
    </row>
    <row r="106" spans="1:18" ht="38.25">
      <c r="A106" s="566" t="s">
        <v>1741</v>
      </c>
      <c r="B106" s="600">
        <v>1</v>
      </c>
      <c r="C106" s="604" t="s">
        <v>1233</v>
      </c>
      <c r="D106" s="600" t="s">
        <v>367</v>
      </c>
      <c r="E106" s="609">
        <f>16</f>
        <v>16</v>
      </c>
      <c r="F106" s="600" t="s">
        <v>621</v>
      </c>
      <c r="G106" s="600" t="s">
        <v>1234</v>
      </c>
      <c r="H106" s="600"/>
      <c r="I106" s="641"/>
      <c r="J106" s="603" t="s">
        <v>1703</v>
      </c>
      <c r="K106" s="603"/>
      <c r="L106" s="603" t="s">
        <v>1703</v>
      </c>
      <c r="M106" s="603"/>
      <c r="N106" s="603" t="s">
        <v>1703</v>
      </c>
      <c r="O106" s="603" t="s">
        <v>1703</v>
      </c>
      <c r="P106" s="603"/>
      <c r="Q106" s="603"/>
      <c r="R106" s="797"/>
    </row>
    <row r="107" spans="1:18" ht="38.25">
      <c r="A107" s="566" t="s">
        <v>1740</v>
      </c>
      <c r="B107" s="600">
        <v>2</v>
      </c>
      <c r="C107" s="604" t="s">
        <v>1233</v>
      </c>
      <c r="D107" s="600" t="s">
        <v>367</v>
      </c>
      <c r="E107" s="609">
        <f>12</f>
        <v>12</v>
      </c>
      <c r="F107" s="600" t="s">
        <v>621</v>
      </c>
      <c r="G107" s="600" t="s">
        <v>1235</v>
      </c>
      <c r="H107" s="600"/>
      <c r="I107" s="641"/>
      <c r="J107" s="603" t="s">
        <v>1703</v>
      </c>
      <c r="K107" s="603"/>
      <c r="L107" s="603" t="s">
        <v>1703</v>
      </c>
      <c r="M107" s="603"/>
      <c r="N107" s="603" t="s">
        <v>1703</v>
      </c>
      <c r="O107" s="603" t="s">
        <v>1703</v>
      </c>
      <c r="P107" s="603"/>
      <c r="Q107" s="603"/>
      <c r="R107" s="797"/>
    </row>
    <row r="108" spans="1:18">
      <c r="B108" s="600">
        <v>3</v>
      </c>
      <c r="C108" s="604" t="s">
        <v>1236</v>
      </c>
      <c r="D108" s="600" t="s">
        <v>303</v>
      </c>
      <c r="E108" s="602">
        <v>36</v>
      </c>
      <c r="F108" s="600" t="s">
        <v>1739</v>
      </c>
      <c r="G108" s="600" t="s">
        <v>1237</v>
      </c>
      <c r="H108" s="600"/>
      <c r="I108" s="641"/>
      <c r="J108" s="603" t="s">
        <v>1703</v>
      </c>
      <c r="K108" s="603"/>
      <c r="L108" s="603" t="s">
        <v>1703</v>
      </c>
      <c r="M108" s="603"/>
      <c r="N108" s="603" t="s">
        <v>1703</v>
      </c>
      <c r="O108" s="603" t="s">
        <v>1703</v>
      </c>
      <c r="P108" s="603"/>
      <c r="Q108" s="603"/>
      <c r="R108" s="797"/>
    </row>
    <row r="109" spans="1:18">
      <c r="B109" s="600">
        <v>4</v>
      </c>
      <c r="C109" s="604" t="s">
        <v>1238</v>
      </c>
      <c r="D109" s="600" t="s">
        <v>303</v>
      </c>
      <c r="E109" s="602">
        <v>36</v>
      </c>
      <c r="F109" s="600" t="s">
        <v>1739</v>
      </c>
      <c r="G109" s="600" t="s">
        <v>1237</v>
      </c>
      <c r="H109" s="600"/>
      <c r="I109" s="641"/>
      <c r="J109" s="603" t="s">
        <v>1703</v>
      </c>
      <c r="K109" s="603"/>
      <c r="L109" s="603" t="s">
        <v>1703</v>
      </c>
      <c r="M109" s="603"/>
      <c r="N109" s="603" t="s">
        <v>1703</v>
      </c>
      <c r="O109" s="603" t="s">
        <v>1703</v>
      </c>
      <c r="P109" s="603"/>
      <c r="Q109" s="603"/>
      <c r="R109" s="797"/>
    </row>
    <row r="110" spans="1:18">
      <c r="B110" s="600">
        <v>5</v>
      </c>
      <c r="C110" s="604" t="s">
        <v>1239</v>
      </c>
      <c r="D110" s="600" t="s">
        <v>303</v>
      </c>
      <c r="E110" s="602">
        <v>3.3</v>
      </c>
      <c r="F110" s="600" t="s">
        <v>1739</v>
      </c>
      <c r="G110" s="600" t="s">
        <v>1240</v>
      </c>
      <c r="H110" s="600"/>
      <c r="I110" s="641"/>
      <c r="J110" s="603" t="s">
        <v>1703</v>
      </c>
      <c r="K110" s="603"/>
      <c r="L110" s="603" t="s">
        <v>1703</v>
      </c>
      <c r="M110" s="603"/>
      <c r="N110" s="603" t="s">
        <v>1703</v>
      </c>
      <c r="O110" s="603" t="s">
        <v>1703</v>
      </c>
      <c r="P110" s="603"/>
      <c r="Q110" s="603"/>
      <c r="R110" s="797"/>
    </row>
    <row r="111" spans="1:18">
      <c r="B111" s="600">
        <v>6</v>
      </c>
      <c r="C111" s="604" t="s">
        <v>1241</v>
      </c>
      <c r="D111" s="600" t="s">
        <v>3</v>
      </c>
      <c r="E111" s="602">
        <v>48</v>
      </c>
      <c r="F111" s="600" t="s">
        <v>1739</v>
      </c>
      <c r="G111" s="600"/>
      <c r="H111" s="600"/>
      <c r="I111" s="641"/>
      <c r="J111" s="603" t="s">
        <v>1703</v>
      </c>
      <c r="K111" s="603"/>
      <c r="L111" s="603" t="s">
        <v>1703</v>
      </c>
      <c r="M111" s="603"/>
      <c r="N111" s="603" t="s">
        <v>1703</v>
      </c>
      <c r="O111" s="603" t="s">
        <v>1703</v>
      </c>
      <c r="P111" s="603"/>
      <c r="Q111" s="603"/>
      <c r="R111" s="797"/>
    </row>
    <row r="112" spans="1:18">
      <c r="B112" s="600">
        <v>7</v>
      </c>
      <c r="C112" s="604" t="s">
        <v>1242</v>
      </c>
      <c r="D112" s="600" t="s">
        <v>3</v>
      </c>
      <c r="E112" s="602">
        <v>6</v>
      </c>
      <c r="F112" s="600" t="s">
        <v>1739</v>
      </c>
      <c r="G112" s="600"/>
      <c r="H112" s="600"/>
      <c r="I112" s="641"/>
      <c r="J112" s="603" t="s">
        <v>1703</v>
      </c>
      <c r="K112" s="603"/>
      <c r="L112" s="603" t="s">
        <v>1703</v>
      </c>
      <c r="M112" s="603"/>
      <c r="N112" s="603" t="s">
        <v>1703</v>
      </c>
      <c r="O112" s="603" t="s">
        <v>1703</v>
      </c>
      <c r="P112" s="603"/>
      <c r="Q112" s="603"/>
      <c r="R112" s="797"/>
    </row>
    <row r="113" spans="1:18">
      <c r="B113" s="600">
        <v>8</v>
      </c>
      <c r="C113" s="604" t="s">
        <v>1243</v>
      </c>
      <c r="D113" s="600" t="s">
        <v>3</v>
      </c>
      <c r="E113" s="602">
        <v>54</v>
      </c>
      <c r="F113" s="600" t="s">
        <v>1739</v>
      </c>
      <c r="G113" s="600"/>
      <c r="H113" s="600"/>
      <c r="I113" s="641"/>
      <c r="J113" s="603" t="s">
        <v>1703</v>
      </c>
      <c r="K113" s="603"/>
      <c r="L113" s="603" t="s">
        <v>1703</v>
      </c>
      <c r="M113" s="603"/>
      <c r="N113" s="603" t="s">
        <v>1703</v>
      </c>
      <c r="O113" s="603" t="s">
        <v>1703</v>
      </c>
      <c r="P113" s="603"/>
      <c r="Q113" s="603"/>
      <c r="R113" s="797"/>
    </row>
    <row r="114" spans="1:18">
      <c r="B114" s="600">
        <v>9</v>
      </c>
      <c r="C114" s="604" t="s">
        <v>1244</v>
      </c>
      <c r="D114" s="600" t="s">
        <v>3</v>
      </c>
      <c r="E114" s="602">
        <v>18</v>
      </c>
      <c r="F114" s="600" t="s">
        <v>1739</v>
      </c>
      <c r="G114" s="600"/>
      <c r="H114" s="600"/>
      <c r="I114" s="641"/>
      <c r="J114" s="603" t="s">
        <v>1703</v>
      </c>
      <c r="K114" s="603"/>
      <c r="L114" s="603" t="s">
        <v>1703</v>
      </c>
      <c r="M114" s="603"/>
      <c r="N114" s="603" t="s">
        <v>1703</v>
      </c>
      <c r="O114" s="603" t="s">
        <v>1703</v>
      </c>
      <c r="P114" s="603"/>
      <c r="Q114" s="603"/>
      <c r="R114" s="797"/>
    </row>
    <row r="115" spans="1:18">
      <c r="B115" s="600">
        <v>10</v>
      </c>
      <c r="C115" s="604" t="s">
        <v>1245</v>
      </c>
      <c r="D115" s="600" t="s">
        <v>3</v>
      </c>
      <c r="E115" s="602">
        <v>18</v>
      </c>
      <c r="F115" s="600" t="s">
        <v>1739</v>
      </c>
      <c r="G115" s="600"/>
      <c r="H115" s="600"/>
      <c r="I115" s="641"/>
      <c r="J115" s="603" t="s">
        <v>1703</v>
      </c>
      <c r="K115" s="603"/>
      <c r="L115" s="603" t="s">
        <v>1703</v>
      </c>
      <c r="M115" s="603"/>
      <c r="N115" s="603" t="s">
        <v>1703</v>
      </c>
      <c r="O115" s="603" t="s">
        <v>1703</v>
      </c>
      <c r="P115" s="603"/>
      <c r="Q115" s="603"/>
      <c r="R115" s="797"/>
    </row>
    <row r="116" spans="1:18">
      <c r="B116" s="600">
        <v>11</v>
      </c>
      <c r="C116" s="604" t="s">
        <v>1246</v>
      </c>
      <c r="D116" s="600" t="s">
        <v>3</v>
      </c>
      <c r="E116" s="602">
        <v>18</v>
      </c>
      <c r="F116" s="600" t="s">
        <v>1739</v>
      </c>
      <c r="G116" s="600"/>
      <c r="H116" s="600"/>
      <c r="I116" s="641"/>
      <c r="J116" s="603" t="s">
        <v>1703</v>
      </c>
      <c r="K116" s="603"/>
      <c r="L116" s="603" t="s">
        <v>1703</v>
      </c>
      <c r="M116" s="603"/>
      <c r="N116" s="603" t="s">
        <v>1703</v>
      </c>
      <c r="O116" s="603" t="s">
        <v>1703</v>
      </c>
      <c r="P116" s="603"/>
      <c r="Q116" s="603"/>
      <c r="R116" s="797"/>
    </row>
    <row r="117" spans="1:18">
      <c r="B117" s="600">
        <v>12</v>
      </c>
      <c r="C117" s="604" t="s">
        <v>1247</v>
      </c>
      <c r="D117" s="600" t="s">
        <v>3</v>
      </c>
      <c r="E117" s="602">
        <v>24</v>
      </c>
      <c r="F117" s="600" t="s">
        <v>1739</v>
      </c>
      <c r="G117" s="600"/>
      <c r="H117" s="600"/>
      <c r="I117" s="641"/>
      <c r="J117" s="603" t="s">
        <v>1703</v>
      </c>
      <c r="K117" s="603"/>
      <c r="L117" s="603" t="s">
        <v>1703</v>
      </c>
      <c r="M117" s="603"/>
      <c r="N117" s="603" t="s">
        <v>1703</v>
      </c>
      <c r="O117" s="603" t="s">
        <v>1703</v>
      </c>
      <c r="P117" s="603"/>
      <c r="Q117" s="603"/>
      <c r="R117" s="797"/>
    </row>
    <row r="118" spans="1:18" s="586" customFormat="1">
      <c r="A118" s="661"/>
      <c r="B118" s="597"/>
      <c r="C118" s="598" t="s">
        <v>1286</v>
      </c>
      <c r="D118" s="597"/>
      <c r="E118" s="599"/>
      <c r="F118" s="597"/>
      <c r="G118" s="597"/>
      <c r="H118" s="597"/>
      <c r="I118" s="639"/>
      <c r="J118" s="794"/>
      <c r="K118" s="795"/>
      <c r="L118" s="795"/>
      <c r="M118" s="795"/>
      <c r="N118" s="795"/>
      <c r="O118" s="795"/>
      <c r="P118" s="795"/>
      <c r="Q118" s="795"/>
      <c r="R118" s="796"/>
    </row>
    <row r="119" spans="1:18" ht="38.25">
      <c r="A119" s="566" t="s">
        <v>1633</v>
      </c>
      <c r="B119" s="600">
        <v>1</v>
      </c>
      <c r="C119" s="604" t="s">
        <v>1248</v>
      </c>
      <c r="D119" s="600" t="s">
        <v>367</v>
      </c>
      <c r="E119" s="602">
        <v>6</v>
      </c>
      <c r="F119" s="600" t="s">
        <v>1249</v>
      </c>
      <c r="G119" s="612" t="s">
        <v>1250</v>
      </c>
      <c r="H119" s="600" t="s">
        <v>1136</v>
      </c>
      <c r="I119" s="641"/>
      <c r="J119" s="603" t="s">
        <v>1703</v>
      </c>
      <c r="K119" s="603"/>
      <c r="L119" s="603" t="s">
        <v>1703</v>
      </c>
      <c r="M119" s="603"/>
      <c r="N119" s="603" t="s">
        <v>1703</v>
      </c>
      <c r="O119" s="603" t="s">
        <v>1703</v>
      </c>
      <c r="P119" s="603"/>
      <c r="Q119" s="603"/>
      <c r="R119" s="797"/>
    </row>
    <row r="120" spans="1:18" ht="51">
      <c r="A120" s="566" t="s">
        <v>1002</v>
      </c>
      <c r="B120" s="600">
        <v>2</v>
      </c>
      <c r="C120" s="604" t="s">
        <v>1251</v>
      </c>
      <c r="D120" s="600" t="s">
        <v>1</v>
      </c>
      <c r="E120" s="608">
        <v>20</v>
      </c>
      <c r="F120" s="600"/>
      <c r="G120" s="612"/>
      <c r="H120" s="600"/>
      <c r="I120" s="641"/>
      <c r="J120" s="603" t="s">
        <v>1703</v>
      </c>
      <c r="K120" s="603"/>
      <c r="L120" s="603" t="s">
        <v>1703</v>
      </c>
      <c r="M120" s="603"/>
      <c r="N120" s="603" t="s">
        <v>1703</v>
      </c>
      <c r="O120" s="603" t="s">
        <v>1703</v>
      </c>
      <c r="P120" s="603"/>
      <c r="Q120" s="603"/>
      <c r="R120" s="797"/>
    </row>
    <row r="121" spans="1:18">
      <c r="A121" s="566" t="s">
        <v>1003</v>
      </c>
      <c r="B121" s="600">
        <v>3</v>
      </c>
      <c r="C121" s="604" t="s">
        <v>1252</v>
      </c>
      <c r="D121" s="600" t="s">
        <v>1</v>
      </c>
      <c r="E121" s="602">
        <v>32</v>
      </c>
      <c r="F121" s="600" t="s">
        <v>159</v>
      </c>
      <c r="G121" s="612"/>
      <c r="H121" s="600" t="s">
        <v>1136</v>
      </c>
      <c r="I121" s="641"/>
      <c r="J121" s="603" t="s">
        <v>1703</v>
      </c>
      <c r="K121" s="603"/>
      <c r="L121" s="603" t="s">
        <v>1703</v>
      </c>
      <c r="M121" s="603"/>
      <c r="N121" s="603" t="s">
        <v>1703</v>
      </c>
      <c r="O121" s="603"/>
      <c r="P121" s="603"/>
      <c r="Q121" s="603"/>
      <c r="R121" s="797"/>
    </row>
    <row r="122" spans="1:18" ht="25.5">
      <c r="A122" s="566" t="s">
        <v>1004</v>
      </c>
      <c r="B122" s="600">
        <v>4</v>
      </c>
      <c r="C122" s="604" t="s">
        <v>1253</v>
      </c>
      <c r="D122" s="600" t="s">
        <v>4</v>
      </c>
      <c r="E122" s="602">
        <v>1</v>
      </c>
      <c r="F122" s="603"/>
      <c r="G122" s="612" t="s">
        <v>1254</v>
      </c>
      <c r="H122" s="600"/>
      <c r="I122" s="641"/>
      <c r="J122" s="603"/>
      <c r="K122" s="603" t="s">
        <v>1703</v>
      </c>
      <c r="L122" s="603"/>
      <c r="M122" s="603" t="s">
        <v>1703</v>
      </c>
      <c r="N122" s="603" t="s">
        <v>1703</v>
      </c>
      <c r="O122" s="603"/>
      <c r="P122" s="603"/>
      <c r="Q122" s="603"/>
      <c r="R122" s="797"/>
    </row>
    <row r="123" spans="1:18" ht="38.25">
      <c r="A123" s="566" t="s">
        <v>1005</v>
      </c>
      <c r="B123" s="600">
        <v>5</v>
      </c>
      <c r="C123" s="604" t="s">
        <v>1255</v>
      </c>
      <c r="D123" s="600" t="s">
        <v>4</v>
      </c>
      <c r="E123" s="602">
        <v>1</v>
      </c>
      <c r="F123" s="603"/>
      <c r="G123" s="612" t="s">
        <v>1256</v>
      </c>
      <c r="H123" s="600"/>
      <c r="I123" s="641"/>
      <c r="J123" s="603"/>
      <c r="K123" s="603" t="s">
        <v>1703</v>
      </c>
      <c r="L123" s="603"/>
      <c r="M123" s="603"/>
      <c r="N123" s="603" t="s">
        <v>1703</v>
      </c>
      <c r="O123" s="603"/>
      <c r="P123" s="603"/>
      <c r="Q123" s="603"/>
      <c r="R123" s="797"/>
    </row>
    <row r="124" spans="1:18" ht="38.25">
      <c r="A124" s="566" t="s">
        <v>1742</v>
      </c>
      <c r="B124" s="600">
        <v>6</v>
      </c>
      <c r="C124" s="604" t="s">
        <v>1257</v>
      </c>
      <c r="D124" s="600" t="s">
        <v>4</v>
      </c>
      <c r="E124" s="602">
        <v>1</v>
      </c>
      <c r="F124" s="603"/>
      <c r="G124" s="612" t="s">
        <v>1258</v>
      </c>
      <c r="H124" s="600"/>
      <c r="I124" s="641"/>
      <c r="J124" s="603" t="s">
        <v>1703</v>
      </c>
      <c r="K124" s="603"/>
      <c r="L124" s="603" t="s">
        <v>1703</v>
      </c>
      <c r="M124" s="603"/>
      <c r="N124" s="603" t="s">
        <v>1703</v>
      </c>
      <c r="O124" s="603"/>
      <c r="P124" s="603"/>
      <c r="Q124" s="603"/>
      <c r="R124" s="797"/>
    </row>
    <row r="125" spans="1:18" s="586" customFormat="1">
      <c r="A125" s="661"/>
      <c r="B125" s="597"/>
      <c r="C125" s="598" t="s">
        <v>1287</v>
      </c>
      <c r="D125" s="597"/>
      <c r="E125" s="599"/>
      <c r="F125" s="597"/>
      <c r="G125" s="597"/>
      <c r="H125" s="597"/>
      <c r="I125" s="639"/>
      <c r="J125" s="794"/>
      <c r="K125" s="795"/>
      <c r="L125" s="795"/>
      <c r="M125" s="795"/>
      <c r="N125" s="795"/>
      <c r="O125" s="795"/>
      <c r="P125" s="795"/>
      <c r="Q125" s="795"/>
      <c r="R125" s="796"/>
    </row>
    <row r="126" spans="1:18" ht="51">
      <c r="A126" s="566" t="s">
        <v>1000</v>
      </c>
      <c r="B126" s="600">
        <v>1</v>
      </c>
      <c r="C126" s="611" t="s">
        <v>1694</v>
      </c>
      <c r="D126" s="600" t="s">
        <v>1</v>
      </c>
      <c r="E126" s="609">
        <v>13.914999999999999</v>
      </c>
      <c r="F126" s="600" t="s">
        <v>1695</v>
      </c>
      <c r="G126" s="600" t="s">
        <v>1696</v>
      </c>
      <c r="H126" s="600" t="s">
        <v>1129</v>
      </c>
      <c r="I126" s="641"/>
      <c r="J126" s="603" t="s">
        <v>1703</v>
      </c>
      <c r="K126" s="603"/>
      <c r="L126" s="603" t="s">
        <v>1703</v>
      </c>
      <c r="M126" s="603"/>
      <c r="N126" s="603" t="s">
        <v>1703</v>
      </c>
      <c r="O126" s="603" t="s">
        <v>1703</v>
      </c>
      <c r="P126" s="603"/>
      <c r="Q126" s="603"/>
      <c r="R126" s="797"/>
    </row>
    <row r="127" spans="1:18" ht="25.5">
      <c r="A127" s="566" t="s">
        <v>1001</v>
      </c>
      <c r="B127" s="600">
        <v>2</v>
      </c>
      <c r="C127" s="604" t="s">
        <v>1259</v>
      </c>
      <c r="D127" s="600" t="s">
        <v>4</v>
      </c>
      <c r="E127" s="680">
        <v>1</v>
      </c>
      <c r="F127" s="600" t="s">
        <v>1260</v>
      </c>
      <c r="G127" s="600" t="s">
        <v>1261</v>
      </c>
      <c r="H127" s="600" t="s">
        <v>1262</v>
      </c>
      <c r="I127" s="641"/>
      <c r="J127" s="603" t="s">
        <v>1703</v>
      </c>
      <c r="K127" s="603"/>
      <c r="L127" s="603" t="s">
        <v>1703</v>
      </c>
      <c r="M127" s="603"/>
      <c r="N127" s="603" t="s">
        <v>1703</v>
      </c>
      <c r="O127" s="603" t="s">
        <v>1703</v>
      </c>
      <c r="P127" s="603"/>
      <c r="Q127" s="603"/>
      <c r="R127" s="797"/>
    </row>
    <row r="128" spans="1:18" ht="25.5">
      <c r="A128" s="716" t="s">
        <v>1744</v>
      </c>
      <c r="B128" s="600">
        <v>3</v>
      </c>
      <c r="C128" s="604" t="s">
        <v>1683</v>
      </c>
      <c r="D128" s="600" t="s">
        <v>4</v>
      </c>
      <c r="E128" s="680">
        <v>14</v>
      </c>
      <c r="F128" s="600"/>
      <c r="G128" s="600"/>
      <c r="H128" s="600" t="s">
        <v>62</v>
      </c>
      <c r="I128" s="641"/>
      <c r="J128" s="603"/>
      <c r="K128" s="603"/>
      <c r="L128" s="603"/>
      <c r="M128" s="603"/>
      <c r="N128" s="603" t="s">
        <v>1703</v>
      </c>
      <c r="O128" s="603" t="s">
        <v>1703</v>
      </c>
      <c r="P128" s="603"/>
      <c r="Q128" s="603"/>
      <c r="R128" s="797"/>
    </row>
    <row r="129" spans="1:18">
      <c r="A129" s="716" t="s">
        <v>1106</v>
      </c>
      <c r="B129" s="600">
        <v>4</v>
      </c>
      <c r="C129" s="679" t="s">
        <v>1684</v>
      </c>
      <c r="D129" s="600" t="s">
        <v>1</v>
      </c>
      <c r="E129" s="680">
        <v>3</v>
      </c>
      <c r="F129" s="600"/>
      <c r="G129" s="600"/>
      <c r="H129" s="600" t="s">
        <v>62</v>
      </c>
      <c r="I129" s="641"/>
      <c r="J129" s="603"/>
      <c r="K129" s="603"/>
      <c r="L129" s="603"/>
      <c r="M129" s="603"/>
      <c r="N129" s="603" t="s">
        <v>1703</v>
      </c>
      <c r="O129" s="603" t="s">
        <v>1703</v>
      </c>
      <c r="P129" s="603"/>
      <c r="Q129" s="603"/>
      <c r="R129" s="797"/>
    </row>
    <row r="130" spans="1:18" s="586" customFormat="1">
      <c r="A130" s="661"/>
      <c r="B130" s="597"/>
      <c r="C130" s="598" t="s">
        <v>1288</v>
      </c>
      <c r="D130" s="597"/>
      <c r="E130" s="599"/>
      <c r="F130" s="597"/>
      <c r="G130" s="597"/>
      <c r="H130" s="597"/>
      <c r="I130" s="639"/>
      <c r="J130" s="794"/>
      <c r="K130" s="795"/>
      <c r="L130" s="795"/>
      <c r="M130" s="795"/>
      <c r="N130" s="795"/>
      <c r="O130" s="795"/>
      <c r="P130" s="795"/>
      <c r="Q130" s="795"/>
      <c r="R130" s="796"/>
    </row>
    <row r="131" spans="1:18" ht="25.5">
      <c r="A131" s="716" t="s">
        <v>1738</v>
      </c>
      <c r="B131" s="600">
        <v>1</v>
      </c>
      <c r="C131" s="601" t="s">
        <v>1697</v>
      </c>
      <c r="D131" s="600" t="s">
        <v>2</v>
      </c>
      <c r="E131" s="602">
        <v>42.7</v>
      </c>
      <c r="F131" s="603" t="s">
        <v>94</v>
      </c>
      <c r="G131" s="600"/>
      <c r="H131" s="603" t="s">
        <v>94</v>
      </c>
      <c r="I131" s="640"/>
      <c r="J131" s="603"/>
      <c r="K131" s="603"/>
      <c r="L131" s="603"/>
      <c r="M131" s="603"/>
      <c r="N131" s="603" t="s">
        <v>1703</v>
      </c>
      <c r="O131" s="603" t="s">
        <v>1703</v>
      </c>
      <c r="P131" s="603"/>
      <c r="Q131" s="603"/>
      <c r="R131" s="797"/>
    </row>
    <row r="132" spans="1:18" s="585" customFormat="1">
      <c r="A132" s="716"/>
      <c r="B132" s="613" t="s">
        <v>9</v>
      </c>
      <c r="C132" s="614" t="s">
        <v>616</v>
      </c>
      <c r="D132" s="613"/>
      <c r="E132" s="615"/>
      <c r="F132" s="613"/>
      <c r="G132" s="613"/>
      <c r="H132" s="613"/>
      <c r="I132" s="643"/>
      <c r="J132" s="799"/>
      <c r="K132" s="800"/>
      <c r="L132" s="800"/>
      <c r="M132" s="800"/>
      <c r="N132" s="800"/>
      <c r="O132" s="800"/>
      <c r="P132" s="800"/>
      <c r="Q132" s="800"/>
      <c r="R132" s="801"/>
    </row>
    <row r="133" spans="1:18" s="586" customFormat="1">
      <c r="A133" s="661"/>
      <c r="B133" s="597"/>
      <c r="C133" s="720" t="s">
        <v>1263</v>
      </c>
      <c r="D133" s="597"/>
      <c r="E133" s="599"/>
      <c r="F133" s="597"/>
      <c r="G133" s="597"/>
      <c r="H133" s="597"/>
      <c r="I133" s="639"/>
      <c r="J133" s="794"/>
      <c r="K133" s="795"/>
      <c r="L133" s="795"/>
      <c r="M133" s="795"/>
      <c r="N133" s="795"/>
      <c r="O133" s="795"/>
      <c r="P133" s="795"/>
      <c r="Q133" s="795"/>
      <c r="R133" s="796"/>
    </row>
    <row r="134" spans="1:18" s="663" customFormat="1" ht="25.5">
      <c r="A134" s="662" t="s">
        <v>18</v>
      </c>
      <c r="B134" s="571">
        <v>1</v>
      </c>
      <c r="C134" s="616" t="s">
        <v>1290</v>
      </c>
      <c r="D134" s="571" t="s">
        <v>303</v>
      </c>
      <c r="E134" s="617">
        <v>1380</v>
      </c>
      <c r="F134" s="571" t="s">
        <v>63</v>
      </c>
      <c r="G134" s="571"/>
      <c r="H134" s="571" t="s">
        <v>1136</v>
      </c>
      <c r="I134" s="644" t="s">
        <v>1291</v>
      </c>
      <c r="J134" s="571"/>
      <c r="K134" s="571"/>
      <c r="L134" s="571"/>
      <c r="M134" s="571"/>
      <c r="N134" s="603" t="s">
        <v>1703</v>
      </c>
      <c r="O134" s="603" t="s">
        <v>1704</v>
      </c>
      <c r="P134" s="571"/>
      <c r="Q134" s="571"/>
      <c r="R134" s="625"/>
    </row>
    <row r="135" spans="1:18" s="663" customFormat="1" ht="25.5">
      <c r="A135" s="662" t="s">
        <v>53</v>
      </c>
      <c r="B135" s="571">
        <v>2</v>
      </c>
      <c r="C135" s="616" t="s">
        <v>1292</v>
      </c>
      <c r="D135" s="571" t="s">
        <v>303</v>
      </c>
      <c r="E135" s="617">
        <v>340</v>
      </c>
      <c r="F135" s="571" t="s">
        <v>63</v>
      </c>
      <c r="G135" s="571"/>
      <c r="H135" s="571" t="s">
        <v>1136</v>
      </c>
      <c r="I135" s="644" t="s">
        <v>1291</v>
      </c>
      <c r="J135" s="571"/>
      <c r="K135" s="571"/>
      <c r="L135" s="571"/>
      <c r="M135" s="571"/>
      <c r="N135" s="603" t="s">
        <v>1703</v>
      </c>
      <c r="O135" s="603" t="s">
        <v>1704</v>
      </c>
      <c r="P135" s="571"/>
      <c r="Q135" s="571"/>
      <c r="R135" s="625"/>
    </row>
    <row r="136" spans="1:18" s="663" customFormat="1" ht="25.5">
      <c r="A136" s="662" t="s">
        <v>17</v>
      </c>
      <c r="B136" s="571">
        <v>3</v>
      </c>
      <c r="C136" s="616" t="s">
        <v>1293</v>
      </c>
      <c r="D136" s="711" t="s">
        <v>2</v>
      </c>
      <c r="E136" s="617">
        <v>750</v>
      </c>
      <c r="F136" s="571" t="s">
        <v>63</v>
      </c>
      <c r="G136" s="571"/>
      <c r="H136" s="571" t="s">
        <v>1136</v>
      </c>
      <c r="I136" s="644" t="s">
        <v>1291</v>
      </c>
      <c r="J136" s="571"/>
      <c r="K136" s="571"/>
      <c r="L136" s="571"/>
      <c r="M136" s="571"/>
      <c r="N136" s="603" t="s">
        <v>1703</v>
      </c>
      <c r="O136" s="603" t="s">
        <v>1704</v>
      </c>
      <c r="P136" s="571"/>
      <c r="Q136" s="571"/>
      <c r="R136" s="625"/>
    </row>
    <row r="137" spans="1:18" s="663" customFormat="1" ht="25.5">
      <c r="A137" s="662"/>
      <c r="B137" s="571">
        <v>4</v>
      </c>
      <c r="C137" s="616" t="s">
        <v>1294</v>
      </c>
      <c r="D137" s="571" t="s">
        <v>615</v>
      </c>
      <c r="E137" s="617">
        <v>250</v>
      </c>
      <c r="F137" s="571" t="s">
        <v>63</v>
      </c>
      <c r="G137" s="571"/>
      <c r="H137" s="571" t="s">
        <v>1136</v>
      </c>
      <c r="I137" s="644" t="s">
        <v>1291</v>
      </c>
      <c r="J137" s="571"/>
      <c r="K137" s="571"/>
      <c r="L137" s="571"/>
      <c r="M137" s="571"/>
      <c r="N137" s="603" t="s">
        <v>1703</v>
      </c>
      <c r="O137" s="603" t="s">
        <v>1704</v>
      </c>
      <c r="P137" s="571"/>
      <c r="Q137" s="571"/>
      <c r="R137" s="625"/>
    </row>
    <row r="138" spans="1:18" s="663" customFormat="1" ht="25.5">
      <c r="A138" s="662"/>
      <c r="B138" s="571">
        <v>5</v>
      </c>
      <c r="C138" s="616" t="s">
        <v>1295</v>
      </c>
      <c r="D138" s="571" t="s">
        <v>615</v>
      </c>
      <c r="E138" s="617">
        <v>50</v>
      </c>
      <c r="F138" s="571" t="s">
        <v>63</v>
      </c>
      <c r="G138" s="571"/>
      <c r="H138" s="571" t="s">
        <v>1136</v>
      </c>
      <c r="I138" s="644" t="s">
        <v>1291</v>
      </c>
      <c r="J138" s="571"/>
      <c r="K138" s="571"/>
      <c r="L138" s="571"/>
      <c r="M138" s="571"/>
      <c r="N138" s="603" t="s">
        <v>1703</v>
      </c>
      <c r="O138" s="603" t="s">
        <v>1704</v>
      </c>
      <c r="P138" s="571"/>
      <c r="Q138" s="571"/>
      <c r="R138" s="625"/>
    </row>
    <row r="139" spans="1:18" s="663" customFormat="1">
      <c r="A139" s="662"/>
      <c r="B139" s="571">
        <v>6</v>
      </c>
      <c r="C139" s="618" t="s">
        <v>1296</v>
      </c>
      <c r="D139" s="571" t="s">
        <v>615</v>
      </c>
      <c r="E139" s="617">
        <v>1200</v>
      </c>
      <c r="F139" s="571" t="s">
        <v>63</v>
      </c>
      <c r="G139" s="571"/>
      <c r="H139" s="571" t="s">
        <v>1136</v>
      </c>
      <c r="I139" s="644" t="s">
        <v>1291</v>
      </c>
      <c r="J139" s="571"/>
      <c r="K139" s="571"/>
      <c r="L139" s="571"/>
      <c r="M139" s="571"/>
      <c r="N139" s="603" t="s">
        <v>1703</v>
      </c>
      <c r="O139" s="603" t="s">
        <v>1704</v>
      </c>
      <c r="P139" s="571"/>
      <c r="Q139" s="571"/>
      <c r="R139" s="625"/>
    </row>
    <row r="140" spans="1:18" s="663" customFormat="1">
      <c r="A140" s="662"/>
      <c r="B140" s="571">
        <v>7</v>
      </c>
      <c r="C140" s="618" t="s">
        <v>1297</v>
      </c>
      <c r="D140" s="571" t="s">
        <v>615</v>
      </c>
      <c r="E140" s="617">
        <v>1000</v>
      </c>
      <c r="F140" s="571" t="s">
        <v>63</v>
      </c>
      <c r="G140" s="571"/>
      <c r="H140" s="571" t="s">
        <v>1136</v>
      </c>
      <c r="I140" s="644" t="s">
        <v>1291</v>
      </c>
      <c r="J140" s="571"/>
      <c r="K140" s="571"/>
      <c r="L140" s="571"/>
      <c r="M140" s="571"/>
      <c r="N140" s="603" t="s">
        <v>1703</v>
      </c>
      <c r="O140" s="603" t="s">
        <v>1704</v>
      </c>
      <c r="P140" s="571"/>
      <c r="Q140" s="571"/>
      <c r="R140" s="625"/>
    </row>
    <row r="141" spans="1:18" s="663" customFormat="1" ht="38.25">
      <c r="A141" s="662"/>
      <c r="B141" s="571">
        <v>8</v>
      </c>
      <c r="C141" s="618" t="s">
        <v>1298</v>
      </c>
      <c r="D141" s="571" t="s">
        <v>615</v>
      </c>
      <c r="E141" s="617">
        <v>45</v>
      </c>
      <c r="F141" s="571" t="s">
        <v>63</v>
      </c>
      <c r="G141" s="571"/>
      <c r="H141" s="571" t="s">
        <v>1136</v>
      </c>
      <c r="I141" s="644" t="s">
        <v>1291</v>
      </c>
      <c r="J141" s="571"/>
      <c r="K141" s="571"/>
      <c r="L141" s="571"/>
      <c r="M141" s="571"/>
      <c r="N141" s="603" t="s">
        <v>1703</v>
      </c>
      <c r="O141" s="603" t="s">
        <v>1704</v>
      </c>
      <c r="P141" s="571"/>
      <c r="Q141" s="571"/>
      <c r="R141" s="625"/>
    </row>
    <row r="142" spans="1:18" s="663" customFormat="1">
      <c r="A142" s="662"/>
      <c r="B142" s="571">
        <v>9</v>
      </c>
      <c r="C142" s="616" t="s">
        <v>1299</v>
      </c>
      <c r="D142" s="571" t="s">
        <v>615</v>
      </c>
      <c r="E142" s="617">
        <v>400</v>
      </c>
      <c r="F142" s="571" t="s">
        <v>63</v>
      </c>
      <c r="G142" s="571"/>
      <c r="H142" s="571" t="s">
        <v>1136</v>
      </c>
      <c r="I142" s="644" t="s">
        <v>1291</v>
      </c>
      <c r="J142" s="571"/>
      <c r="K142" s="571"/>
      <c r="L142" s="571"/>
      <c r="M142" s="571"/>
      <c r="N142" s="603" t="s">
        <v>1703</v>
      </c>
      <c r="O142" s="603" t="s">
        <v>1704</v>
      </c>
      <c r="P142" s="571"/>
      <c r="Q142" s="571"/>
      <c r="R142" s="625"/>
    </row>
    <row r="143" spans="1:18" s="663" customFormat="1">
      <c r="A143" s="662"/>
      <c r="B143" s="571">
        <v>10</v>
      </c>
      <c r="C143" s="616" t="s">
        <v>1300</v>
      </c>
      <c r="D143" s="571" t="s">
        <v>615</v>
      </c>
      <c r="E143" s="617">
        <v>600</v>
      </c>
      <c r="F143" s="571" t="s">
        <v>63</v>
      </c>
      <c r="G143" s="571"/>
      <c r="H143" s="571" t="s">
        <v>1136</v>
      </c>
      <c r="I143" s="644" t="s">
        <v>1291</v>
      </c>
      <c r="J143" s="571"/>
      <c r="K143" s="571"/>
      <c r="L143" s="571"/>
      <c r="M143" s="571"/>
      <c r="N143" s="603" t="s">
        <v>1703</v>
      </c>
      <c r="O143" s="603" t="s">
        <v>1704</v>
      </c>
      <c r="P143" s="571"/>
      <c r="Q143" s="571"/>
      <c r="R143" s="625"/>
    </row>
    <row r="144" spans="1:18" s="663" customFormat="1">
      <c r="A144" s="662"/>
      <c r="B144" s="571">
        <v>11</v>
      </c>
      <c r="C144" s="616" t="s">
        <v>1301</v>
      </c>
      <c r="D144" s="571" t="s">
        <v>615</v>
      </c>
      <c r="E144" s="617">
        <v>500</v>
      </c>
      <c r="F144" s="571" t="s">
        <v>63</v>
      </c>
      <c r="G144" s="571"/>
      <c r="H144" s="571" t="s">
        <v>1136</v>
      </c>
      <c r="I144" s="644" t="s">
        <v>1291</v>
      </c>
      <c r="J144" s="571"/>
      <c r="K144" s="571"/>
      <c r="L144" s="571"/>
      <c r="M144" s="571"/>
      <c r="N144" s="603" t="s">
        <v>1703</v>
      </c>
      <c r="O144" s="571" t="s">
        <v>1703</v>
      </c>
      <c r="P144" s="571"/>
      <c r="Q144" s="571"/>
      <c r="R144" s="625"/>
    </row>
    <row r="145" spans="1:18" s="663" customFormat="1">
      <c r="A145" s="662"/>
      <c r="B145" s="571">
        <v>12</v>
      </c>
      <c r="C145" s="616" t="s">
        <v>1302</v>
      </c>
      <c r="D145" s="571" t="s">
        <v>615</v>
      </c>
      <c r="E145" s="617">
        <v>20</v>
      </c>
      <c r="F145" s="571" t="s">
        <v>63</v>
      </c>
      <c r="G145" s="571"/>
      <c r="H145" s="571" t="s">
        <v>1136</v>
      </c>
      <c r="I145" s="644" t="s">
        <v>1291</v>
      </c>
      <c r="J145" s="571"/>
      <c r="K145" s="571"/>
      <c r="L145" s="571"/>
      <c r="M145" s="571"/>
      <c r="N145" s="603" t="s">
        <v>1703</v>
      </c>
      <c r="O145" s="571" t="s">
        <v>1703</v>
      </c>
      <c r="P145" s="571"/>
      <c r="Q145" s="571"/>
      <c r="R145" s="625"/>
    </row>
    <row r="146" spans="1:18" s="663" customFormat="1">
      <c r="A146" s="662"/>
      <c r="B146" s="571">
        <v>13</v>
      </c>
      <c r="C146" s="616" t="s">
        <v>1303</v>
      </c>
      <c r="D146" s="571" t="s">
        <v>615</v>
      </c>
      <c r="E146" s="617">
        <v>200</v>
      </c>
      <c r="F146" s="571" t="s">
        <v>63</v>
      </c>
      <c r="G146" s="571"/>
      <c r="H146" s="571" t="s">
        <v>1136</v>
      </c>
      <c r="I146" s="644" t="s">
        <v>1291</v>
      </c>
      <c r="J146" s="571"/>
      <c r="K146" s="571"/>
      <c r="L146" s="571"/>
      <c r="M146" s="571"/>
      <c r="N146" s="603" t="s">
        <v>1703</v>
      </c>
      <c r="O146" s="571" t="s">
        <v>1703</v>
      </c>
      <c r="P146" s="571"/>
      <c r="Q146" s="571"/>
      <c r="R146" s="625"/>
    </row>
    <row r="147" spans="1:18" s="663" customFormat="1">
      <c r="A147" s="662"/>
      <c r="B147" s="571">
        <v>14</v>
      </c>
      <c r="C147" s="616" t="s">
        <v>1304</v>
      </c>
      <c r="D147" s="571" t="s">
        <v>615</v>
      </c>
      <c r="E147" s="617">
        <v>10</v>
      </c>
      <c r="F147" s="571" t="s">
        <v>63</v>
      </c>
      <c r="G147" s="571"/>
      <c r="H147" s="571" t="s">
        <v>1136</v>
      </c>
      <c r="I147" s="644" t="s">
        <v>1291</v>
      </c>
      <c r="J147" s="571"/>
      <c r="K147" s="571"/>
      <c r="L147" s="571"/>
      <c r="M147" s="571"/>
      <c r="N147" s="603" t="s">
        <v>1703</v>
      </c>
      <c r="O147" s="571" t="s">
        <v>1703</v>
      </c>
      <c r="P147" s="571"/>
      <c r="Q147" s="571"/>
      <c r="R147" s="625"/>
    </row>
    <row r="148" spans="1:18" s="663" customFormat="1">
      <c r="A148" s="662"/>
      <c r="B148" s="571">
        <v>15</v>
      </c>
      <c r="C148" s="618" t="s">
        <v>1305</v>
      </c>
      <c r="D148" s="571" t="s">
        <v>615</v>
      </c>
      <c r="E148" s="617">
        <v>100</v>
      </c>
      <c r="F148" s="571" t="s">
        <v>63</v>
      </c>
      <c r="G148" s="571"/>
      <c r="H148" s="571" t="s">
        <v>1136</v>
      </c>
      <c r="I148" s="644" t="s">
        <v>1291</v>
      </c>
      <c r="J148" s="571"/>
      <c r="K148" s="571"/>
      <c r="L148" s="571"/>
      <c r="M148" s="571"/>
      <c r="N148" s="603" t="s">
        <v>1703</v>
      </c>
      <c r="O148" s="571" t="s">
        <v>1703</v>
      </c>
      <c r="P148" s="571"/>
      <c r="Q148" s="571"/>
      <c r="R148" s="625"/>
    </row>
    <row r="149" spans="1:18" s="663" customFormat="1">
      <c r="A149" s="662"/>
      <c r="B149" s="571">
        <v>16</v>
      </c>
      <c r="C149" s="618" t="s">
        <v>1306</v>
      </c>
      <c r="D149" s="571" t="s">
        <v>1307</v>
      </c>
      <c r="E149" s="617">
        <v>400</v>
      </c>
      <c r="F149" s="571" t="s">
        <v>63</v>
      </c>
      <c r="G149" s="571"/>
      <c r="H149" s="571" t="s">
        <v>1136</v>
      </c>
      <c r="I149" s="644" t="s">
        <v>1291</v>
      </c>
      <c r="J149" s="571"/>
      <c r="K149" s="571"/>
      <c r="L149" s="571"/>
      <c r="M149" s="571"/>
      <c r="N149" s="603" t="s">
        <v>1703</v>
      </c>
      <c r="O149" s="571" t="s">
        <v>1703</v>
      </c>
      <c r="P149" s="571"/>
      <c r="Q149" s="571"/>
      <c r="R149" s="625"/>
    </row>
    <row r="150" spans="1:18" s="663" customFormat="1">
      <c r="A150" s="662"/>
      <c r="B150" s="571">
        <v>17</v>
      </c>
      <c r="C150" s="616" t="s">
        <v>1308</v>
      </c>
      <c r="D150" s="571" t="s">
        <v>187</v>
      </c>
      <c r="E150" s="617">
        <v>1</v>
      </c>
      <c r="F150" s="571" t="s">
        <v>63</v>
      </c>
      <c r="G150" s="571"/>
      <c r="H150" s="571" t="s">
        <v>1136</v>
      </c>
      <c r="I150" s="644" t="s">
        <v>1291</v>
      </c>
      <c r="J150" s="571"/>
      <c r="K150" s="571"/>
      <c r="L150" s="571"/>
      <c r="M150" s="571"/>
      <c r="N150" s="603" t="s">
        <v>1703</v>
      </c>
      <c r="O150" s="571" t="s">
        <v>1703</v>
      </c>
      <c r="P150" s="571"/>
      <c r="Q150" s="571"/>
      <c r="R150" s="625"/>
    </row>
    <row r="151" spans="1:18" s="586" customFormat="1">
      <c r="A151" s="661"/>
      <c r="B151" s="597"/>
      <c r="C151" s="598" t="s">
        <v>1264</v>
      </c>
      <c r="D151" s="597"/>
      <c r="E151" s="599"/>
      <c r="F151" s="597"/>
      <c r="G151" s="597"/>
      <c r="H151" s="597"/>
      <c r="I151" s="639"/>
      <c r="J151" s="794"/>
      <c r="K151" s="795"/>
      <c r="L151" s="795"/>
      <c r="M151" s="795"/>
      <c r="N151" s="795"/>
      <c r="O151" s="795"/>
      <c r="P151" s="795"/>
      <c r="Q151" s="795"/>
      <c r="R151" s="796"/>
    </row>
    <row r="152" spans="1:18" s="663" customFormat="1">
      <c r="A152" s="662" t="s">
        <v>1067</v>
      </c>
      <c r="B152" s="587">
        <v>1</v>
      </c>
      <c r="C152" s="616" t="s">
        <v>1309</v>
      </c>
      <c r="D152" s="571" t="s">
        <v>1310</v>
      </c>
      <c r="E152" s="617">
        <f>28+8</f>
        <v>36</v>
      </c>
      <c r="F152" s="571" t="s">
        <v>63</v>
      </c>
      <c r="G152" s="571"/>
      <c r="H152" s="571" t="s">
        <v>1136</v>
      </c>
      <c r="I152" s="642" t="s">
        <v>1291</v>
      </c>
      <c r="J152" s="802"/>
      <c r="K152" s="571"/>
      <c r="L152" s="571"/>
      <c r="M152" s="571"/>
      <c r="N152" s="571" t="s">
        <v>1703</v>
      </c>
      <c r="O152" s="603" t="s">
        <v>1704</v>
      </c>
      <c r="P152" s="571"/>
      <c r="Q152" s="571"/>
      <c r="R152" s="625"/>
    </row>
    <row r="153" spans="1:18" s="663" customFormat="1">
      <c r="A153" s="662" t="s">
        <v>1068</v>
      </c>
      <c r="B153" s="571">
        <v>2</v>
      </c>
      <c r="C153" s="616" t="s">
        <v>1311</v>
      </c>
      <c r="D153" s="571" t="s">
        <v>1310</v>
      </c>
      <c r="E153" s="617">
        <v>56</v>
      </c>
      <c r="F153" s="571" t="s">
        <v>63</v>
      </c>
      <c r="G153" s="571"/>
      <c r="H153" s="571" t="s">
        <v>1136</v>
      </c>
      <c r="I153" s="642" t="s">
        <v>1291</v>
      </c>
      <c r="J153" s="802"/>
      <c r="K153" s="571"/>
      <c r="L153" s="571"/>
      <c r="M153" s="571"/>
      <c r="N153" s="571" t="s">
        <v>1703</v>
      </c>
      <c r="O153" s="603" t="s">
        <v>1704</v>
      </c>
      <c r="P153" s="571"/>
      <c r="Q153" s="571"/>
      <c r="R153" s="625"/>
    </row>
    <row r="154" spans="1:18" s="663" customFormat="1">
      <c r="A154" s="662" t="s">
        <v>1080</v>
      </c>
      <c r="B154" s="571">
        <v>3</v>
      </c>
      <c r="C154" s="616" t="s">
        <v>1312</v>
      </c>
      <c r="D154" s="571" t="s">
        <v>1310</v>
      </c>
      <c r="E154" s="617">
        <v>28</v>
      </c>
      <c r="F154" s="571" t="s">
        <v>63</v>
      </c>
      <c r="G154" s="571"/>
      <c r="H154" s="571" t="s">
        <v>1136</v>
      </c>
      <c r="I154" s="642" t="s">
        <v>1291</v>
      </c>
      <c r="J154" s="571"/>
      <c r="K154" s="571"/>
      <c r="L154" s="571"/>
      <c r="M154" s="571"/>
      <c r="N154" s="571" t="s">
        <v>1703</v>
      </c>
      <c r="O154" s="603" t="s">
        <v>1704</v>
      </c>
      <c r="P154" s="571"/>
      <c r="Q154" s="571"/>
      <c r="R154" s="625"/>
    </row>
    <row r="155" spans="1:18" s="663" customFormat="1">
      <c r="A155" s="662" t="s">
        <v>1634</v>
      </c>
      <c r="B155" s="571">
        <v>4</v>
      </c>
      <c r="C155" s="616" t="s">
        <v>1313</v>
      </c>
      <c r="D155" s="571" t="s">
        <v>1310</v>
      </c>
      <c r="E155" s="617">
        <v>48</v>
      </c>
      <c r="F155" s="571" t="s">
        <v>63</v>
      </c>
      <c r="G155" s="571"/>
      <c r="H155" s="571" t="s">
        <v>1136</v>
      </c>
      <c r="I155" s="642" t="s">
        <v>1291</v>
      </c>
      <c r="J155" s="571"/>
      <c r="K155" s="571"/>
      <c r="L155" s="571"/>
      <c r="M155" s="571"/>
      <c r="N155" s="571" t="s">
        <v>1703</v>
      </c>
      <c r="O155" s="603" t="s">
        <v>1704</v>
      </c>
      <c r="P155" s="571"/>
      <c r="Q155" s="571"/>
      <c r="R155" s="625"/>
    </row>
    <row r="156" spans="1:18" s="663" customFormat="1">
      <c r="A156" s="662" t="s">
        <v>1635</v>
      </c>
      <c r="B156" s="571">
        <v>5</v>
      </c>
      <c r="C156" s="616" t="s">
        <v>1314</v>
      </c>
      <c r="D156" s="571" t="s">
        <v>1310</v>
      </c>
      <c r="E156" s="617">
        <v>24</v>
      </c>
      <c r="F156" s="571" t="s">
        <v>63</v>
      </c>
      <c r="G156" s="571"/>
      <c r="H156" s="571" t="s">
        <v>1136</v>
      </c>
      <c r="I156" s="642" t="s">
        <v>1291</v>
      </c>
      <c r="J156" s="571"/>
      <c r="K156" s="571"/>
      <c r="L156" s="571"/>
      <c r="M156" s="571"/>
      <c r="N156" s="571" t="s">
        <v>1703</v>
      </c>
      <c r="O156" s="603" t="s">
        <v>1704</v>
      </c>
      <c r="P156" s="571"/>
      <c r="Q156" s="571"/>
      <c r="R156" s="625"/>
    </row>
    <row r="157" spans="1:18" s="663" customFormat="1">
      <c r="A157" s="662" t="s">
        <v>1636</v>
      </c>
      <c r="B157" s="571">
        <v>6</v>
      </c>
      <c r="C157" s="616" t="s">
        <v>1315</v>
      </c>
      <c r="D157" s="571" t="s">
        <v>1310</v>
      </c>
      <c r="E157" s="617">
        <f>12+60</f>
        <v>72</v>
      </c>
      <c r="F157" s="571" t="s">
        <v>63</v>
      </c>
      <c r="G157" s="571"/>
      <c r="H157" s="571" t="s">
        <v>1136</v>
      </c>
      <c r="I157" s="642" t="s">
        <v>1291</v>
      </c>
      <c r="J157" s="571"/>
      <c r="K157" s="571"/>
      <c r="L157" s="571"/>
      <c r="M157" s="571"/>
      <c r="N157" s="571" t="s">
        <v>1703</v>
      </c>
      <c r="O157" s="603" t="s">
        <v>1704</v>
      </c>
      <c r="P157" s="571"/>
      <c r="Q157" s="571"/>
      <c r="R157" s="625"/>
    </row>
    <row r="158" spans="1:18" s="663" customFormat="1">
      <c r="A158" s="662" t="s">
        <v>1637</v>
      </c>
      <c r="B158" s="571">
        <v>7</v>
      </c>
      <c r="C158" s="616" t="s">
        <v>1316</v>
      </c>
      <c r="D158" s="571" t="s">
        <v>1310</v>
      </c>
      <c r="E158" s="617">
        <f>28+60+4+52</f>
        <v>144</v>
      </c>
      <c r="F158" s="571" t="s">
        <v>63</v>
      </c>
      <c r="G158" s="571"/>
      <c r="H158" s="571" t="s">
        <v>1136</v>
      </c>
      <c r="I158" s="642" t="s">
        <v>1291</v>
      </c>
      <c r="J158" s="571"/>
      <c r="K158" s="571"/>
      <c r="L158" s="571"/>
      <c r="M158" s="571"/>
      <c r="N158" s="571" t="s">
        <v>1703</v>
      </c>
      <c r="O158" s="603" t="s">
        <v>1704</v>
      </c>
      <c r="P158" s="571"/>
      <c r="Q158" s="571"/>
      <c r="R158" s="625"/>
    </row>
    <row r="159" spans="1:18" s="663" customFormat="1">
      <c r="A159" s="662" t="s">
        <v>1638</v>
      </c>
      <c r="B159" s="571">
        <v>8</v>
      </c>
      <c r="C159" s="616" t="s">
        <v>1317</v>
      </c>
      <c r="D159" s="571" t="s">
        <v>1310</v>
      </c>
      <c r="E159" s="617">
        <f>4+114+48+24</f>
        <v>190</v>
      </c>
      <c r="F159" s="571" t="s">
        <v>63</v>
      </c>
      <c r="G159" s="571"/>
      <c r="H159" s="571" t="s">
        <v>1136</v>
      </c>
      <c r="I159" s="642" t="s">
        <v>1291</v>
      </c>
      <c r="J159" s="571"/>
      <c r="K159" s="571"/>
      <c r="L159" s="571"/>
      <c r="M159" s="571"/>
      <c r="N159" s="571" t="s">
        <v>1703</v>
      </c>
      <c r="O159" s="603" t="s">
        <v>1704</v>
      </c>
      <c r="P159" s="571"/>
      <c r="Q159" s="571"/>
      <c r="R159" s="625"/>
    </row>
    <row r="160" spans="1:18" s="663" customFormat="1">
      <c r="A160" s="662" t="s">
        <v>1079</v>
      </c>
      <c r="B160" s="571">
        <v>9</v>
      </c>
      <c r="C160" s="616" t="s">
        <v>1318</v>
      </c>
      <c r="D160" s="571" t="s">
        <v>1310</v>
      </c>
      <c r="E160" s="617">
        <v>36</v>
      </c>
      <c r="F160" s="571" t="s">
        <v>63</v>
      </c>
      <c r="G160" s="571"/>
      <c r="H160" s="571" t="s">
        <v>1136</v>
      </c>
      <c r="I160" s="642" t="s">
        <v>1291</v>
      </c>
      <c r="J160" s="571"/>
      <c r="K160" s="571"/>
      <c r="L160" s="571"/>
      <c r="M160" s="571"/>
      <c r="N160" s="571" t="s">
        <v>1703</v>
      </c>
      <c r="O160" s="603" t="s">
        <v>1704</v>
      </c>
      <c r="P160" s="571"/>
      <c r="Q160" s="571"/>
      <c r="R160" s="625"/>
    </row>
    <row r="161" spans="1:18" s="663" customFormat="1">
      <c r="A161" s="662" t="s">
        <v>220</v>
      </c>
      <c r="B161" s="571">
        <v>10</v>
      </c>
      <c r="C161" s="616" t="s">
        <v>1319</v>
      </c>
      <c r="D161" s="571" t="s">
        <v>6</v>
      </c>
      <c r="E161" s="617">
        <v>2</v>
      </c>
      <c r="F161" s="571" t="s">
        <v>63</v>
      </c>
      <c r="G161" s="571"/>
      <c r="H161" s="571" t="s">
        <v>1136</v>
      </c>
      <c r="I161" s="642" t="s">
        <v>1291</v>
      </c>
      <c r="J161" s="571"/>
      <c r="K161" s="571"/>
      <c r="L161" s="571"/>
      <c r="M161" s="571"/>
      <c r="N161" s="571" t="s">
        <v>1703</v>
      </c>
      <c r="O161" s="603" t="s">
        <v>1704</v>
      </c>
      <c r="P161" s="571"/>
      <c r="Q161" s="571"/>
      <c r="R161" s="625"/>
    </row>
    <row r="162" spans="1:18" s="663" customFormat="1">
      <c r="A162" s="662" t="s">
        <v>145</v>
      </c>
      <c r="B162" s="571">
        <v>11</v>
      </c>
      <c r="C162" s="616" t="s">
        <v>1320</v>
      </c>
      <c r="D162" s="571" t="s">
        <v>6</v>
      </c>
      <c r="E162" s="617">
        <v>10</v>
      </c>
      <c r="F162" s="571" t="s">
        <v>63</v>
      </c>
      <c r="G162" s="571"/>
      <c r="H162" s="571" t="s">
        <v>1136</v>
      </c>
      <c r="I162" s="642" t="s">
        <v>1291</v>
      </c>
      <c r="J162" s="571"/>
      <c r="K162" s="571"/>
      <c r="L162" s="571"/>
      <c r="M162" s="571"/>
      <c r="N162" s="571" t="s">
        <v>1703</v>
      </c>
      <c r="O162" s="603" t="s">
        <v>1704</v>
      </c>
      <c r="P162" s="571"/>
      <c r="Q162" s="571"/>
      <c r="R162" s="625"/>
    </row>
    <row r="163" spans="1:18" s="663" customFormat="1">
      <c r="A163" s="662" t="s">
        <v>221</v>
      </c>
      <c r="B163" s="571">
        <v>12</v>
      </c>
      <c r="C163" s="616" t="s">
        <v>1321</v>
      </c>
      <c r="D163" s="571" t="s">
        <v>6</v>
      </c>
      <c r="E163" s="617">
        <v>15</v>
      </c>
      <c r="F163" s="571" t="s">
        <v>63</v>
      </c>
      <c r="G163" s="571"/>
      <c r="H163" s="571" t="s">
        <v>1136</v>
      </c>
      <c r="I163" s="642" t="s">
        <v>1291</v>
      </c>
      <c r="J163" s="571"/>
      <c r="K163" s="571"/>
      <c r="L163" s="571"/>
      <c r="M163" s="571"/>
      <c r="N163" s="571" t="s">
        <v>1703</v>
      </c>
      <c r="O163" s="603" t="s">
        <v>1704</v>
      </c>
      <c r="P163" s="571"/>
      <c r="Q163" s="571"/>
      <c r="R163" s="625"/>
    </row>
    <row r="164" spans="1:18" s="663" customFormat="1">
      <c r="A164" s="662" t="s">
        <v>222</v>
      </c>
      <c r="B164" s="571">
        <v>13</v>
      </c>
      <c r="C164" s="616" t="s">
        <v>1322</v>
      </c>
      <c r="D164" s="571" t="s">
        <v>6</v>
      </c>
      <c r="E164" s="617">
        <f>18+20</f>
        <v>38</v>
      </c>
      <c r="F164" s="571" t="s">
        <v>63</v>
      </c>
      <c r="G164" s="571"/>
      <c r="H164" s="571" t="s">
        <v>1136</v>
      </c>
      <c r="I164" s="642" t="s">
        <v>1291</v>
      </c>
      <c r="J164" s="571"/>
      <c r="K164" s="571"/>
      <c r="L164" s="571"/>
      <c r="M164" s="571"/>
      <c r="N164" s="571" t="s">
        <v>1703</v>
      </c>
      <c r="O164" s="603" t="s">
        <v>1704</v>
      </c>
      <c r="P164" s="571"/>
      <c r="Q164" s="571"/>
      <c r="R164" s="625"/>
    </row>
    <row r="165" spans="1:18" s="663" customFormat="1">
      <c r="B165" s="571">
        <v>14</v>
      </c>
      <c r="C165" s="616" t="s">
        <v>1323</v>
      </c>
      <c r="D165" s="571" t="s">
        <v>6</v>
      </c>
      <c r="E165" s="617">
        <v>40</v>
      </c>
      <c r="F165" s="571" t="s">
        <v>63</v>
      </c>
      <c r="G165" s="571"/>
      <c r="H165" s="571" t="s">
        <v>1136</v>
      </c>
      <c r="I165" s="642" t="s">
        <v>1291</v>
      </c>
      <c r="J165" s="571"/>
      <c r="K165" s="571"/>
      <c r="L165" s="571"/>
      <c r="M165" s="571"/>
      <c r="N165" s="571" t="s">
        <v>1703</v>
      </c>
      <c r="O165" s="603" t="s">
        <v>1704</v>
      </c>
      <c r="P165" s="571"/>
      <c r="Q165" s="571"/>
      <c r="R165" s="625"/>
    </row>
    <row r="166" spans="1:18" s="663" customFormat="1">
      <c r="B166" s="571">
        <v>15</v>
      </c>
      <c r="C166" s="616" t="s">
        <v>1324</v>
      </c>
      <c r="D166" s="571" t="s">
        <v>6</v>
      </c>
      <c r="E166" s="617">
        <v>9</v>
      </c>
      <c r="F166" s="571" t="s">
        <v>63</v>
      </c>
      <c r="G166" s="571"/>
      <c r="H166" s="571" t="s">
        <v>1136</v>
      </c>
      <c r="I166" s="642" t="s">
        <v>1291</v>
      </c>
      <c r="J166" s="571"/>
      <c r="K166" s="571"/>
      <c r="L166" s="571"/>
      <c r="M166" s="571"/>
      <c r="N166" s="571" t="s">
        <v>1703</v>
      </c>
      <c r="O166" s="603" t="s">
        <v>1704</v>
      </c>
      <c r="P166" s="571"/>
      <c r="Q166" s="571"/>
      <c r="R166" s="625"/>
    </row>
    <row r="167" spans="1:18" s="663" customFormat="1">
      <c r="A167" s="662" t="s">
        <v>223</v>
      </c>
      <c r="B167" s="571">
        <v>16</v>
      </c>
      <c r="C167" s="616" t="s">
        <v>1325</v>
      </c>
      <c r="D167" s="571" t="s">
        <v>6</v>
      </c>
      <c r="E167" s="617">
        <f>9+2</f>
        <v>11</v>
      </c>
      <c r="F167" s="571" t="s">
        <v>63</v>
      </c>
      <c r="G167" s="571"/>
      <c r="H167" s="571" t="s">
        <v>1136</v>
      </c>
      <c r="I167" s="642" t="s">
        <v>1291</v>
      </c>
      <c r="J167" s="571"/>
      <c r="K167" s="571"/>
      <c r="L167" s="571"/>
      <c r="M167" s="571"/>
      <c r="N167" s="571" t="s">
        <v>1703</v>
      </c>
      <c r="O167" s="603" t="s">
        <v>1704</v>
      </c>
      <c r="P167" s="571"/>
      <c r="Q167" s="571"/>
      <c r="R167" s="625"/>
    </row>
    <row r="168" spans="1:18" s="663" customFormat="1">
      <c r="A168" s="662" t="s">
        <v>1069</v>
      </c>
      <c r="B168" s="571">
        <v>17</v>
      </c>
      <c r="C168" s="616" t="s">
        <v>1326</v>
      </c>
      <c r="D168" s="571" t="s">
        <v>6</v>
      </c>
      <c r="E168" s="617">
        <f>6+11</f>
        <v>17</v>
      </c>
      <c r="F168" s="571" t="s">
        <v>63</v>
      </c>
      <c r="G168" s="571"/>
      <c r="H168" s="571" t="s">
        <v>1136</v>
      </c>
      <c r="I168" s="642" t="s">
        <v>1291</v>
      </c>
      <c r="J168" s="571"/>
      <c r="K168" s="571"/>
      <c r="L168" s="571"/>
      <c r="M168" s="571"/>
      <c r="N168" s="571" t="s">
        <v>1703</v>
      </c>
      <c r="O168" s="603" t="s">
        <v>1704</v>
      </c>
      <c r="P168" s="571"/>
      <c r="Q168" s="571"/>
      <c r="R168" s="625"/>
    </row>
    <row r="169" spans="1:18" s="663" customFormat="1">
      <c r="A169" s="662" t="s">
        <v>224</v>
      </c>
      <c r="B169" s="571">
        <v>18</v>
      </c>
      <c r="C169" s="616" t="s">
        <v>1327</v>
      </c>
      <c r="D169" s="571" t="s">
        <v>6</v>
      </c>
      <c r="E169" s="617">
        <v>3</v>
      </c>
      <c r="F169" s="571" t="s">
        <v>63</v>
      </c>
      <c r="G169" s="571"/>
      <c r="H169" s="571" t="s">
        <v>1136</v>
      </c>
      <c r="I169" s="642" t="s">
        <v>1291</v>
      </c>
      <c r="J169" s="571"/>
      <c r="K169" s="571"/>
      <c r="L169" s="571"/>
      <c r="M169" s="571"/>
      <c r="N169" s="571" t="s">
        <v>1703</v>
      </c>
      <c r="O169" s="603" t="s">
        <v>1704</v>
      </c>
      <c r="P169" s="571"/>
      <c r="Q169" s="571"/>
      <c r="R169" s="625"/>
    </row>
    <row r="170" spans="1:18" s="663" customFormat="1">
      <c r="A170" s="662" t="s">
        <v>232</v>
      </c>
      <c r="B170" s="571">
        <v>19</v>
      </c>
      <c r="C170" s="616" t="s">
        <v>1328</v>
      </c>
      <c r="D170" s="571" t="s">
        <v>6</v>
      </c>
      <c r="E170" s="617">
        <v>10</v>
      </c>
      <c r="F170" s="571" t="s">
        <v>63</v>
      </c>
      <c r="G170" s="571"/>
      <c r="H170" s="571" t="s">
        <v>1136</v>
      </c>
      <c r="I170" s="642" t="s">
        <v>1291</v>
      </c>
      <c r="J170" s="571"/>
      <c r="K170" s="571"/>
      <c r="L170" s="571"/>
      <c r="M170" s="571"/>
      <c r="N170" s="571" t="s">
        <v>1703</v>
      </c>
      <c r="O170" s="603" t="s">
        <v>1704</v>
      </c>
      <c r="P170" s="571"/>
      <c r="Q170" s="571"/>
      <c r="R170" s="625"/>
    </row>
    <row r="171" spans="1:18" s="663" customFormat="1">
      <c r="B171" s="571">
        <v>20</v>
      </c>
      <c r="C171" s="616" t="s">
        <v>1329</v>
      </c>
      <c r="D171" s="571" t="s">
        <v>6</v>
      </c>
      <c r="E171" s="617">
        <v>7</v>
      </c>
      <c r="F171" s="571" t="s">
        <v>63</v>
      </c>
      <c r="G171" s="571"/>
      <c r="H171" s="571" t="s">
        <v>1136</v>
      </c>
      <c r="I171" s="642" t="s">
        <v>1291</v>
      </c>
      <c r="J171" s="571"/>
      <c r="K171" s="571"/>
      <c r="L171" s="571"/>
      <c r="M171" s="571"/>
      <c r="N171" s="571" t="s">
        <v>1703</v>
      </c>
      <c r="O171" s="603" t="s">
        <v>1704</v>
      </c>
      <c r="P171" s="571"/>
      <c r="Q171" s="571"/>
      <c r="R171" s="625"/>
    </row>
    <row r="172" spans="1:18" s="663" customFormat="1">
      <c r="B172" s="571">
        <v>21</v>
      </c>
      <c r="C172" s="616" t="s">
        <v>1330</v>
      </c>
      <c r="D172" s="571" t="s">
        <v>6</v>
      </c>
      <c r="E172" s="617">
        <v>10</v>
      </c>
      <c r="F172" s="571" t="s">
        <v>63</v>
      </c>
      <c r="G172" s="571"/>
      <c r="H172" s="571" t="s">
        <v>1136</v>
      </c>
      <c r="I172" s="642" t="s">
        <v>1291</v>
      </c>
      <c r="J172" s="571"/>
      <c r="K172" s="571"/>
      <c r="L172" s="571"/>
      <c r="M172" s="571"/>
      <c r="N172" s="571" t="s">
        <v>1703</v>
      </c>
      <c r="O172" s="603" t="s">
        <v>1704</v>
      </c>
      <c r="P172" s="571"/>
      <c r="Q172" s="571"/>
      <c r="R172" s="625"/>
    </row>
    <row r="173" spans="1:18" s="663" customFormat="1">
      <c r="A173" s="662" t="s">
        <v>225</v>
      </c>
      <c r="B173" s="571">
        <v>22</v>
      </c>
      <c r="C173" s="616" t="s">
        <v>1331</v>
      </c>
      <c r="D173" s="571" t="s">
        <v>6</v>
      </c>
      <c r="E173" s="617">
        <f>5+2</f>
        <v>7</v>
      </c>
      <c r="F173" s="571" t="s">
        <v>63</v>
      </c>
      <c r="G173" s="571"/>
      <c r="H173" s="571" t="s">
        <v>1136</v>
      </c>
      <c r="I173" s="642" t="s">
        <v>1291</v>
      </c>
      <c r="J173" s="571"/>
      <c r="K173" s="571"/>
      <c r="L173" s="571"/>
      <c r="M173" s="571"/>
      <c r="N173" s="571" t="s">
        <v>1703</v>
      </c>
      <c r="O173" s="603" t="s">
        <v>1704</v>
      </c>
      <c r="P173" s="571"/>
      <c r="Q173" s="571"/>
      <c r="R173" s="625"/>
    </row>
    <row r="174" spans="1:18" s="663" customFormat="1">
      <c r="A174" s="662"/>
      <c r="B174" s="571">
        <v>23</v>
      </c>
      <c r="C174" s="616" t="s">
        <v>1332</v>
      </c>
      <c r="D174" s="571" t="s">
        <v>6</v>
      </c>
      <c r="E174" s="617">
        <v>7</v>
      </c>
      <c r="F174" s="571" t="s">
        <v>63</v>
      </c>
      <c r="G174" s="571"/>
      <c r="H174" s="571" t="s">
        <v>1136</v>
      </c>
      <c r="I174" s="642" t="s">
        <v>1291</v>
      </c>
      <c r="J174" s="571"/>
      <c r="K174" s="571"/>
      <c r="L174" s="571"/>
      <c r="M174" s="571"/>
      <c r="N174" s="571" t="s">
        <v>1703</v>
      </c>
      <c r="O174" s="603" t="s">
        <v>1704</v>
      </c>
      <c r="P174" s="571"/>
      <c r="Q174" s="571"/>
      <c r="R174" s="625"/>
    </row>
    <row r="175" spans="1:18" s="663" customFormat="1">
      <c r="A175" s="662"/>
      <c r="B175" s="571">
        <v>24</v>
      </c>
      <c r="C175" s="616" t="s">
        <v>1333</v>
      </c>
      <c r="D175" s="571" t="s">
        <v>6</v>
      </c>
      <c r="E175" s="617">
        <v>5</v>
      </c>
      <c r="F175" s="571" t="s">
        <v>63</v>
      </c>
      <c r="G175" s="571"/>
      <c r="H175" s="571" t="s">
        <v>1136</v>
      </c>
      <c r="I175" s="642" t="s">
        <v>1291</v>
      </c>
      <c r="J175" s="571"/>
      <c r="K175" s="571"/>
      <c r="L175" s="571"/>
      <c r="M175" s="571"/>
      <c r="N175" s="571" t="s">
        <v>1703</v>
      </c>
      <c r="O175" s="603" t="s">
        <v>1704</v>
      </c>
      <c r="P175" s="571"/>
      <c r="Q175" s="571"/>
      <c r="R175" s="625"/>
    </row>
    <row r="176" spans="1:18" s="663" customFormat="1">
      <c r="A176" s="662" t="s">
        <v>226</v>
      </c>
      <c r="B176" s="571">
        <v>25</v>
      </c>
      <c r="C176" s="616" t="s">
        <v>1334</v>
      </c>
      <c r="D176" s="571" t="s">
        <v>6</v>
      </c>
      <c r="E176" s="617">
        <v>1</v>
      </c>
      <c r="F176" s="571" t="s">
        <v>63</v>
      </c>
      <c r="G176" s="571"/>
      <c r="H176" s="571" t="s">
        <v>1136</v>
      </c>
      <c r="I176" s="642" t="s">
        <v>1291</v>
      </c>
      <c r="J176" s="571"/>
      <c r="K176" s="571"/>
      <c r="L176" s="571"/>
      <c r="M176" s="571"/>
      <c r="N176" s="571" t="s">
        <v>1703</v>
      </c>
      <c r="O176" s="603" t="s">
        <v>1704</v>
      </c>
      <c r="P176" s="571"/>
      <c r="Q176" s="571"/>
      <c r="R176" s="625"/>
    </row>
    <row r="177" spans="1:18" s="663" customFormat="1">
      <c r="A177" s="662" t="s">
        <v>227</v>
      </c>
      <c r="B177" s="571">
        <v>26</v>
      </c>
      <c r="C177" s="616" t="s">
        <v>1335</v>
      </c>
      <c r="D177" s="571" t="s">
        <v>6</v>
      </c>
      <c r="E177" s="617">
        <v>3</v>
      </c>
      <c r="F177" s="571" t="s">
        <v>63</v>
      </c>
      <c r="G177" s="571"/>
      <c r="H177" s="571" t="s">
        <v>1136</v>
      </c>
      <c r="I177" s="642" t="s">
        <v>1291</v>
      </c>
      <c r="J177" s="571"/>
      <c r="K177" s="571"/>
      <c r="L177" s="571"/>
      <c r="M177" s="571"/>
      <c r="N177" s="571" t="s">
        <v>1703</v>
      </c>
      <c r="O177" s="603" t="s">
        <v>1704</v>
      </c>
      <c r="P177" s="571"/>
      <c r="Q177" s="571"/>
      <c r="R177" s="625"/>
    </row>
    <row r="178" spans="1:18" s="663" customFormat="1">
      <c r="A178" s="662" t="s">
        <v>228</v>
      </c>
      <c r="B178" s="571">
        <v>27</v>
      </c>
      <c r="C178" s="616" t="s">
        <v>1336</v>
      </c>
      <c r="D178" s="571" t="s">
        <v>6</v>
      </c>
      <c r="E178" s="617">
        <v>6</v>
      </c>
      <c r="F178" s="571" t="s">
        <v>63</v>
      </c>
      <c r="G178" s="571"/>
      <c r="H178" s="571" t="s">
        <v>1136</v>
      </c>
      <c r="I178" s="642" t="s">
        <v>1291</v>
      </c>
      <c r="J178" s="571"/>
      <c r="K178" s="571"/>
      <c r="L178" s="571"/>
      <c r="M178" s="571"/>
      <c r="N178" s="571" t="s">
        <v>1703</v>
      </c>
      <c r="O178" s="603" t="s">
        <v>1704</v>
      </c>
      <c r="P178" s="571"/>
      <c r="Q178" s="571"/>
      <c r="R178" s="625"/>
    </row>
    <row r="179" spans="1:18" s="663" customFormat="1">
      <c r="A179" s="662" t="s">
        <v>229</v>
      </c>
      <c r="B179" s="571">
        <v>28</v>
      </c>
      <c r="C179" s="616" t="s">
        <v>1337</v>
      </c>
      <c r="D179" s="571" t="s">
        <v>6</v>
      </c>
      <c r="E179" s="617">
        <v>6</v>
      </c>
      <c r="F179" s="571" t="s">
        <v>63</v>
      </c>
      <c r="G179" s="571"/>
      <c r="H179" s="571" t="s">
        <v>1136</v>
      </c>
      <c r="I179" s="642" t="s">
        <v>1291</v>
      </c>
      <c r="J179" s="571"/>
      <c r="K179" s="571"/>
      <c r="L179" s="571"/>
      <c r="M179" s="571"/>
      <c r="N179" s="571" t="s">
        <v>1703</v>
      </c>
      <c r="O179" s="603" t="s">
        <v>1704</v>
      </c>
      <c r="P179" s="571"/>
      <c r="Q179" s="571"/>
      <c r="R179" s="625"/>
    </row>
    <row r="180" spans="1:18" s="663" customFormat="1">
      <c r="A180" s="662" t="s">
        <v>230</v>
      </c>
      <c r="B180" s="571">
        <v>29</v>
      </c>
      <c r="C180" s="616" t="s">
        <v>1338</v>
      </c>
      <c r="D180" s="571" t="s">
        <v>6</v>
      </c>
      <c r="E180" s="617">
        <v>6</v>
      </c>
      <c r="F180" s="571" t="s">
        <v>63</v>
      </c>
      <c r="G180" s="571"/>
      <c r="H180" s="571" t="s">
        <v>1136</v>
      </c>
      <c r="I180" s="642" t="s">
        <v>1291</v>
      </c>
      <c r="J180" s="571"/>
      <c r="K180" s="571"/>
      <c r="L180" s="571"/>
      <c r="M180" s="571"/>
      <c r="N180" s="571" t="s">
        <v>1703</v>
      </c>
      <c r="O180" s="603" t="s">
        <v>1704</v>
      </c>
      <c r="P180" s="571"/>
      <c r="Q180" s="571"/>
      <c r="R180" s="625"/>
    </row>
    <row r="181" spans="1:18" s="663" customFormat="1">
      <c r="A181" s="662"/>
      <c r="B181" s="571">
        <v>30</v>
      </c>
      <c r="C181" s="616" t="s">
        <v>1339</v>
      </c>
      <c r="D181" s="571" t="s">
        <v>6</v>
      </c>
      <c r="E181" s="617">
        <v>2</v>
      </c>
      <c r="F181" s="571" t="s">
        <v>63</v>
      </c>
      <c r="G181" s="571"/>
      <c r="H181" s="571" t="s">
        <v>1136</v>
      </c>
      <c r="I181" s="642" t="s">
        <v>1291</v>
      </c>
      <c r="J181" s="571"/>
      <c r="K181" s="571"/>
      <c r="L181" s="571"/>
      <c r="M181" s="571"/>
      <c r="N181" s="571" t="s">
        <v>1703</v>
      </c>
      <c r="O181" s="603" t="s">
        <v>1704</v>
      </c>
      <c r="P181" s="571"/>
      <c r="Q181" s="571"/>
      <c r="R181" s="625"/>
    </row>
    <row r="182" spans="1:18" s="663" customFormat="1">
      <c r="A182" s="662"/>
      <c r="B182" s="571">
        <v>31</v>
      </c>
      <c r="C182" s="616" t="s">
        <v>1340</v>
      </c>
      <c r="D182" s="571" t="s">
        <v>6</v>
      </c>
      <c r="E182" s="617">
        <v>9</v>
      </c>
      <c r="F182" s="571" t="s">
        <v>63</v>
      </c>
      <c r="G182" s="571"/>
      <c r="H182" s="571" t="s">
        <v>1136</v>
      </c>
      <c r="I182" s="642" t="s">
        <v>1291</v>
      </c>
      <c r="J182" s="571"/>
      <c r="K182" s="571"/>
      <c r="L182" s="571"/>
      <c r="M182" s="571"/>
      <c r="N182" s="571" t="s">
        <v>1703</v>
      </c>
      <c r="O182" s="603" t="s">
        <v>1704</v>
      </c>
      <c r="P182" s="571"/>
      <c r="Q182" s="571"/>
      <c r="R182" s="625"/>
    </row>
    <row r="183" spans="1:18" s="663" customFormat="1">
      <c r="A183" s="662" t="s">
        <v>231</v>
      </c>
      <c r="B183" s="571">
        <v>32</v>
      </c>
      <c r="C183" s="616" t="s">
        <v>1341</v>
      </c>
      <c r="D183" s="571" t="s">
        <v>6</v>
      </c>
      <c r="E183" s="617">
        <v>20</v>
      </c>
      <c r="F183" s="571" t="s">
        <v>63</v>
      </c>
      <c r="G183" s="571"/>
      <c r="H183" s="571" t="s">
        <v>1136</v>
      </c>
      <c r="I183" s="642" t="s">
        <v>1291</v>
      </c>
      <c r="J183" s="571"/>
      <c r="K183" s="571"/>
      <c r="L183" s="571"/>
      <c r="M183" s="571"/>
      <c r="N183" s="571" t="s">
        <v>1703</v>
      </c>
      <c r="O183" s="603" t="s">
        <v>1704</v>
      </c>
      <c r="P183" s="571"/>
      <c r="Q183" s="571"/>
      <c r="R183" s="625"/>
    </row>
    <row r="184" spans="1:18" s="663" customFormat="1">
      <c r="A184" s="662" t="s">
        <v>232</v>
      </c>
      <c r="B184" s="571">
        <v>33</v>
      </c>
      <c r="C184" s="618" t="s">
        <v>1342</v>
      </c>
      <c r="D184" s="571" t="s">
        <v>6</v>
      </c>
      <c r="E184" s="617">
        <v>6</v>
      </c>
      <c r="F184" s="571" t="s">
        <v>63</v>
      </c>
      <c r="G184" s="571"/>
      <c r="H184" s="571" t="s">
        <v>1136</v>
      </c>
      <c r="I184" s="642" t="s">
        <v>1291</v>
      </c>
      <c r="J184" s="571"/>
      <c r="K184" s="571"/>
      <c r="L184" s="571"/>
      <c r="M184" s="571"/>
      <c r="N184" s="571" t="s">
        <v>1703</v>
      </c>
      <c r="O184" s="603" t="s">
        <v>1704</v>
      </c>
      <c r="P184" s="571"/>
      <c r="Q184" s="571"/>
      <c r="R184" s="625"/>
    </row>
    <row r="185" spans="1:18" s="663" customFormat="1">
      <c r="A185" s="662" t="s">
        <v>233</v>
      </c>
      <c r="B185" s="571">
        <v>34</v>
      </c>
      <c r="C185" s="618" t="s">
        <v>1343</v>
      </c>
      <c r="D185" s="571" t="s">
        <v>6</v>
      </c>
      <c r="E185" s="617">
        <v>1</v>
      </c>
      <c r="F185" s="571" t="s">
        <v>63</v>
      </c>
      <c r="G185" s="571"/>
      <c r="H185" s="571" t="s">
        <v>1136</v>
      </c>
      <c r="I185" s="642" t="s">
        <v>1291</v>
      </c>
      <c r="J185" s="571"/>
      <c r="K185" s="571"/>
      <c r="L185" s="571"/>
      <c r="M185" s="571"/>
      <c r="N185" s="571" t="s">
        <v>1703</v>
      </c>
      <c r="O185" s="603" t="s">
        <v>1704</v>
      </c>
      <c r="P185" s="571"/>
      <c r="Q185" s="571"/>
      <c r="R185" s="625"/>
    </row>
    <row r="186" spans="1:18" s="663" customFormat="1">
      <c r="A186" s="662"/>
      <c r="B186" s="571">
        <v>35</v>
      </c>
      <c r="C186" s="618" t="s">
        <v>1344</v>
      </c>
      <c r="D186" s="571" t="s">
        <v>6</v>
      </c>
      <c r="E186" s="617">
        <v>12</v>
      </c>
      <c r="F186" s="571" t="s">
        <v>63</v>
      </c>
      <c r="G186" s="571"/>
      <c r="H186" s="571" t="s">
        <v>1136</v>
      </c>
      <c r="I186" s="642" t="s">
        <v>1291</v>
      </c>
      <c r="J186" s="571"/>
      <c r="K186" s="571"/>
      <c r="L186" s="571"/>
      <c r="M186" s="571"/>
      <c r="N186" s="571" t="s">
        <v>1703</v>
      </c>
      <c r="O186" s="603" t="s">
        <v>1704</v>
      </c>
      <c r="P186" s="571"/>
      <c r="Q186" s="571"/>
      <c r="R186" s="625"/>
    </row>
    <row r="187" spans="1:18" s="663" customFormat="1">
      <c r="A187" s="662"/>
      <c r="B187" s="571">
        <v>36</v>
      </c>
      <c r="C187" s="618" t="s">
        <v>1345</v>
      </c>
      <c r="D187" s="571" t="s">
        <v>6</v>
      </c>
      <c r="E187" s="617">
        <v>9</v>
      </c>
      <c r="F187" s="571" t="s">
        <v>63</v>
      </c>
      <c r="G187" s="571"/>
      <c r="H187" s="571" t="s">
        <v>1136</v>
      </c>
      <c r="I187" s="642" t="s">
        <v>1291</v>
      </c>
      <c r="J187" s="571"/>
      <c r="K187" s="571"/>
      <c r="L187" s="571"/>
      <c r="M187" s="571"/>
      <c r="N187" s="571" t="s">
        <v>1703</v>
      </c>
      <c r="O187" s="603" t="s">
        <v>1704</v>
      </c>
      <c r="P187" s="571"/>
      <c r="Q187" s="571"/>
      <c r="R187" s="625"/>
    </row>
    <row r="188" spans="1:18" s="663" customFormat="1">
      <c r="A188" s="662"/>
      <c r="B188" s="571">
        <v>37</v>
      </c>
      <c r="C188" s="618" t="s">
        <v>1346</v>
      </c>
      <c r="D188" s="571" t="s">
        <v>6</v>
      </c>
      <c r="E188" s="617">
        <v>3</v>
      </c>
      <c r="F188" s="571" t="s">
        <v>63</v>
      </c>
      <c r="G188" s="571"/>
      <c r="H188" s="571" t="s">
        <v>1136</v>
      </c>
      <c r="I188" s="642" t="s">
        <v>1291</v>
      </c>
      <c r="J188" s="571"/>
      <c r="K188" s="571"/>
      <c r="L188" s="571"/>
      <c r="M188" s="571"/>
      <c r="N188" s="571" t="s">
        <v>1703</v>
      </c>
      <c r="O188" s="603" t="s">
        <v>1704</v>
      </c>
      <c r="P188" s="571"/>
      <c r="Q188" s="571"/>
      <c r="R188" s="625"/>
    </row>
    <row r="189" spans="1:18" s="663" customFormat="1">
      <c r="A189" s="662"/>
      <c r="B189" s="571">
        <v>38</v>
      </c>
      <c r="C189" s="618" t="s">
        <v>1347</v>
      </c>
      <c r="D189" s="571" t="s">
        <v>6</v>
      </c>
      <c r="E189" s="617">
        <v>6</v>
      </c>
      <c r="F189" s="571" t="s">
        <v>63</v>
      </c>
      <c r="G189" s="571"/>
      <c r="H189" s="571" t="s">
        <v>1136</v>
      </c>
      <c r="I189" s="642" t="s">
        <v>1291</v>
      </c>
      <c r="J189" s="571"/>
      <c r="K189" s="571"/>
      <c r="L189" s="571"/>
      <c r="M189" s="571"/>
      <c r="N189" s="571" t="s">
        <v>1703</v>
      </c>
      <c r="O189" s="603" t="s">
        <v>1704</v>
      </c>
      <c r="P189" s="571"/>
      <c r="Q189" s="571"/>
      <c r="R189" s="625"/>
    </row>
    <row r="190" spans="1:18" s="663" customFormat="1">
      <c r="A190" s="662"/>
      <c r="B190" s="571">
        <v>39</v>
      </c>
      <c r="C190" s="618" t="s">
        <v>1348</v>
      </c>
      <c r="D190" s="571" t="s">
        <v>6</v>
      </c>
      <c r="E190" s="617">
        <v>3</v>
      </c>
      <c r="F190" s="571" t="s">
        <v>63</v>
      </c>
      <c r="G190" s="571"/>
      <c r="H190" s="571" t="s">
        <v>1136</v>
      </c>
      <c r="I190" s="642" t="s">
        <v>1291</v>
      </c>
      <c r="J190" s="571"/>
      <c r="K190" s="571"/>
      <c r="L190" s="571"/>
      <c r="M190" s="571"/>
      <c r="N190" s="571" t="s">
        <v>1703</v>
      </c>
      <c r="O190" s="603" t="s">
        <v>1704</v>
      </c>
      <c r="P190" s="571"/>
      <c r="Q190" s="571"/>
      <c r="R190" s="625"/>
    </row>
    <row r="191" spans="1:18" s="663" customFormat="1">
      <c r="A191" s="662"/>
      <c r="B191" s="571">
        <v>40</v>
      </c>
      <c r="C191" s="618" t="s">
        <v>1349</v>
      </c>
      <c r="D191" s="571" t="s">
        <v>6</v>
      </c>
      <c r="E191" s="617">
        <f>4+3</f>
        <v>7</v>
      </c>
      <c r="F191" s="571" t="s">
        <v>63</v>
      </c>
      <c r="G191" s="571"/>
      <c r="H191" s="571" t="s">
        <v>1136</v>
      </c>
      <c r="I191" s="642" t="s">
        <v>1291</v>
      </c>
      <c r="J191" s="571"/>
      <c r="K191" s="571"/>
      <c r="L191" s="571"/>
      <c r="M191" s="571"/>
      <c r="N191" s="571" t="s">
        <v>1703</v>
      </c>
      <c r="O191" s="603" t="s">
        <v>1704</v>
      </c>
      <c r="P191" s="571"/>
      <c r="Q191" s="571"/>
      <c r="R191" s="625"/>
    </row>
    <row r="192" spans="1:18" s="663" customFormat="1" ht="25.5">
      <c r="A192" s="662" t="s">
        <v>234</v>
      </c>
      <c r="B192" s="571">
        <v>41</v>
      </c>
      <c r="C192" s="618" t="s">
        <v>1350</v>
      </c>
      <c r="D192" s="571" t="s">
        <v>6</v>
      </c>
      <c r="E192" s="617">
        <v>1</v>
      </c>
      <c r="F192" s="571" t="s">
        <v>63</v>
      </c>
      <c r="G192" s="571"/>
      <c r="H192" s="571" t="s">
        <v>1136</v>
      </c>
      <c r="I192" s="642" t="s">
        <v>1291</v>
      </c>
      <c r="J192" s="571"/>
      <c r="K192" s="571"/>
      <c r="L192" s="571"/>
      <c r="M192" s="571"/>
      <c r="N192" s="571" t="s">
        <v>1703</v>
      </c>
      <c r="O192" s="603" t="s">
        <v>1704</v>
      </c>
      <c r="P192" s="571"/>
      <c r="Q192" s="571"/>
      <c r="R192" s="625"/>
    </row>
    <row r="193" spans="1:18" s="663" customFormat="1" ht="25.5">
      <c r="A193" s="662" t="s">
        <v>235</v>
      </c>
      <c r="B193" s="571">
        <v>42</v>
      </c>
      <c r="C193" s="618" t="s">
        <v>1351</v>
      </c>
      <c r="D193" s="571" t="s">
        <v>6</v>
      </c>
      <c r="E193" s="617">
        <v>7</v>
      </c>
      <c r="F193" s="571" t="s">
        <v>63</v>
      </c>
      <c r="G193" s="571"/>
      <c r="H193" s="571" t="s">
        <v>1136</v>
      </c>
      <c r="I193" s="642" t="s">
        <v>1291</v>
      </c>
      <c r="J193" s="571"/>
      <c r="K193" s="571"/>
      <c r="L193" s="571"/>
      <c r="M193" s="571"/>
      <c r="N193" s="571" t="s">
        <v>1703</v>
      </c>
      <c r="O193" s="603" t="s">
        <v>1704</v>
      </c>
      <c r="P193" s="571"/>
      <c r="Q193" s="571"/>
      <c r="R193" s="625"/>
    </row>
    <row r="194" spans="1:18" s="663" customFormat="1">
      <c r="A194" s="662" t="s">
        <v>236</v>
      </c>
      <c r="B194" s="571">
        <v>43</v>
      </c>
      <c r="C194" s="618" t="s">
        <v>1352</v>
      </c>
      <c r="D194" s="571" t="s">
        <v>6</v>
      </c>
      <c r="E194" s="617">
        <v>4</v>
      </c>
      <c r="F194" s="571" t="s">
        <v>63</v>
      </c>
      <c r="G194" s="571"/>
      <c r="H194" s="571" t="s">
        <v>1136</v>
      </c>
      <c r="I194" s="642" t="s">
        <v>1291</v>
      </c>
      <c r="J194" s="571"/>
      <c r="K194" s="571"/>
      <c r="L194" s="571"/>
      <c r="M194" s="571"/>
      <c r="N194" s="571" t="s">
        <v>1703</v>
      </c>
      <c r="O194" s="603" t="s">
        <v>1704</v>
      </c>
      <c r="P194" s="571"/>
      <c r="Q194" s="571"/>
      <c r="R194" s="625"/>
    </row>
    <row r="195" spans="1:18" s="663" customFormat="1">
      <c r="A195" s="662" t="s">
        <v>237</v>
      </c>
      <c r="B195" s="571">
        <v>44</v>
      </c>
      <c r="C195" s="618" t="s">
        <v>1353</v>
      </c>
      <c r="D195" s="571" t="s">
        <v>6</v>
      </c>
      <c r="E195" s="617">
        <v>12</v>
      </c>
      <c r="F195" s="571" t="s">
        <v>63</v>
      </c>
      <c r="G195" s="571"/>
      <c r="H195" s="571" t="s">
        <v>1136</v>
      </c>
      <c r="I195" s="642" t="s">
        <v>1291</v>
      </c>
      <c r="J195" s="571"/>
      <c r="K195" s="571"/>
      <c r="L195" s="571"/>
      <c r="M195" s="571"/>
      <c r="N195" s="571" t="s">
        <v>1703</v>
      </c>
      <c r="O195" s="603" t="s">
        <v>1704</v>
      </c>
      <c r="P195" s="571"/>
      <c r="Q195" s="571"/>
      <c r="R195" s="625"/>
    </row>
    <row r="196" spans="1:18" s="663" customFormat="1">
      <c r="A196" s="662"/>
      <c r="B196" s="571">
        <v>45</v>
      </c>
      <c r="C196" s="618" t="s">
        <v>1354</v>
      </c>
      <c r="D196" s="571" t="s">
        <v>6</v>
      </c>
      <c r="E196" s="617">
        <v>10</v>
      </c>
      <c r="F196" s="571" t="s">
        <v>63</v>
      </c>
      <c r="G196" s="571"/>
      <c r="H196" s="571" t="s">
        <v>1136</v>
      </c>
      <c r="I196" s="642" t="s">
        <v>1291</v>
      </c>
      <c r="J196" s="571"/>
      <c r="K196" s="571"/>
      <c r="L196" s="571"/>
      <c r="M196" s="571"/>
      <c r="N196" s="571" t="s">
        <v>1703</v>
      </c>
      <c r="O196" s="603" t="s">
        <v>1704</v>
      </c>
      <c r="P196" s="571"/>
      <c r="Q196" s="571"/>
      <c r="R196" s="625"/>
    </row>
    <row r="197" spans="1:18" s="663" customFormat="1" ht="25.5">
      <c r="A197" s="662" t="s">
        <v>238</v>
      </c>
      <c r="B197" s="571">
        <v>46</v>
      </c>
      <c r="C197" s="618" t="s">
        <v>1355</v>
      </c>
      <c r="D197" s="571" t="s">
        <v>6</v>
      </c>
      <c r="E197" s="617">
        <v>2</v>
      </c>
      <c r="F197" s="571" t="s">
        <v>63</v>
      </c>
      <c r="G197" s="571"/>
      <c r="H197" s="571" t="s">
        <v>1136</v>
      </c>
      <c r="I197" s="642" t="s">
        <v>1291</v>
      </c>
      <c r="J197" s="571"/>
      <c r="K197" s="571"/>
      <c r="L197" s="571"/>
      <c r="M197" s="571"/>
      <c r="N197" s="571" t="s">
        <v>1703</v>
      </c>
      <c r="O197" s="603" t="s">
        <v>1704</v>
      </c>
      <c r="P197" s="571"/>
      <c r="Q197" s="571"/>
      <c r="R197" s="625"/>
    </row>
    <row r="198" spans="1:18" s="663" customFormat="1">
      <c r="A198" s="662" t="s">
        <v>239</v>
      </c>
      <c r="B198" s="571">
        <v>47</v>
      </c>
      <c r="C198" s="618" t="s">
        <v>1356</v>
      </c>
      <c r="D198" s="571" t="s">
        <v>6</v>
      </c>
      <c r="E198" s="617">
        <v>6</v>
      </c>
      <c r="F198" s="571" t="s">
        <v>63</v>
      </c>
      <c r="G198" s="571"/>
      <c r="H198" s="571" t="s">
        <v>1136</v>
      </c>
      <c r="I198" s="642" t="s">
        <v>1291</v>
      </c>
      <c r="J198" s="571"/>
      <c r="K198" s="571"/>
      <c r="L198" s="571"/>
      <c r="M198" s="571"/>
      <c r="N198" s="571" t="s">
        <v>1703</v>
      </c>
      <c r="O198" s="603" t="s">
        <v>1704</v>
      </c>
      <c r="P198" s="571"/>
      <c r="Q198" s="571"/>
      <c r="R198" s="625"/>
    </row>
    <row r="199" spans="1:18" s="714" customFormat="1" hidden="1">
      <c r="A199" s="664" t="s">
        <v>240</v>
      </c>
      <c r="B199" s="711">
        <v>47</v>
      </c>
      <c r="C199" s="712" t="s">
        <v>1357</v>
      </c>
      <c r="D199" s="711" t="s">
        <v>6</v>
      </c>
      <c r="E199" s="713">
        <v>3</v>
      </c>
      <c r="F199" s="711" t="s">
        <v>63</v>
      </c>
      <c r="G199" s="711"/>
      <c r="H199" s="711" t="s">
        <v>1136</v>
      </c>
      <c r="I199" s="641" t="s">
        <v>1291</v>
      </c>
      <c r="J199" s="711"/>
      <c r="K199" s="711"/>
      <c r="L199" s="711"/>
      <c r="M199" s="711"/>
      <c r="N199" s="711"/>
      <c r="O199" s="600"/>
      <c r="P199" s="711"/>
      <c r="Q199" s="711"/>
      <c r="R199" s="715"/>
    </row>
    <row r="200" spans="1:18" s="714" customFormat="1">
      <c r="A200" s="664" t="s">
        <v>240</v>
      </c>
      <c r="B200" s="711">
        <v>48</v>
      </c>
      <c r="C200" s="712" t="s">
        <v>1357</v>
      </c>
      <c r="D200" s="711" t="s">
        <v>6</v>
      </c>
      <c r="E200" s="713">
        <v>3</v>
      </c>
      <c r="F200" s="711" t="s">
        <v>63</v>
      </c>
      <c r="G200" s="711"/>
      <c r="H200" s="711" t="s">
        <v>1136</v>
      </c>
      <c r="I200" s="641" t="s">
        <v>1291</v>
      </c>
      <c r="J200" s="711"/>
      <c r="K200" s="711"/>
      <c r="L200" s="711"/>
      <c r="M200" s="711"/>
      <c r="N200" s="711" t="s">
        <v>1703</v>
      </c>
      <c r="O200" s="600" t="s">
        <v>1704</v>
      </c>
      <c r="P200" s="711"/>
      <c r="Q200" s="711"/>
      <c r="R200" s="715"/>
    </row>
    <row r="201" spans="1:18" s="663" customFormat="1">
      <c r="A201" s="662" t="s">
        <v>241</v>
      </c>
      <c r="B201" s="571">
        <v>49</v>
      </c>
      <c r="C201" s="618" t="s">
        <v>1358</v>
      </c>
      <c r="D201" s="571" t="s">
        <v>6</v>
      </c>
      <c r="E201" s="617">
        <v>6</v>
      </c>
      <c r="F201" s="571" t="s">
        <v>63</v>
      </c>
      <c r="G201" s="571"/>
      <c r="H201" s="571" t="s">
        <v>1136</v>
      </c>
      <c r="I201" s="642" t="s">
        <v>1291</v>
      </c>
      <c r="J201" s="571"/>
      <c r="K201" s="571"/>
      <c r="L201" s="571"/>
      <c r="M201" s="571"/>
      <c r="N201" s="571" t="s">
        <v>1703</v>
      </c>
      <c r="O201" s="603" t="s">
        <v>1704</v>
      </c>
      <c r="P201" s="571"/>
      <c r="Q201" s="571"/>
      <c r="R201" s="625"/>
    </row>
    <row r="202" spans="1:18" s="663" customFormat="1">
      <c r="A202" s="662"/>
      <c r="B202" s="571">
        <v>50</v>
      </c>
      <c r="C202" s="618" t="s">
        <v>1359</v>
      </c>
      <c r="D202" s="571" t="s">
        <v>6</v>
      </c>
      <c r="E202" s="617">
        <v>4</v>
      </c>
      <c r="F202" s="571" t="s">
        <v>63</v>
      </c>
      <c r="G202" s="571"/>
      <c r="H202" s="571" t="s">
        <v>1136</v>
      </c>
      <c r="I202" s="642" t="s">
        <v>1291</v>
      </c>
      <c r="J202" s="571"/>
      <c r="K202" s="571"/>
      <c r="L202" s="571"/>
      <c r="M202" s="571"/>
      <c r="N202" s="571" t="s">
        <v>1703</v>
      </c>
      <c r="O202" s="603" t="s">
        <v>1704</v>
      </c>
      <c r="P202" s="571"/>
      <c r="Q202" s="571"/>
      <c r="R202" s="625"/>
    </row>
    <row r="203" spans="1:18" s="663" customFormat="1">
      <c r="A203" s="662"/>
      <c r="B203" s="571">
        <v>51</v>
      </c>
      <c r="C203" s="618" t="s">
        <v>1360</v>
      </c>
      <c r="D203" s="571" t="s">
        <v>6</v>
      </c>
      <c r="E203" s="617">
        <v>4</v>
      </c>
      <c r="F203" s="571" t="s">
        <v>63</v>
      </c>
      <c r="G203" s="571"/>
      <c r="H203" s="571" t="s">
        <v>1136</v>
      </c>
      <c r="I203" s="642" t="s">
        <v>1291</v>
      </c>
      <c r="J203" s="571"/>
      <c r="K203" s="571"/>
      <c r="L203" s="571"/>
      <c r="M203" s="571"/>
      <c r="N203" s="571" t="s">
        <v>1703</v>
      </c>
      <c r="O203" s="603" t="s">
        <v>1704</v>
      </c>
      <c r="P203" s="571"/>
      <c r="Q203" s="571"/>
      <c r="R203" s="625"/>
    </row>
    <row r="204" spans="1:18" s="663" customFormat="1">
      <c r="A204" s="662"/>
      <c r="B204" s="571">
        <v>52</v>
      </c>
      <c r="C204" s="618" t="s">
        <v>1361</v>
      </c>
      <c r="D204" s="571" t="s">
        <v>1362</v>
      </c>
      <c r="E204" s="617">
        <v>3</v>
      </c>
      <c r="F204" s="571" t="s">
        <v>63</v>
      </c>
      <c r="G204" s="571"/>
      <c r="H204" s="571" t="s">
        <v>1136</v>
      </c>
      <c r="I204" s="642" t="s">
        <v>1291</v>
      </c>
      <c r="J204" s="571"/>
      <c r="K204" s="571"/>
      <c r="L204" s="571"/>
      <c r="M204" s="571"/>
      <c r="N204" s="571" t="s">
        <v>1703</v>
      </c>
      <c r="O204" s="603" t="s">
        <v>1704</v>
      </c>
      <c r="P204" s="571"/>
      <c r="Q204" s="571"/>
      <c r="R204" s="625"/>
    </row>
    <row r="205" spans="1:18" s="663" customFormat="1">
      <c r="A205" s="662"/>
      <c r="B205" s="571">
        <v>53</v>
      </c>
      <c r="C205" s="616" t="s">
        <v>1363</v>
      </c>
      <c r="D205" s="571" t="s">
        <v>6</v>
      </c>
      <c r="E205" s="617">
        <v>3</v>
      </c>
      <c r="F205" s="571" t="s">
        <v>63</v>
      </c>
      <c r="G205" s="571"/>
      <c r="H205" s="571" t="s">
        <v>1136</v>
      </c>
      <c r="I205" s="642" t="s">
        <v>1291</v>
      </c>
      <c r="J205" s="571"/>
      <c r="K205" s="571"/>
      <c r="L205" s="571"/>
      <c r="M205" s="571"/>
      <c r="N205" s="571" t="s">
        <v>1703</v>
      </c>
      <c r="O205" s="603" t="s">
        <v>1704</v>
      </c>
      <c r="P205" s="571"/>
      <c r="Q205" s="571"/>
      <c r="R205" s="625"/>
    </row>
    <row r="206" spans="1:18" s="663" customFormat="1">
      <c r="A206" s="662"/>
      <c r="B206" s="571">
        <v>54</v>
      </c>
      <c r="C206" s="616" t="s">
        <v>1364</v>
      </c>
      <c r="D206" s="571" t="s">
        <v>6</v>
      </c>
      <c r="E206" s="617">
        <v>12</v>
      </c>
      <c r="F206" s="571" t="s">
        <v>63</v>
      </c>
      <c r="G206" s="571"/>
      <c r="H206" s="571" t="s">
        <v>1136</v>
      </c>
      <c r="I206" s="642" t="s">
        <v>1291</v>
      </c>
      <c r="J206" s="571"/>
      <c r="K206" s="571"/>
      <c r="L206" s="571"/>
      <c r="M206" s="571"/>
      <c r="N206" s="571" t="s">
        <v>1703</v>
      </c>
      <c r="O206" s="603" t="s">
        <v>1704</v>
      </c>
      <c r="P206" s="571"/>
      <c r="Q206" s="571"/>
      <c r="R206" s="625"/>
    </row>
    <row r="207" spans="1:18" s="663" customFormat="1">
      <c r="A207" s="662"/>
      <c r="B207" s="571">
        <v>55</v>
      </c>
      <c r="C207" s="616" t="s">
        <v>1365</v>
      </c>
      <c r="D207" s="571" t="s">
        <v>6</v>
      </c>
      <c r="E207" s="617">
        <v>6</v>
      </c>
      <c r="F207" s="571" t="s">
        <v>63</v>
      </c>
      <c r="G207" s="571"/>
      <c r="H207" s="571" t="s">
        <v>1136</v>
      </c>
      <c r="I207" s="642" t="s">
        <v>1291</v>
      </c>
      <c r="J207" s="571"/>
      <c r="K207" s="571"/>
      <c r="L207" s="571"/>
      <c r="M207" s="571"/>
      <c r="N207" s="571" t="s">
        <v>1703</v>
      </c>
      <c r="O207" s="603" t="s">
        <v>1704</v>
      </c>
      <c r="P207" s="571"/>
      <c r="Q207" s="571"/>
      <c r="R207" s="625"/>
    </row>
    <row r="208" spans="1:18" s="663" customFormat="1">
      <c r="A208" s="662"/>
      <c r="B208" s="571">
        <v>56</v>
      </c>
      <c r="C208" s="616" t="s">
        <v>1366</v>
      </c>
      <c r="D208" s="571" t="s">
        <v>6</v>
      </c>
      <c r="E208" s="617">
        <v>9</v>
      </c>
      <c r="F208" s="571" t="s">
        <v>63</v>
      </c>
      <c r="G208" s="571"/>
      <c r="H208" s="571" t="s">
        <v>1136</v>
      </c>
      <c r="I208" s="642" t="s">
        <v>1291</v>
      </c>
      <c r="J208" s="571"/>
      <c r="K208" s="571"/>
      <c r="L208" s="571"/>
      <c r="M208" s="571"/>
      <c r="N208" s="571" t="s">
        <v>1703</v>
      </c>
      <c r="O208" s="603" t="s">
        <v>1704</v>
      </c>
      <c r="P208" s="571"/>
      <c r="Q208" s="571"/>
      <c r="R208" s="625"/>
    </row>
    <row r="209" spans="1:18" s="663" customFormat="1">
      <c r="A209" s="662"/>
      <c r="B209" s="571">
        <v>57</v>
      </c>
      <c r="C209" s="616" t="s">
        <v>1367</v>
      </c>
      <c r="D209" s="571" t="s">
        <v>6</v>
      </c>
      <c r="E209" s="617">
        <v>1</v>
      </c>
      <c r="F209" s="571" t="s">
        <v>63</v>
      </c>
      <c r="G209" s="571"/>
      <c r="H209" s="571" t="s">
        <v>1136</v>
      </c>
      <c r="I209" s="642" t="s">
        <v>1291</v>
      </c>
      <c r="J209" s="571"/>
      <c r="K209" s="571"/>
      <c r="L209" s="571"/>
      <c r="M209" s="571"/>
      <c r="N209" s="571" t="s">
        <v>1703</v>
      </c>
      <c r="O209" s="603" t="s">
        <v>1704</v>
      </c>
      <c r="P209" s="571"/>
      <c r="Q209" s="571"/>
      <c r="R209" s="625"/>
    </row>
    <row r="210" spans="1:18" s="663" customFormat="1">
      <c r="A210" s="662"/>
      <c r="B210" s="571">
        <v>58</v>
      </c>
      <c r="C210" s="616" t="s">
        <v>1368</v>
      </c>
      <c r="D210" s="571" t="s">
        <v>5</v>
      </c>
      <c r="E210" s="617">
        <v>4</v>
      </c>
      <c r="F210" s="571" t="s">
        <v>63</v>
      </c>
      <c r="G210" s="571"/>
      <c r="H210" s="571" t="s">
        <v>1136</v>
      </c>
      <c r="I210" s="642" t="s">
        <v>1291</v>
      </c>
      <c r="J210" s="571"/>
      <c r="K210" s="571"/>
      <c r="L210" s="571"/>
      <c r="M210" s="571"/>
      <c r="N210" s="571" t="s">
        <v>1703</v>
      </c>
      <c r="O210" s="603" t="s">
        <v>1704</v>
      </c>
      <c r="P210" s="571"/>
      <c r="Q210" s="571"/>
      <c r="R210" s="625"/>
    </row>
    <row r="211" spans="1:18" s="663" customFormat="1">
      <c r="A211" s="662"/>
      <c r="B211" s="571">
        <v>59</v>
      </c>
      <c r="C211" s="616" t="s">
        <v>1369</v>
      </c>
      <c r="D211" s="571" t="s">
        <v>5</v>
      </c>
      <c r="E211" s="617">
        <v>1</v>
      </c>
      <c r="F211" s="571" t="s">
        <v>63</v>
      </c>
      <c r="G211" s="571"/>
      <c r="H211" s="571" t="s">
        <v>1136</v>
      </c>
      <c r="I211" s="642" t="s">
        <v>1291</v>
      </c>
      <c r="J211" s="571"/>
      <c r="K211" s="571"/>
      <c r="L211" s="571"/>
      <c r="M211" s="571"/>
      <c r="N211" s="571" t="s">
        <v>1703</v>
      </c>
      <c r="O211" s="603" t="s">
        <v>1704</v>
      </c>
      <c r="P211" s="571"/>
      <c r="Q211" s="571"/>
      <c r="R211" s="625"/>
    </row>
    <row r="212" spans="1:18" s="663" customFormat="1">
      <c r="A212" s="662"/>
      <c r="B212" s="571">
        <v>60</v>
      </c>
      <c r="C212" s="616" t="s">
        <v>1370</v>
      </c>
      <c r="D212" s="571" t="s">
        <v>1371</v>
      </c>
      <c r="E212" s="617">
        <v>16</v>
      </c>
      <c r="F212" s="571" t="s">
        <v>63</v>
      </c>
      <c r="G212" s="571"/>
      <c r="H212" s="571" t="s">
        <v>1136</v>
      </c>
      <c r="I212" s="642" t="s">
        <v>1291</v>
      </c>
      <c r="J212" s="571"/>
      <c r="K212" s="571"/>
      <c r="L212" s="571"/>
      <c r="M212" s="571"/>
      <c r="N212" s="571" t="s">
        <v>1703</v>
      </c>
      <c r="O212" s="603" t="s">
        <v>1704</v>
      </c>
      <c r="P212" s="571"/>
      <c r="Q212" s="571"/>
      <c r="R212" s="625"/>
    </row>
    <row r="213" spans="1:18" s="663" customFormat="1">
      <c r="A213" s="662"/>
      <c r="B213" s="571">
        <v>61</v>
      </c>
      <c r="C213" s="616" t="s">
        <v>1372</v>
      </c>
      <c r="D213" s="571" t="s">
        <v>1373</v>
      </c>
      <c r="E213" s="617">
        <v>100</v>
      </c>
      <c r="F213" s="571" t="s">
        <v>63</v>
      </c>
      <c r="G213" s="571"/>
      <c r="H213" s="571" t="s">
        <v>1136</v>
      </c>
      <c r="I213" s="642" t="s">
        <v>1291</v>
      </c>
      <c r="J213" s="571"/>
      <c r="K213" s="571"/>
      <c r="L213" s="571"/>
      <c r="M213" s="571"/>
      <c r="N213" s="571" t="s">
        <v>1703</v>
      </c>
      <c r="O213" s="603" t="s">
        <v>1704</v>
      </c>
      <c r="P213" s="571"/>
      <c r="Q213" s="571"/>
      <c r="R213" s="625"/>
    </row>
    <row r="214" spans="1:18" s="663" customFormat="1">
      <c r="A214" s="662"/>
      <c r="B214" s="571">
        <v>62</v>
      </c>
      <c r="C214" s="618" t="s">
        <v>1374</v>
      </c>
      <c r="D214" s="571" t="s">
        <v>1373</v>
      </c>
      <c r="E214" s="617">
        <v>80</v>
      </c>
      <c r="F214" s="571" t="s">
        <v>63</v>
      </c>
      <c r="G214" s="571"/>
      <c r="H214" s="571" t="s">
        <v>1136</v>
      </c>
      <c r="I214" s="642" t="s">
        <v>1291</v>
      </c>
      <c r="J214" s="571"/>
      <c r="K214" s="571"/>
      <c r="L214" s="571"/>
      <c r="M214" s="571"/>
      <c r="N214" s="571" t="s">
        <v>1703</v>
      </c>
      <c r="O214" s="603" t="s">
        <v>1704</v>
      </c>
      <c r="P214" s="571"/>
      <c r="Q214" s="571"/>
      <c r="R214" s="625"/>
    </row>
    <row r="215" spans="1:18" s="663" customFormat="1">
      <c r="A215" s="662" t="s">
        <v>1068</v>
      </c>
      <c r="B215" s="571">
        <v>63</v>
      </c>
      <c r="C215" s="616" t="s">
        <v>1375</v>
      </c>
      <c r="D215" s="571" t="s">
        <v>1310</v>
      </c>
      <c r="E215" s="617">
        <v>4</v>
      </c>
      <c r="F215" s="571" t="s">
        <v>63</v>
      </c>
      <c r="G215" s="571"/>
      <c r="H215" s="571" t="s">
        <v>1136</v>
      </c>
      <c r="I215" s="642" t="s">
        <v>1291</v>
      </c>
      <c r="J215" s="571"/>
      <c r="K215" s="571"/>
      <c r="L215" s="571"/>
      <c r="M215" s="571"/>
      <c r="N215" s="571" t="s">
        <v>1703</v>
      </c>
      <c r="O215" s="603" t="s">
        <v>1704</v>
      </c>
      <c r="P215" s="571"/>
      <c r="Q215" s="571"/>
      <c r="R215" s="625"/>
    </row>
    <row r="216" spans="1:18" s="663" customFormat="1">
      <c r="A216" s="662" t="s">
        <v>1078</v>
      </c>
      <c r="B216" s="571">
        <v>64</v>
      </c>
      <c r="C216" s="616" t="s">
        <v>1316</v>
      </c>
      <c r="D216" s="571" t="s">
        <v>1310</v>
      </c>
      <c r="E216" s="617">
        <v>28</v>
      </c>
      <c r="F216" s="571" t="s">
        <v>63</v>
      </c>
      <c r="G216" s="571"/>
      <c r="H216" s="571" t="s">
        <v>1136</v>
      </c>
      <c r="I216" s="642" t="s">
        <v>1291</v>
      </c>
      <c r="J216" s="571"/>
      <c r="K216" s="571"/>
      <c r="L216" s="571"/>
      <c r="M216" s="571"/>
      <c r="N216" s="571" t="s">
        <v>1703</v>
      </c>
      <c r="O216" s="603" t="s">
        <v>1704</v>
      </c>
      <c r="P216" s="571"/>
      <c r="Q216" s="571"/>
      <c r="R216" s="625"/>
    </row>
    <row r="217" spans="1:18" s="663" customFormat="1">
      <c r="A217" s="662" t="s">
        <v>1639</v>
      </c>
      <c r="B217" s="571">
        <v>65</v>
      </c>
      <c r="C217" s="616" t="s">
        <v>1318</v>
      </c>
      <c r="D217" s="571" t="s">
        <v>1310</v>
      </c>
      <c r="E217" s="617">
        <v>24</v>
      </c>
      <c r="F217" s="571" t="s">
        <v>63</v>
      </c>
      <c r="G217" s="571"/>
      <c r="H217" s="571" t="s">
        <v>1136</v>
      </c>
      <c r="I217" s="642" t="s">
        <v>1291</v>
      </c>
      <c r="J217" s="571"/>
      <c r="K217" s="571"/>
      <c r="L217" s="571"/>
      <c r="M217" s="571"/>
      <c r="N217" s="571" t="s">
        <v>1703</v>
      </c>
      <c r="O217" s="603" t="s">
        <v>1704</v>
      </c>
      <c r="P217" s="571"/>
      <c r="Q217" s="571"/>
      <c r="R217" s="625"/>
    </row>
    <row r="218" spans="1:18" s="663" customFormat="1">
      <c r="A218" s="662" t="s">
        <v>1077</v>
      </c>
      <c r="B218" s="571">
        <v>66</v>
      </c>
      <c r="C218" s="616" t="s">
        <v>1317</v>
      </c>
      <c r="D218" s="571" t="s">
        <v>1310</v>
      </c>
      <c r="E218" s="617">
        <v>52</v>
      </c>
      <c r="F218" s="571" t="s">
        <v>63</v>
      </c>
      <c r="G218" s="571"/>
      <c r="H218" s="571" t="s">
        <v>1136</v>
      </c>
      <c r="I218" s="642" t="s">
        <v>1291</v>
      </c>
      <c r="J218" s="571"/>
      <c r="K218" s="571"/>
      <c r="L218" s="571"/>
      <c r="M218" s="571"/>
      <c r="N218" s="571" t="s">
        <v>1703</v>
      </c>
      <c r="O218" s="603" t="s">
        <v>1704</v>
      </c>
      <c r="P218" s="571"/>
      <c r="Q218" s="571"/>
      <c r="R218" s="625"/>
    </row>
    <row r="219" spans="1:18" s="663" customFormat="1">
      <c r="A219" s="662"/>
      <c r="B219" s="571">
        <v>67</v>
      </c>
      <c r="C219" s="616" t="s">
        <v>1323</v>
      </c>
      <c r="D219" s="571" t="s">
        <v>6</v>
      </c>
      <c r="E219" s="617">
        <v>13</v>
      </c>
      <c r="F219" s="571" t="s">
        <v>63</v>
      </c>
      <c r="G219" s="571"/>
      <c r="H219" s="571" t="s">
        <v>1136</v>
      </c>
      <c r="I219" s="642" t="s">
        <v>1291</v>
      </c>
      <c r="J219" s="571"/>
      <c r="K219" s="571"/>
      <c r="L219" s="571"/>
      <c r="M219" s="571"/>
      <c r="N219" s="571" t="s">
        <v>1703</v>
      </c>
      <c r="O219" s="603" t="s">
        <v>1704</v>
      </c>
      <c r="P219" s="571"/>
      <c r="Q219" s="571"/>
      <c r="R219" s="625"/>
    </row>
    <row r="220" spans="1:18" s="663" customFormat="1">
      <c r="A220" s="662"/>
      <c r="B220" s="571">
        <v>68</v>
      </c>
      <c r="C220" s="616" t="s">
        <v>1339</v>
      </c>
      <c r="D220" s="571" t="s">
        <v>6</v>
      </c>
      <c r="E220" s="617">
        <v>1</v>
      </c>
      <c r="F220" s="571" t="s">
        <v>63</v>
      </c>
      <c r="G220" s="571"/>
      <c r="H220" s="571" t="s">
        <v>1136</v>
      </c>
      <c r="I220" s="642" t="s">
        <v>1291</v>
      </c>
      <c r="J220" s="571"/>
      <c r="K220" s="571"/>
      <c r="L220" s="571"/>
      <c r="M220" s="571"/>
      <c r="N220" s="571" t="s">
        <v>1703</v>
      </c>
      <c r="O220" s="603" t="s">
        <v>1704</v>
      </c>
      <c r="P220" s="571"/>
      <c r="Q220" s="571"/>
      <c r="R220" s="625"/>
    </row>
    <row r="221" spans="1:18" s="663" customFormat="1">
      <c r="A221" s="662"/>
      <c r="B221" s="571">
        <v>69</v>
      </c>
      <c r="C221" s="618" t="s">
        <v>1376</v>
      </c>
      <c r="D221" s="571" t="s">
        <v>6</v>
      </c>
      <c r="E221" s="617">
        <f>4+20</f>
        <v>24</v>
      </c>
      <c r="F221" s="571" t="s">
        <v>63</v>
      </c>
      <c r="G221" s="571"/>
      <c r="H221" s="571" t="s">
        <v>1136</v>
      </c>
      <c r="I221" s="642" t="s">
        <v>1291</v>
      </c>
      <c r="J221" s="571"/>
      <c r="K221" s="571"/>
      <c r="L221" s="571"/>
      <c r="M221" s="571"/>
      <c r="N221" s="571" t="s">
        <v>1703</v>
      </c>
      <c r="O221" s="603" t="s">
        <v>1704</v>
      </c>
      <c r="P221" s="571"/>
      <c r="Q221" s="571"/>
      <c r="R221" s="625"/>
    </row>
    <row r="222" spans="1:18" s="663" customFormat="1">
      <c r="A222" s="662"/>
      <c r="B222" s="571">
        <v>70</v>
      </c>
      <c r="C222" s="618" t="s">
        <v>1347</v>
      </c>
      <c r="D222" s="571" t="s">
        <v>6</v>
      </c>
      <c r="E222" s="617">
        <v>3</v>
      </c>
      <c r="F222" s="571" t="s">
        <v>63</v>
      </c>
      <c r="G222" s="571"/>
      <c r="H222" s="571" t="s">
        <v>1136</v>
      </c>
      <c r="I222" s="642" t="s">
        <v>1291</v>
      </c>
      <c r="J222" s="571"/>
      <c r="K222" s="571"/>
      <c r="L222" s="571"/>
      <c r="M222" s="571"/>
      <c r="N222" s="571" t="s">
        <v>1703</v>
      </c>
      <c r="O222" s="603" t="s">
        <v>1704</v>
      </c>
      <c r="P222" s="571"/>
      <c r="Q222" s="571"/>
      <c r="R222" s="625"/>
    </row>
    <row r="223" spans="1:18" s="663" customFormat="1">
      <c r="A223" s="662"/>
      <c r="B223" s="571">
        <v>71</v>
      </c>
      <c r="C223" s="616" t="s">
        <v>1377</v>
      </c>
      <c r="D223" s="571" t="s">
        <v>6</v>
      </c>
      <c r="E223" s="617">
        <v>3</v>
      </c>
      <c r="F223" s="571" t="s">
        <v>63</v>
      </c>
      <c r="G223" s="571"/>
      <c r="H223" s="571" t="s">
        <v>1136</v>
      </c>
      <c r="I223" s="642" t="s">
        <v>1291</v>
      </c>
      <c r="J223" s="571"/>
      <c r="K223" s="571"/>
      <c r="L223" s="571"/>
      <c r="M223" s="571"/>
      <c r="N223" s="571" t="s">
        <v>1703</v>
      </c>
      <c r="O223" s="603" t="s">
        <v>1704</v>
      </c>
      <c r="P223" s="571"/>
      <c r="Q223" s="571"/>
      <c r="R223" s="625"/>
    </row>
    <row r="224" spans="1:18" s="663" customFormat="1">
      <c r="A224" s="662"/>
      <c r="B224" s="571">
        <v>72</v>
      </c>
      <c r="C224" s="618" t="s">
        <v>1378</v>
      </c>
      <c r="D224" s="571" t="s">
        <v>6</v>
      </c>
      <c r="E224" s="617">
        <v>9</v>
      </c>
      <c r="F224" s="571" t="s">
        <v>63</v>
      </c>
      <c r="G224" s="571"/>
      <c r="H224" s="571" t="s">
        <v>1136</v>
      </c>
      <c r="I224" s="642" t="s">
        <v>1291</v>
      </c>
      <c r="J224" s="571"/>
      <c r="K224" s="571"/>
      <c r="L224" s="571"/>
      <c r="M224" s="571"/>
      <c r="N224" s="571" t="s">
        <v>1703</v>
      </c>
      <c r="O224" s="603" t="s">
        <v>1704</v>
      </c>
      <c r="P224" s="571"/>
      <c r="Q224" s="571"/>
      <c r="R224" s="625"/>
    </row>
    <row r="225" spans="1:18" s="663" customFormat="1">
      <c r="A225" s="662"/>
      <c r="B225" s="571">
        <v>73</v>
      </c>
      <c r="C225" s="616" t="s">
        <v>1379</v>
      </c>
      <c r="D225" s="571" t="s">
        <v>6</v>
      </c>
      <c r="E225" s="617">
        <f>6+40</f>
        <v>46</v>
      </c>
      <c r="F225" s="571" t="s">
        <v>63</v>
      </c>
      <c r="G225" s="571"/>
      <c r="H225" s="571" t="s">
        <v>1136</v>
      </c>
      <c r="I225" s="642" t="s">
        <v>1291</v>
      </c>
      <c r="J225" s="571"/>
      <c r="K225" s="571"/>
      <c r="L225" s="571"/>
      <c r="M225" s="571"/>
      <c r="N225" s="571" t="s">
        <v>1703</v>
      </c>
      <c r="O225" s="603" t="s">
        <v>1704</v>
      </c>
      <c r="P225" s="571"/>
      <c r="Q225" s="571"/>
      <c r="R225" s="625"/>
    </row>
    <row r="226" spans="1:18" s="663" customFormat="1">
      <c r="A226" s="662"/>
      <c r="B226" s="571">
        <v>74</v>
      </c>
      <c r="C226" s="616" t="s">
        <v>1324</v>
      </c>
      <c r="D226" s="571" t="s">
        <v>6</v>
      </c>
      <c r="E226" s="617">
        <v>27</v>
      </c>
      <c r="F226" s="571" t="s">
        <v>63</v>
      </c>
      <c r="G226" s="571"/>
      <c r="H226" s="571" t="s">
        <v>1136</v>
      </c>
      <c r="I226" s="642" t="s">
        <v>1291</v>
      </c>
      <c r="J226" s="571"/>
      <c r="K226" s="571"/>
      <c r="L226" s="571"/>
      <c r="M226" s="571"/>
      <c r="N226" s="571" t="s">
        <v>1703</v>
      </c>
      <c r="O226" s="603" t="s">
        <v>1704</v>
      </c>
      <c r="P226" s="571"/>
      <c r="Q226" s="571"/>
      <c r="R226" s="625"/>
    </row>
    <row r="227" spans="1:18" s="663" customFormat="1">
      <c r="A227" s="662"/>
      <c r="B227" s="571">
        <v>75</v>
      </c>
      <c r="C227" s="616" t="s">
        <v>1380</v>
      </c>
      <c r="D227" s="571" t="s">
        <v>6</v>
      </c>
      <c r="E227" s="617">
        <v>15</v>
      </c>
      <c r="F227" s="571" t="s">
        <v>63</v>
      </c>
      <c r="G227" s="571"/>
      <c r="H227" s="571" t="s">
        <v>1136</v>
      </c>
      <c r="I227" s="642" t="s">
        <v>1291</v>
      </c>
      <c r="J227" s="571"/>
      <c r="K227" s="571"/>
      <c r="L227" s="571"/>
      <c r="M227" s="571"/>
      <c r="N227" s="571" t="s">
        <v>1703</v>
      </c>
      <c r="O227" s="603" t="s">
        <v>1704</v>
      </c>
      <c r="P227" s="571"/>
      <c r="Q227" s="571"/>
      <c r="R227" s="625"/>
    </row>
    <row r="228" spans="1:18" s="663" customFormat="1">
      <c r="A228" s="662"/>
      <c r="B228" s="571">
        <v>76</v>
      </c>
      <c r="C228" s="616" t="s">
        <v>1381</v>
      </c>
      <c r="D228" s="571" t="s">
        <v>6</v>
      </c>
      <c r="E228" s="617">
        <v>26</v>
      </c>
      <c r="F228" s="571" t="s">
        <v>63</v>
      </c>
      <c r="G228" s="571"/>
      <c r="H228" s="571" t="s">
        <v>1136</v>
      </c>
      <c r="I228" s="642" t="s">
        <v>1291</v>
      </c>
      <c r="J228" s="571"/>
      <c r="K228" s="571"/>
      <c r="L228" s="571"/>
      <c r="M228" s="571"/>
      <c r="N228" s="571" t="s">
        <v>1703</v>
      </c>
      <c r="O228" s="603" t="s">
        <v>1704</v>
      </c>
      <c r="P228" s="571"/>
      <c r="Q228" s="571"/>
      <c r="R228" s="625"/>
    </row>
    <row r="229" spans="1:18" s="663" customFormat="1">
      <c r="A229" s="662"/>
      <c r="B229" s="571">
        <v>77</v>
      </c>
      <c r="C229" s="618" t="s">
        <v>1382</v>
      </c>
      <c r="D229" s="571" t="s">
        <v>6</v>
      </c>
      <c r="E229" s="617">
        <v>10</v>
      </c>
      <c r="F229" s="571" t="s">
        <v>63</v>
      </c>
      <c r="G229" s="571"/>
      <c r="H229" s="571" t="s">
        <v>1136</v>
      </c>
      <c r="I229" s="642" t="s">
        <v>1291</v>
      </c>
      <c r="J229" s="571"/>
      <c r="K229" s="571"/>
      <c r="L229" s="571"/>
      <c r="M229" s="571"/>
      <c r="N229" s="571" t="s">
        <v>1703</v>
      </c>
      <c r="O229" s="603" t="s">
        <v>1704</v>
      </c>
      <c r="P229" s="571"/>
      <c r="Q229" s="571"/>
      <c r="R229" s="625"/>
    </row>
    <row r="230" spans="1:18" s="663" customFormat="1">
      <c r="A230" s="662"/>
      <c r="B230" s="571">
        <v>78</v>
      </c>
      <c r="C230" s="618" t="s">
        <v>1383</v>
      </c>
      <c r="D230" s="571" t="s">
        <v>6</v>
      </c>
      <c r="E230" s="617">
        <v>20</v>
      </c>
      <c r="F230" s="571" t="s">
        <v>63</v>
      </c>
      <c r="G230" s="571"/>
      <c r="H230" s="571" t="s">
        <v>1136</v>
      </c>
      <c r="I230" s="642" t="s">
        <v>1291</v>
      </c>
      <c r="J230" s="571"/>
      <c r="K230" s="571"/>
      <c r="L230" s="571"/>
      <c r="M230" s="571"/>
      <c r="N230" s="571" t="s">
        <v>1703</v>
      </c>
      <c r="O230" s="603" t="s">
        <v>1704</v>
      </c>
      <c r="P230" s="571"/>
      <c r="Q230" s="571"/>
      <c r="R230" s="625"/>
    </row>
    <row r="231" spans="1:18" s="663" customFormat="1">
      <c r="A231" s="662"/>
      <c r="B231" s="571">
        <v>79</v>
      </c>
      <c r="C231" s="618" t="s">
        <v>1384</v>
      </c>
      <c r="D231" s="571" t="s">
        <v>6</v>
      </c>
      <c r="E231" s="617">
        <v>9</v>
      </c>
      <c r="F231" s="571" t="s">
        <v>63</v>
      </c>
      <c r="G231" s="571"/>
      <c r="H231" s="571" t="s">
        <v>1136</v>
      </c>
      <c r="I231" s="642" t="s">
        <v>1291</v>
      </c>
      <c r="J231" s="571"/>
      <c r="K231" s="571"/>
      <c r="L231" s="571"/>
      <c r="M231" s="571"/>
      <c r="N231" s="571" t="s">
        <v>1703</v>
      </c>
      <c r="O231" s="603" t="s">
        <v>1704</v>
      </c>
      <c r="P231" s="571"/>
      <c r="Q231" s="571"/>
      <c r="R231" s="625"/>
    </row>
    <row r="232" spans="1:18" s="663" customFormat="1">
      <c r="A232" s="662"/>
      <c r="B232" s="571">
        <v>80</v>
      </c>
      <c r="C232" s="618" t="s">
        <v>1385</v>
      </c>
      <c r="D232" s="571" t="s">
        <v>6</v>
      </c>
      <c r="E232" s="617">
        <v>2</v>
      </c>
      <c r="F232" s="571" t="s">
        <v>63</v>
      </c>
      <c r="G232" s="571"/>
      <c r="H232" s="571" t="s">
        <v>1136</v>
      </c>
      <c r="I232" s="642" t="s">
        <v>1291</v>
      </c>
      <c r="J232" s="571"/>
      <c r="K232" s="571"/>
      <c r="L232" s="571"/>
      <c r="M232" s="571"/>
      <c r="N232" s="571" t="s">
        <v>1703</v>
      </c>
      <c r="O232" s="603" t="s">
        <v>1704</v>
      </c>
      <c r="P232" s="571"/>
      <c r="Q232" s="571"/>
      <c r="R232" s="625"/>
    </row>
    <row r="233" spans="1:18" s="663" customFormat="1">
      <c r="A233" s="662"/>
      <c r="B233" s="571">
        <v>81</v>
      </c>
      <c r="C233" s="618" t="s">
        <v>1386</v>
      </c>
      <c r="D233" s="571" t="s">
        <v>6</v>
      </c>
      <c r="E233" s="617">
        <v>1</v>
      </c>
      <c r="F233" s="571" t="s">
        <v>63</v>
      </c>
      <c r="G233" s="571"/>
      <c r="H233" s="571" t="s">
        <v>1136</v>
      </c>
      <c r="I233" s="642" t="s">
        <v>1291</v>
      </c>
      <c r="J233" s="571"/>
      <c r="K233" s="571"/>
      <c r="L233" s="571"/>
      <c r="M233" s="571"/>
      <c r="N233" s="571" t="s">
        <v>1703</v>
      </c>
      <c r="O233" s="603" t="s">
        <v>1704</v>
      </c>
      <c r="P233" s="571"/>
      <c r="Q233" s="571"/>
      <c r="R233" s="625"/>
    </row>
    <row r="234" spans="1:18" s="663" customFormat="1">
      <c r="A234" s="662"/>
      <c r="B234" s="571">
        <v>82</v>
      </c>
      <c r="C234" s="616" t="s">
        <v>1387</v>
      </c>
      <c r="D234" s="571" t="s">
        <v>6</v>
      </c>
      <c r="E234" s="617">
        <v>6</v>
      </c>
      <c r="F234" s="571" t="s">
        <v>63</v>
      </c>
      <c r="G234" s="571"/>
      <c r="H234" s="571" t="s">
        <v>1136</v>
      </c>
      <c r="I234" s="642" t="s">
        <v>1291</v>
      </c>
      <c r="J234" s="571"/>
      <c r="K234" s="571"/>
      <c r="L234" s="571"/>
      <c r="M234" s="571"/>
      <c r="N234" s="571" t="s">
        <v>1703</v>
      </c>
      <c r="O234" s="603" t="s">
        <v>1704</v>
      </c>
      <c r="P234" s="571"/>
      <c r="Q234" s="571"/>
      <c r="R234" s="625"/>
    </row>
    <row r="235" spans="1:18" s="663" customFormat="1">
      <c r="A235" s="662"/>
      <c r="B235" s="571">
        <v>83</v>
      </c>
      <c r="C235" s="618" t="s">
        <v>1361</v>
      </c>
      <c r="D235" s="571" t="s">
        <v>1362</v>
      </c>
      <c r="E235" s="617">
        <v>2</v>
      </c>
      <c r="F235" s="571" t="s">
        <v>63</v>
      </c>
      <c r="G235" s="571"/>
      <c r="H235" s="571" t="s">
        <v>1136</v>
      </c>
      <c r="I235" s="642" t="s">
        <v>1291</v>
      </c>
      <c r="J235" s="571"/>
      <c r="K235" s="571"/>
      <c r="L235" s="571"/>
      <c r="M235" s="571"/>
      <c r="N235" s="571" t="s">
        <v>1703</v>
      </c>
      <c r="O235" s="603" t="s">
        <v>1704</v>
      </c>
      <c r="P235" s="571"/>
      <c r="Q235" s="571"/>
      <c r="R235" s="625"/>
    </row>
    <row r="236" spans="1:18" s="663" customFormat="1">
      <c r="A236" s="664"/>
      <c r="B236" s="571">
        <v>84</v>
      </c>
      <c r="C236" s="616" t="s">
        <v>1388</v>
      </c>
      <c r="D236" s="571" t="s">
        <v>6</v>
      </c>
      <c r="E236" s="617">
        <v>21</v>
      </c>
      <c r="F236" s="571" t="s">
        <v>63</v>
      </c>
      <c r="G236" s="571"/>
      <c r="H236" s="571" t="s">
        <v>1136</v>
      </c>
      <c r="I236" s="642" t="s">
        <v>1291</v>
      </c>
      <c r="J236" s="571"/>
      <c r="K236" s="571"/>
      <c r="L236" s="571"/>
      <c r="M236" s="571"/>
      <c r="N236" s="571" t="s">
        <v>1703</v>
      </c>
      <c r="O236" s="603" t="s">
        <v>1704</v>
      </c>
      <c r="P236" s="571"/>
      <c r="Q236" s="571"/>
      <c r="R236" s="625"/>
    </row>
    <row r="237" spans="1:18" s="663" customFormat="1" ht="25.5">
      <c r="A237" s="664" t="s">
        <v>218</v>
      </c>
      <c r="B237" s="571">
        <v>85</v>
      </c>
      <c r="C237" s="616" t="s">
        <v>1389</v>
      </c>
      <c r="D237" s="571" t="s">
        <v>6</v>
      </c>
      <c r="E237" s="617">
        <v>1</v>
      </c>
      <c r="F237" s="571" t="s">
        <v>63</v>
      </c>
      <c r="G237" s="571"/>
      <c r="H237" s="571" t="s">
        <v>1136</v>
      </c>
      <c r="I237" s="642" t="s">
        <v>1291</v>
      </c>
      <c r="J237" s="571"/>
      <c r="K237" s="571"/>
      <c r="L237" s="571"/>
      <c r="M237" s="571"/>
      <c r="N237" s="571" t="s">
        <v>1703</v>
      </c>
      <c r="O237" s="603" t="s">
        <v>1704</v>
      </c>
      <c r="P237" s="571"/>
      <c r="Q237" s="571"/>
      <c r="R237" s="625"/>
    </row>
    <row r="238" spans="1:18" s="663" customFormat="1" ht="25.5">
      <c r="A238" s="664" t="s">
        <v>219</v>
      </c>
      <c r="B238" s="571">
        <v>86</v>
      </c>
      <c r="C238" s="616" t="s">
        <v>1390</v>
      </c>
      <c r="D238" s="571" t="s">
        <v>6</v>
      </c>
      <c r="E238" s="617">
        <v>3</v>
      </c>
      <c r="F238" s="571" t="s">
        <v>63</v>
      </c>
      <c r="G238" s="571"/>
      <c r="H238" s="571" t="s">
        <v>1136</v>
      </c>
      <c r="I238" s="642" t="s">
        <v>1291</v>
      </c>
      <c r="J238" s="571"/>
      <c r="K238" s="571"/>
      <c r="L238" s="571"/>
      <c r="M238" s="571"/>
      <c r="N238" s="571" t="s">
        <v>1703</v>
      </c>
      <c r="O238" s="603" t="s">
        <v>1704</v>
      </c>
      <c r="P238" s="571"/>
      <c r="Q238" s="571"/>
      <c r="R238" s="625"/>
    </row>
    <row r="239" spans="1:18" s="663" customFormat="1">
      <c r="A239" s="664"/>
      <c r="B239" s="571">
        <v>87</v>
      </c>
      <c r="C239" s="616" t="s">
        <v>1391</v>
      </c>
      <c r="D239" s="571" t="s">
        <v>6</v>
      </c>
      <c r="E239" s="617">
        <v>6</v>
      </c>
      <c r="F239" s="571" t="s">
        <v>63</v>
      </c>
      <c r="G239" s="571"/>
      <c r="H239" s="571" t="s">
        <v>1136</v>
      </c>
      <c r="I239" s="642" t="s">
        <v>1291</v>
      </c>
      <c r="J239" s="571"/>
      <c r="K239" s="571"/>
      <c r="L239" s="571"/>
      <c r="M239" s="571"/>
      <c r="N239" s="571" t="s">
        <v>1703</v>
      </c>
      <c r="O239" s="603" t="s">
        <v>1704</v>
      </c>
      <c r="P239" s="571"/>
      <c r="Q239" s="571"/>
      <c r="R239" s="625"/>
    </row>
    <row r="240" spans="1:18" s="663" customFormat="1">
      <c r="A240" s="662"/>
      <c r="B240" s="571">
        <v>88</v>
      </c>
      <c r="C240" s="616" t="s">
        <v>1392</v>
      </c>
      <c r="D240" s="571" t="s">
        <v>6</v>
      </c>
      <c r="E240" s="617">
        <v>18</v>
      </c>
      <c r="F240" s="571" t="s">
        <v>63</v>
      </c>
      <c r="G240" s="571"/>
      <c r="H240" s="571" t="s">
        <v>1136</v>
      </c>
      <c r="I240" s="642" t="s">
        <v>1291</v>
      </c>
      <c r="J240" s="571"/>
      <c r="K240" s="571"/>
      <c r="L240" s="571"/>
      <c r="M240" s="571"/>
      <c r="N240" s="571" t="s">
        <v>1703</v>
      </c>
      <c r="O240" s="603" t="s">
        <v>1704</v>
      </c>
      <c r="P240" s="571"/>
      <c r="Q240" s="571"/>
      <c r="R240" s="625"/>
    </row>
    <row r="241" spans="1:18" s="663" customFormat="1">
      <c r="A241" s="662"/>
      <c r="B241" s="571">
        <v>89</v>
      </c>
      <c r="C241" s="616" t="s">
        <v>1393</v>
      </c>
      <c r="D241" s="571" t="s">
        <v>1371</v>
      </c>
      <c r="E241" s="617">
        <v>4</v>
      </c>
      <c r="F241" s="571" t="s">
        <v>63</v>
      </c>
      <c r="G241" s="571"/>
      <c r="H241" s="571" t="s">
        <v>1136</v>
      </c>
      <c r="I241" s="642" t="s">
        <v>1291</v>
      </c>
      <c r="J241" s="571"/>
      <c r="K241" s="571"/>
      <c r="L241" s="571"/>
      <c r="M241" s="571"/>
      <c r="N241" s="571" t="s">
        <v>1703</v>
      </c>
      <c r="O241" s="603" t="s">
        <v>1704</v>
      </c>
      <c r="P241" s="571"/>
      <c r="Q241" s="571"/>
      <c r="R241" s="625"/>
    </row>
    <row r="242" spans="1:18" s="663" customFormat="1">
      <c r="A242" s="662"/>
      <c r="B242" s="571">
        <v>90</v>
      </c>
      <c r="C242" s="616" t="s">
        <v>1372</v>
      </c>
      <c r="D242" s="571" t="s">
        <v>1373</v>
      </c>
      <c r="E242" s="617">
        <v>30</v>
      </c>
      <c r="F242" s="571" t="s">
        <v>63</v>
      </c>
      <c r="G242" s="571"/>
      <c r="H242" s="571" t="s">
        <v>1136</v>
      </c>
      <c r="I242" s="642" t="s">
        <v>1291</v>
      </c>
      <c r="J242" s="571"/>
      <c r="K242" s="571"/>
      <c r="L242" s="571"/>
      <c r="M242" s="571"/>
      <c r="N242" s="571" t="s">
        <v>1703</v>
      </c>
      <c r="O242" s="603" t="s">
        <v>1704</v>
      </c>
      <c r="P242" s="571"/>
      <c r="Q242" s="571"/>
      <c r="R242" s="625"/>
    </row>
    <row r="243" spans="1:18" s="663" customFormat="1">
      <c r="A243" s="662"/>
      <c r="B243" s="571">
        <v>91</v>
      </c>
      <c r="C243" s="618" t="s">
        <v>1374</v>
      </c>
      <c r="D243" s="571" t="s">
        <v>1373</v>
      </c>
      <c r="E243" s="617">
        <v>40</v>
      </c>
      <c r="F243" s="571" t="s">
        <v>63</v>
      </c>
      <c r="G243" s="571"/>
      <c r="H243" s="571" t="s">
        <v>1136</v>
      </c>
      <c r="I243" s="642" t="s">
        <v>1291</v>
      </c>
      <c r="J243" s="571"/>
      <c r="K243" s="571"/>
      <c r="L243" s="571"/>
      <c r="M243" s="571"/>
      <c r="N243" s="571" t="s">
        <v>1703</v>
      </c>
      <c r="O243" s="603" t="s">
        <v>1704</v>
      </c>
      <c r="P243" s="571"/>
      <c r="Q243" s="571"/>
      <c r="R243" s="625"/>
    </row>
    <row r="244" spans="1:18" s="663" customFormat="1">
      <c r="A244" s="662"/>
      <c r="B244" s="571">
        <v>92</v>
      </c>
      <c r="C244" s="618" t="s">
        <v>1394</v>
      </c>
      <c r="D244" s="571" t="s">
        <v>1395</v>
      </c>
      <c r="E244" s="617">
        <v>2</v>
      </c>
      <c r="F244" s="571" t="s">
        <v>63</v>
      </c>
      <c r="G244" s="571"/>
      <c r="H244" s="571" t="s">
        <v>1136</v>
      </c>
      <c r="I244" s="642" t="s">
        <v>1291</v>
      </c>
      <c r="J244" s="571"/>
      <c r="K244" s="571"/>
      <c r="L244" s="571"/>
      <c r="M244" s="571"/>
      <c r="N244" s="571" t="s">
        <v>1703</v>
      </c>
      <c r="O244" s="603" t="s">
        <v>1704</v>
      </c>
      <c r="P244" s="571"/>
      <c r="Q244" s="571"/>
      <c r="R244" s="625"/>
    </row>
    <row r="245" spans="1:18" s="586" customFormat="1">
      <c r="A245" s="661"/>
      <c r="B245" s="597"/>
      <c r="C245" s="598" t="s">
        <v>1265</v>
      </c>
      <c r="D245" s="597"/>
      <c r="E245" s="599"/>
      <c r="F245" s="597"/>
      <c r="G245" s="597"/>
      <c r="H245" s="597"/>
      <c r="I245" s="639"/>
      <c r="J245" s="794"/>
      <c r="K245" s="795"/>
      <c r="L245" s="795"/>
      <c r="M245" s="795"/>
      <c r="N245" s="795"/>
      <c r="O245" s="795"/>
      <c r="P245" s="795"/>
      <c r="Q245" s="795"/>
      <c r="R245" s="796"/>
    </row>
    <row r="246" spans="1:18" s="663" customFormat="1" ht="25.5">
      <c r="A246" s="662" t="s">
        <v>140</v>
      </c>
      <c r="B246" s="571">
        <v>1</v>
      </c>
      <c r="C246" s="616" t="s">
        <v>1396</v>
      </c>
      <c r="D246" s="571" t="s">
        <v>2</v>
      </c>
      <c r="E246" s="617">
        <v>14200</v>
      </c>
      <c r="F246" s="571" t="s">
        <v>1397</v>
      </c>
      <c r="G246" s="571"/>
      <c r="H246" s="571" t="s">
        <v>1398</v>
      </c>
      <c r="I246" s="642"/>
      <c r="J246" s="571"/>
      <c r="K246" s="571"/>
      <c r="L246" s="571"/>
      <c r="M246" s="571"/>
      <c r="N246" s="571" t="s">
        <v>1703</v>
      </c>
      <c r="O246" s="603" t="s">
        <v>1703</v>
      </c>
      <c r="P246" s="571"/>
      <c r="Q246" s="571"/>
      <c r="R246" s="625"/>
    </row>
    <row r="247" spans="1:18" s="663" customFormat="1" ht="25.5">
      <c r="A247" s="662" t="s">
        <v>139</v>
      </c>
      <c r="B247" s="571">
        <v>2</v>
      </c>
      <c r="C247" s="619" t="s">
        <v>1399</v>
      </c>
      <c r="D247" s="571" t="s">
        <v>2</v>
      </c>
      <c r="E247" s="620">
        <v>16975</v>
      </c>
      <c r="F247" s="571" t="s">
        <v>629</v>
      </c>
      <c r="G247" s="571" t="s">
        <v>1400</v>
      </c>
      <c r="H247" s="571" t="s">
        <v>1398</v>
      </c>
      <c r="I247" s="645"/>
      <c r="J247" s="571"/>
      <c r="K247" s="571"/>
      <c r="L247" s="571"/>
      <c r="M247" s="571"/>
      <c r="N247" s="571" t="s">
        <v>1703</v>
      </c>
      <c r="O247" s="603" t="s">
        <v>1704</v>
      </c>
      <c r="P247" s="571"/>
      <c r="Q247" s="571"/>
      <c r="R247" s="625"/>
    </row>
    <row r="248" spans="1:18" s="663" customFormat="1" ht="38.25">
      <c r="A248" s="662" t="s">
        <v>217</v>
      </c>
      <c r="B248" s="587">
        <v>3</v>
      </c>
      <c r="C248" s="621" t="s">
        <v>1401</v>
      </c>
      <c r="D248" s="571" t="s">
        <v>2</v>
      </c>
      <c r="E248" s="620">
        <v>500</v>
      </c>
      <c r="F248" s="571" t="s">
        <v>1402</v>
      </c>
      <c r="G248" s="571" t="s">
        <v>1403</v>
      </c>
      <c r="H248" s="571" t="s">
        <v>1398</v>
      </c>
      <c r="I248" s="645"/>
      <c r="J248" s="571" t="s">
        <v>1703</v>
      </c>
      <c r="K248" s="571"/>
      <c r="L248" s="571" t="s">
        <v>1703</v>
      </c>
      <c r="M248" s="571"/>
      <c r="N248" s="571" t="s">
        <v>1703</v>
      </c>
      <c r="O248" s="603" t="s">
        <v>1703</v>
      </c>
      <c r="P248" s="571"/>
      <c r="Q248" s="571"/>
      <c r="R248" s="625"/>
    </row>
    <row r="249" spans="1:18" s="663" customFormat="1" ht="25.5">
      <c r="A249" s="662" t="s">
        <v>1095</v>
      </c>
      <c r="B249" s="571">
        <v>4</v>
      </c>
      <c r="C249" s="619" t="s">
        <v>1404</v>
      </c>
      <c r="D249" s="571" t="s">
        <v>2</v>
      </c>
      <c r="E249" s="620">
        <v>260</v>
      </c>
      <c r="F249" s="571" t="s">
        <v>623</v>
      </c>
      <c r="G249" s="571"/>
      <c r="H249" s="571" t="s">
        <v>1398</v>
      </c>
      <c r="I249" s="642"/>
      <c r="J249" s="571" t="s">
        <v>1703</v>
      </c>
      <c r="K249" s="571"/>
      <c r="L249" s="571" t="s">
        <v>1703</v>
      </c>
      <c r="M249" s="571"/>
      <c r="N249" s="571" t="s">
        <v>1703</v>
      </c>
      <c r="O249" s="603" t="s">
        <v>1703</v>
      </c>
      <c r="P249" s="571"/>
      <c r="Q249" s="571"/>
      <c r="R249" s="625"/>
    </row>
    <row r="250" spans="1:18" s="663" customFormat="1" ht="25.5">
      <c r="A250" s="662" t="s">
        <v>1093</v>
      </c>
      <c r="B250" s="571">
        <v>5</v>
      </c>
      <c r="C250" s="619" t="s">
        <v>1405</v>
      </c>
      <c r="D250" s="571" t="s">
        <v>2</v>
      </c>
      <c r="E250" s="620">
        <v>130</v>
      </c>
      <c r="F250" s="571" t="s">
        <v>623</v>
      </c>
      <c r="G250" s="571"/>
      <c r="H250" s="571" t="s">
        <v>1398</v>
      </c>
      <c r="I250" s="642"/>
      <c r="J250" s="571" t="s">
        <v>1703</v>
      </c>
      <c r="K250" s="571"/>
      <c r="L250" s="571" t="s">
        <v>1703</v>
      </c>
      <c r="M250" s="571"/>
      <c r="N250" s="571" t="s">
        <v>1703</v>
      </c>
      <c r="O250" s="603" t="s">
        <v>1703</v>
      </c>
      <c r="P250" s="571"/>
      <c r="Q250" s="571"/>
      <c r="R250" s="625"/>
    </row>
    <row r="251" spans="1:18" s="663" customFormat="1" ht="25.5">
      <c r="A251" s="662" t="s">
        <v>1094</v>
      </c>
      <c r="B251" s="571">
        <v>6</v>
      </c>
      <c r="C251" s="619" t="s">
        <v>1406</v>
      </c>
      <c r="D251" s="571" t="s">
        <v>2</v>
      </c>
      <c r="E251" s="620">
        <v>110</v>
      </c>
      <c r="F251" s="571" t="s">
        <v>623</v>
      </c>
      <c r="G251" s="571"/>
      <c r="H251" s="571" t="s">
        <v>1398</v>
      </c>
      <c r="I251" s="642"/>
      <c r="J251" s="571" t="s">
        <v>1703</v>
      </c>
      <c r="K251" s="571"/>
      <c r="L251" s="571" t="s">
        <v>1703</v>
      </c>
      <c r="M251" s="571"/>
      <c r="N251" s="571" t="s">
        <v>1703</v>
      </c>
      <c r="O251" s="603" t="s">
        <v>1703</v>
      </c>
      <c r="P251" s="571"/>
      <c r="Q251" s="571"/>
      <c r="R251" s="625"/>
    </row>
    <row r="252" spans="1:18" s="663" customFormat="1" ht="25.5">
      <c r="A252" s="662" t="s">
        <v>1096</v>
      </c>
      <c r="B252" s="571">
        <v>7</v>
      </c>
      <c r="C252" s="619" t="s">
        <v>1407</v>
      </c>
      <c r="D252" s="571" t="s">
        <v>2</v>
      </c>
      <c r="E252" s="620">
        <v>60</v>
      </c>
      <c r="F252" s="571" t="s">
        <v>623</v>
      </c>
      <c r="G252" s="571"/>
      <c r="H252" s="571" t="s">
        <v>1398</v>
      </c>
      <c r="I252" s="642"/>
      <c r="J252" s="571" t="s">
        <v>1703</v>
      </c>
      <c r="K252" s="571"/>
      <c r="L252" s="571" t="s">
        <v>1703</v>
      </c>
      <c r="M252" s="571"/>
      <c r="N252" s="571" t="s">
        <v>1703</v>
      </c>
      <c r="O252" s="603" t="s">
        <v>1703</v>
      </c>
      <c r="P252" s="571"/>
      <c r="Q252" s="571"/>
      <c r="R252" s="625"/>
    </row>
    <row r="253" spans="1:18" s="663" customFormat="1" ht="25.5">
      <c r="A253" s="662" t="s">
        <v>1097</v>
      </c>
      <c r="B253" s="571">
        <v>8</v>
      </c>
      <c r="C253" s="619" t="s">
        <v>1408</v>
      </c>
      <c r="D253" s="571" t="s">
        <v>2</v>
      </c>
      <c r="E253" s="620">
        <v>260</v>
      </c>
      <c r="F253" s="571" t="s">
        <v>623</v>
      </c>
      <c r="G253" s="571"/>
      <c r="H253" s="571" t="s">
        <v>1398</v>
      </c>
      <c r="I253" s="642"/>
      <c r="J253" s="571" t="s">
        <v>1703</v>
      </c>
      <c r="K253" s="571"/>
      <c r="L253" s="571" t="s">
        <v>1703</v>
      </c>
      <c r="M253" s="571"/>
      <c r="N253" s="571" t="s">
        <v>1703</v>
      </c>
      <c r="O253" s="603" t="s">
        <v>1703</v>
      </c>
      <c r="P253" s="571"/>
      <c r="Q253" s="571"/>
      <c r="R253" s="625"/>
    </row>
    <row r="254" spans="1:18" s="586" customFormat="1">
      <c r="A254" s="661"/>
      <c r="B254" s="597"/>
      <c r="C254" s="598" t="s">
        <v>1266</v>
      </c>
      <c r="D254" s="597"/>
      <c r="E254" s="599"/>
      <c r="F254" s="597"/>
      <c r="G254" s="597"/>
      <c r="H254" s="597"/>
      <c r="I254" s="639"/>
      <c r="J254" s="794"/>
      <c r="K254" s="795"/>
      <c r="L254" s="795"/>
      <c r="M254" s="795"/>
      <c r="N254" s="795"/>
      <c r="O254" s="795"/>
      <c r="P254" s="795"/>
      <c r="Q254" s="795"/>
      <c r="R254" s="796"/>
    </row>
    <row r="255" spans="1:18" s="663" customFormat="1" ht="25.5">
      <c r="A255" s="662" t="s">
        <v>213</v>
      </c>
      <c r="B255" s="587">
        <v>1</v>
      </c>
      <c r="C255" s="622" t="s">
        <v>1409</v>
      </c>
      <c r="D255" s="623" t="s">
        <v>4</v>
      </c>
      <c r="E255" s="624">
        <v>6</v>
      </c>
      <c r="F255" s="624" t="s">
        <v>55</v>
      </c>
      <c r="G255" s="624" t="s">
        <v>1410</v>
      </c>
      <c r="H255" s="571" t="s">
        <v>1411</v>
      </c>
      <c r="I255" s="642"/>
      <c r="J255" s="802" t="s">
        <v>1703</v>
      </c>
      <c r="K255" s="571"/>
      <c r="L255" s="571" t="s">
        <v>1703</v>
      </c>
      <c r="M255" s="571"/>
      <c r="N255" s="571" t="s">
        <v>1703</v>
      </c>
      <c r="O255" s="571" t="s">
        <v>1703</v>
      </c>
      <c r="P255" s="571"/>
      <c r="Q255" s="571"/>
      <c r="R255" s="625"/>
    </row>
    <row r="256" spans="1:18" s="663" customFormat="1" ht="25.5">
      <c r="A256" s="662" t="s">
        <v>214</v>
      </c>
      <c r="B256" s="571">
        <v>2</v>
      </c>
      <c r="C256" s="622" t="s">
        <v>214</v>
      </c>
      <c r="D256" s="623" t="s">
        <v>4</v>
      </c>
      <c r="E256" s="624">
        <v>7</v>
      </c>
      <c r="F256" s="624" t="s">
        <v>55</v>
      </c>
      <c r="G256" s="624" t="s">
        <v>1412</v>
      </c>
      <c r="H256" s="571" t="s">
        <v>1413</v>
      </c>
      <c r="I256" s="642"/>
      <c r="J256" s="802" t="s">
        <v>1703</v>
      </c>
      <c r="K256" s="571"/>
      <c r="L256" s="571" t="s">
        <v>1703</v>
      </c>
      <c r="M256" s="571"/>
      <c r="N256" s="571" t="s">
        <v>1703</v>
      </c>
      <c r="O256" s="571" t="s">
        <v>1703</v>
      </c>
      <c r="P256" s="571"/>
      <c r="Q256" s="571"/>
      <c r="R256" s="625"/>
    </row>
    <row r="257" spans="1:18" s="663" customFormat="1" ht="25.5">
      <c r="A257" s="662" t="s">
        <v>215</v>
      </c>
      <c r="B257" s="571">
        <v>3</v>
      </c>
      <c r="C257" s="622" t="s">
        <v>215</v>
      </c>
      <c r="D257" s="623" t="s">
        <v>4</v>
      </c>
      <c r="E257" s="624">
        <v>18</v>
      </c>
      <c r="F257" s="624" t="s">
        <v>55</v>
      </c>
      <c r="G257" s="624" t="s">
        <v>1414</v>
      </c>
      <c r="H257" s="571" t="s">
        <v>1413</v>
      </c>
      <c r="I257" s="642"/>
      <c r="J257" s="802" t="s">
        <v>1703</v>
      </c>
      <c r="K257" s="571"/>
      <c r="L257" s="571" t="s">
        <v>1703</v>
      </c>
      <c r="M257" s="571"/>
      <c r="N257" s="571" t="s">
        <v>1703</v>
      </c>
      <c r="O257" s="571" t="s">
        <v>1703</v>
      </c>
      <c r="P257" s="571"/>
      <c r="Q257" s="571"/>
      <c r="R257" s="625"/>
    </row>
    <row r="258" spans="1:18" s="663" customFormat="1" ht="25.5">
      <c r="A258" s="662" t="s">
        <v>216</v>
      </c>
      <c r="B258" s="571">
        <v>4</v>
      </c>
      <c r="C258" s="622" t="s">
        <v>216</v>
      </c>
      <c r="D258" s="623" t="s">
        <v>4</v>
      </c>
      <c r="E258" s="624">
        <v>6</v>
      </c>
      <c r="F258" s="624" t="s">
        <v>55</v>
      </c>
      <c r="G258" s="624" t="s">
        <v>1415</v>
      </c>
      <c r="H258" s="571" t="s">
        <v>1413</v>
      </c>
      <c r="I258" s="642"/>
      <c r="J258" s="802" t="s">
        <v>1703</v>
      </c>
      <c r="K258" s="571"/>
      <c r="L258" s="571" t="s">
        <v>1703</v>
      </c>
      <c r="M258" s="571"/>
      <c r="N258" s="571" t="s">
        <v>1703</v>
      </c>
      <c r="O258" s="571" t="s">
        <v>1703</v>
      </c>
      <c r="P258" s="571"/>
      <c r="Q258" s="571"/>
      <c r="R258" s="625"/>
    </row>
    <row r="259" spans="1:18" s="586" customFormat="1">
      <c r="A259" s="661"/>
      <c r="B259" s="597"/>
      <c r="C259" s="598" t="s">
        <v>1267</v>
      </c>
      <c r="D259" s="597"/>
      <c r="E259" s="599"/>
      <c r="F259" s="597"/>
      <c r="G259" s="597"/>
      <c r="H259" s="597"/>
      <c r="I259" s="639"/>
      <c r="J259" s="794"/>
      <c r="K259" s="795"/>
      <c r="L259" s="795"/>
      <c r="M259" s="795"/>
      <c r="N259" s="795"/>
      <c r="O259" s="795"/>
      <c r="P259" s="795"/>
      <c r="Q259" s="795"/>
      <c r="R259" s="796"/>
    </row>
    <row r="260" spans="1:18" s="663" customFormat="1" ht="25.5">
      <c r="A260" s="662" t="s">
        <v>138</v>
      </c>
      <c r="B260" s="587">
        <v>1</v>
      </c>
      <c r="C260" s="625" t="s">
        <v>1416</v>
      </c>
      <c r="D260" s="626" t="s">
        <v>2</v>
      </c>
      <c r="E260" s="624">
        <v>280</v>
      </c>
      <c r="F260" s="623" t="s">
        <v>628</v>
      </c>
      <c r="G260" s="627"/>
      <c r="H260" s="627"/>
      <c r="I260" s="646" t="s">
        <v>1291</v>
      </c>
      <c r="J260" s="802"/>
      <c r="K260" s="571"/>
      <c r="L260" s="571"/>
      <c r="M260" s="571"/>
      <c r="N260" s="571" t="s">
        <v>1703</v>
      </c>
      <c r="O260" s="603" t="s">
        <v>1704</v>
      </c>
      <c r="P260" s="571"/>
      <c r="Q260" s="571"/>
      <c r="R260" s="625"/>
    </row>
    <row r="261" spans="1:18" s="663" customFormat="1" ht="25.5">
      <c r="A261" s="664" t="s">
        <v>203</v>
      </c>
      <c r="B261" s="587">
        <v>2</v>
      </c>
      <c r="C261" s="625" t="s">
        <v>1417</v>
      </c>
      <c r="D261" s="626" t="s">
        <v>2</v>
      </c>
      <c r="E261" s="624">
        <v>92</v>
      </c>
      <c r="F261" s="623" t="s">
        <v>628</v>
      </c>
      <c r="G261" s="627"/>
      <c r="H261" s="627"/>
      <c r="I261" s="647" t="s">
        <v>1291</v>
      </c>
      <c r="J261" s="802"/>
      <c r="K261" s="571"/>
      <c r="L261" s="571"/>
      <c r="M261" s="571"/>
      <c r="N261" s="571" t="s">
        <v>1703</v>
      </c>
      <c r="O261" s="603" t="s">
        <v>1704</v>
      </c>
      <c r="P261" s="571"/>
      <c r="Q261" s="571"/>
      <c r="R261" s="625"/>
    </row>
    <row r="262" spans="1:18" s="663" customFormat="1" ht="25.5">
      <c r="A262" s="662" t="s">
        <v>16</v>
      </c>
      <c r="B262" s="587">
        <v>3</v>
      </c>
      <c r="C262" s="625" t="s">
        <v>1418</v>
      </c>
      <c r="D262" s="626" t="s">
        <v>2</v>
      </c>
      <c r="E262" s="624">
        <v>160</v>
      </c>
      <c r="F262" s="623" t="s">
        <v>628</v>
      </c>
      <c r="G262" s="627"/>
      <c r="H262" s="627"/>
      <c r="I262" s="647" t="s">
        <v>1291</v>
      </c>
      <c r="J262" s="802"/>
      <c r="K262" s="571"/>
      <c r="L262" s="571"/>
      <c r="M262" s="571"/>
      <c r="N262" s="571" t="s">
        <v>1703</v>
      </c>
      <c r="O262" s="603" t="s">
        <v>1704</v>
      </c>
      <c r="P262" s="571"/>
      <c r="Q262" s="571"/>
      <c r="R262" s="625"/>
    </row>
    <row r="263" spans="1:18" s="663" customFormat="1" ht="25.5">
      <c r="A263" s="662" t="s">
        <v>93</v>
      </c>
      <c r="B263" s="587">
        <v>4</v>
      </c>
      <c r="C263" s="625" t="s">
        <v>1419</v>
      </c>
      <c r="D263" s="626" t="s">
        <v>2</v>
      </c>
      <c r="E263" s="624">
        <v>1000</v>
      </c>
      <c r="F263" s="623" t="s">
        <v>628</v>
      </c>
      <c r="G263" s="627"/>
      <c r="H263" s="627"/>
      <c r="I263" s="647" t="s">
        <v>1291</v>
      </c>
      <c r="J263" s="802"/>
      <c r="K263" s="571"/>
      <c r="L263" s="571"/>
      <c r="M263" s="571"/>
      <c r="N263" s="571" t="s">
        <v>1703</v>
      </c>
      <c r="O263" s="603" t="s">
        <v>1704</v>
      </c>
      <c r="P263" s="571"/>
      <c r="Q263" s="571"/>
      <c r="R263" s="625"/>
    </row>
    <row r="264" spans="1:18" s="663" customFormat="1" ht="25.5">
      <c r="A264" s="662" t="s">
        <v>23</v>
      </c>
      <c r="B264" s="587">
        <v>5</v>
      </c>
      <c r="C264" s="625" t="s">
        <v>1420</v>
      </c>
      <c r="D264" s="626" t="s">
        <v>2</v>
      </c>
      <c r="E264" s="624">
        <v>210</v>
      </c>
      <c r="F264" s="623" t="s">
        <v>628</v>
      </c>
      <c r="G264" s="627"/>
      <c r="H264" s="627"/>
      <c r="I264" s="647" t="s">
        <v>1291</v>
      </c>
      <c r="J264" s="802"/>
      <c r="K264" s="571"/>
      <c r="L264" s="571"/>
      <c r="M264" s="571"/>
      <c r="N264" s="571" t="s">
        <v>1703</v>
      </c>
      <c r="O264" s="603" t="s">
        <v>1704</v>
      </c>
      <c r="P264" s="571"/>
      <c r="Q264" s="571"/>
      <c r="R264" s="625"/>
    </row>
    <row r="265" spans="1:18" s="663" customFormat="1">
      <c r="A265" s="664" t="s">
        <v>1640</v>
      </c>
      <c r="B265" s="587">
        <v>6</v>
      </c>
      <c r="C265" s="625" t="s">
        <v>1421</v>
      </c>
      <c r="D265" s="626" t="s">
        <v>2</v>
      </c>
      <c r="E265" s="624">
        <f>100+79</f>
        <v>179</v>
      </c>
      <c r="F265" s="623" t="s">
        <v>628</v>
      </c>
      <c r="G265" s="627"/>
      <c r="H265" s="627"/>
      <c r="I265" s="647" t="s">
        <v>1291</v>
      </c>
      <c r="J265" s="802"/>
      <c r="K265" s="571"/>
      <c r="L265" s="571"/>
      <c r="M265" s="571"/>
      <c r="N265" s="571" t="s">
        <v>1703</v>
      </c>
      <c r="O265" s="603" t="s">
        <v>1704</v>
      </c>
      <c r="P265" s="571"/>
      <c r="Q265" s="571"/>
      <c r="R265" s="625"/>
    </row>
    <row r="266" spans="1:18" s="663" customFormat="1">
      <c r="A266" s="662" t="s">
        <v>137</v>
      </c>
      <c r="B266" s="587">
        <v>7</v>
      </c>
      <c r="C266" s="625" t="s">
        <v>1422</v>
      </c>
      <c r="D266" s="626" t="s">
        <v>2</v>
      </c>
      <c r="E266" s="624">
        <v>70</v>
      </c>
      <c r="F266" s="623" t="s">
        <v>628</v>
      </c>
      <c r="G266" s="627"/>
      <c r="H266" s="627"/>
      <c r="I266" s="647" t="s">
        <v>1291</v>
      </c>
      <c r="J266" s="802"/>
      <c r="K266" s="571"/>
      <c r="L266" s="571"/>
      <c r="M266" s="571"/>
      <c r="N266" s="571" t="s">
        <v>1703</v>
      </c>
      <c r="O266" s="603" t="s">
        <v>1704</v>
      </c>
      <c r="P266" s="571"/>
      <c r="Q266" s="571"/>
      <c r="R266" s="625"/>
    </row>
    <row r="267" spans="1:18" s="663" customFormat="1">
      <c r="A267" s="662" t="s">
        <v>204</v>
      </c>
      <c r="B267" s="587">
        <v>8</v>
      </c>
      <c r="C267" s="625" t="s">
        <v>1423</v>
      </c>
      <c r="D267" s="626" t="s">
        <v>2</v>
      </c>
      <c r="E267" s="624">
        <v>23</v>
      </c>
      <c r="F267" s="623" t="s">
        <v>628</v>
      </c>
      <c r="G267" s="627"/>
      <c r="H267" s="627"/>
      <c r="I267" s="647" t="s">
        <v>1291</v>
      </c>
      <c r="J267" s="802"/>
      <c r="K267" s="571"/>
      <c r="L267" s="571"/>
      <c r="M267" s="571"/>
      <c r="N267" s="571" t="s">
        <v>1703</v>
      </c>
      <c r="O267" s="603" t="s">
        <v>1704</v>
      </c>
      <c r="P267" s="571"/>
      <c r="Q267" s="571"/>
      <c r="R267" s="625"/>
    </row>
    <row r="268" spans="1:18" s="663" customFormat="1">
      <c r="A268" s="662" t="s">
        <v>15</v>
      </c>
      <c r="B268" s="587">
        <v>9</v>
      </c>
      <c r="C268" s="625" t="s">
        <v>1424</v>
      </c>
      <c r="D268" s="626" t="s">
        <v>2</v>
      </c>
      <c r="E268" s="624">
        <f>1500+700</f>
        <v>2200</v>
      </c>
      <c r="F268" s="623" t="s">
        <v>628</v>
      </c>
      <c r="G268" s="627"/>
      <c r="H268" s="627"/>
      <c r="I268" s="647" t="s">
        <v>1291</v>
      </c>
      <c r="J268" s="802"/>
      <c r="K268" s="571"/>
      <c r="L268" s="571"/>
      <c r="M268" s="571"/>
      <c r="N268" s="571" t="s">
        <v>1703</v>
      </c>
      <c r="O268" s="603" t="s">
        <v>1704</v>
      </c>
      <c r="P268" s="571"/>
      <c r="Q268" s="571"/>
      <c r="R268" s="625"/>
    </row>
    <row r="269" spans="1:18" s="663" customFormat="1">
      <c r="A269" s="662" t="s">
        <v>15</v>
      </c>
      <c r="B269" s="587">
        <v>10</v>
      </c>
      <c r="C269" s="625" t="s">
        <v>1425</v>
      </c>
      <c r="D269" s="626" t="s">
        <v>2</v>
      </c>
      <c r="E269" s="624">
        <f t="shared" ref="E269:E270" si="0">1500+700</f>
        <v>2200</v>
      </c>
      <c r="F269" s="623" t="s">
        <v>628</v>
      </c>
      <c r="G269" s="624"/>
      <c r="H269" s="571"/>
      <c r="I269" s="647" t="s">
        <v>1291</v>
      </c>
      <c r="J269" s="802"/>
      <c r="K269" s="571"/>
      <c r="L269" s="571"/>
      <c r="M269" s="571"/>
      <c r="N269" s="571" t="s">
        <v>1703</v>
      </c>
      <c r="O269" s="603" t="s">
        <v>1704</v>
      </c>
      <c r="P269" s="571"/>
      <c r="Q269" s="571"/>
      <c r="R269" s="625"/>
    </row>
    <row r="270" spans="1:18" s="663" customFormat="1">
      <c r="A270" s="662" t="s">
        <v>15</v>
      </c>
      <c r="B270" s="587">
        <v>11</v>
      </c>
      <c r="C270" s="625" t="s">
        <v>1426</v>
      </c>
      <c r="D270" s="626" t="s">
        <v>2</v>
      </c>
      <c r="E270" s="624">
        <f t="shared" si="0"/>
        <v>2200</v>
      </c>
      <c r="F270" s="623" t="s">
        <v>628</v>
      </c>
      <c r="G270" s="624"/>
      <c r="H270" s="571"/>
      <c r="I270" s="647" t="s">
        <v>1291</v>
      </c>
      <c r="J270" s="802"/>
      <c r="K270" s="571"/>
      <c r="L270" s="571"/>
      <c r="M270" s="571"/>
      <c r="N270" s="571" t="s">
        <v>1703</v>
      </c>
      <c r="O270" s="603" t="s">
        <v>1704</v>
      </c>
      <c r="P270" s="571"/>
      <c r="Q270" s="571"/>
      <c r="R270" s="625"/>
    </row>
    <row r="271" spans="1:18" s="663" customFormat="1">
      <c r="A271" s="662" t="s">
        <v>14</v>
      </c>
      <c r="B271" s="587">
        <v>12</v>
      </c>
      <c r="C271" s="625" t="s">
        <v>1427</v>
      </c>
      <c r="D271" s="626" t="s">
        <v>2</v>
      </c>
      <c r="E271" s="624">
        <f>1000+1100+200</f>
        <v>2300</v>
      </c>
      <c r="F271" s="623" t="s">
        <v>628</v>
      </c>
      <c r="G271" s="624"/>
      <c r="H271" s="571"/>
      <c r="I271" s="647" t="s">
        <v>1291</v>
      </c>
      <c r="J271" s="571"/>
      <c r="K271" s="571"/>
      <c r="L271" s="571"/>
      <c r="M271" s="571"/>
      <c r="N271" s="571" t="s">
        <v>1703</v>
      </c>
      <c r="O271" s="603" t="s">
        <v>1704</v>
      </c>
      <c r="P271" s="571"/>
      <c r="Q271" s="571"/>
      <c r="R271" s="625"/>
    </row>
    <row r="272" spans="1:18" s="663" customFormat="1" ht="25.5">
      <c r="A272" s="662" t="s">
        <v>14</v>
      </c>
      <c r="B272" s="587">
        <v>13</v>
      </c>
      <c r="C272" s="625" t="s">
        <v>1428</v>
      </c>
      <c r="D272" s="626" t="s">
        <v>2</v>
      </c>
      <c r="E272" s="624">
        <f>1000+1000+200</f>
        <v>2200</v>
      </c>
      <c r="F272" s="623" t="s">
        <v>628</v>
      </c>
      <c r="G272" s="624"/>
      <c r="H272" s="571"/>
      <c r="I272" s="647" t="s">
        <v>1291</v>
      </c>
      <c r="J272" s="571"/>
      <c r="K272" s="571"/>
      <c r="L272" s="571"/>
      <c r="M272" s="571"/>
      <c r="N272" s="571" t="s">
        <v>1703</v>
      </c>
      <c r="O272" s="603" t="s">
        <v>1704</v>
      </c>
      <c r="P272" s="571"/>
      <c r="Q272" s="571"/>
      <c r="R272" s="625"/>
    </row>
    <row r="273" spans="1:18" s="663" customFormat="1">
      <c r="A273" s="662" t="s">
        <v>14</v>
      </c>
      <c r="B273" s="587">
        <v>14</v>
      </c>
      <c r="C273" s="625" t="s">
        <v>1429</v>
      </c>
      <c r="D273" s="626" t="s">
        <v>2</v>
      </c>
      <c r="E273" s="624">
        <f>1400+1000+200</f>
        <v>2600</v>
      </c>
      <c r="F273" s="623" t="s">
        <v>628</v>
      </c>
      <c r="G273" s="571"/>
      <c r="H273" s="571"/>
      <c r="I273" s="647" t="s">
        <v>1291</v>
      </c>
      <c r="J273" s="571"/>
      <c r="K273" s="571"/>
      <c r="L273" s="571"/>
      <c r="M273" s="571"/>
      <c r="N273" s="571" t="s">
        <v>1703</v>
      </c>
      <c r="O273" s="603" t="s">
        <v>1704</v>
      </c>
      <c r="P273" s="571"/>
      <c r="Q273" s="571"/>
      <c r="R273" s="625"/>
    </row>
    <row r="274" spans="1:18" s="663" customFormat="1">
      <c r="A274" s="662" t="s">
        <v>13</v>
      </c>
      <c r="B274" s="587">
        <v>15</v>
      </c>
      <c r="C274" s="625" t="s">
        <v>1430</v>
      </c>
      <c r="D274" s="626" t="s">
        <v>2</v>
      </c>
      <c r="E274" s="624">
        <v>900</v>
      </c>
      <c r="F274" s="623" t="s">
        <v>628</v>
      </c>
      <c r="G274" s="624"/>
      <c r="H274" s="571"/>
      <c r="I274" s="647" t="s">
        <v>1291</v>
      </c>
      <c r="J274" s="571"/>
      <c r="K274" s="571"/>
      <c r="L274" s="571"/>
      <c r="M274" s="571"/>
      <c r="N274" s="571" t="s">
        <v>1703</v>
      </c>
      <c r="O274" s="603" t="s">
        <v>1704</v>
      </c>
      <c r="P274" s="571"/>
      <c r="Q274" s="571"/>
      <c r="R274" s="625"/>
    </row>
    <row r="275" spans="1:18" s="663" customFormat="1" ht="25.5">
      <c r="A275" s="662" t="s">
        <v>13</v>
      </c>
      <c r="B275" s="587">
        <v>16</v>
      </c>
      <c r="C275" s="625" t="s">
        <v>1431</v>
      </c>
      <c r="D275" s="626" t="s">
        <v>2</v>
      </c>
      <c r="E275" s="624">
        <v>900</v>
      </c>
      <c r="F275" s="623" t="s">
        <v>628</v>
      </c>
      <c r="G275" s="624"/>
      <c r="H275" s="571"/>
      <c r="I275" s="647" t="s">
        <v>1291</v>
      </c>
      <c r="J275" s="571"/>
      <c r="K275" s="571"/>
      <c r="L275" s="571"/>
      <c r="M275" s="571"/>
      <c r="N275" s="571" t="s">
        <v>1703</v>
      </c>
      <c r="O275" s="603" t="s">
        <v>1704</v>
      </c>
      <c r="P275" s="571"/>
      <c r="Q275" s="571"/>
      <c r="R275" s="625"/>
    </row>
    <row r="276" spans="1:18" s="663" customFormat="1">
      <c r="A276" s="662" t="s">
        <v>13</v>
      </c>
      <c r="B276" s="587">
        <v>17</v>
      </c>
      <c r="C276" s="625" t="s">
        <v>1432</v>
      </c>
      <c r="D276" s="626" t="s">
        <v>2</v>
      </c>
      <c r="E276" s="624">
        <v>500</v>
      </c>
      <c r="F276" s="623" t="s">
        <v>628</v>
      </c>
      <c r="G276" s="571"/>
      <c r="H276" s="571"/>
      <c r="I276" s="647" t="s">
        <v>1291</v>
      </c>
      <c r="J276" s="571"/>
      <c r="K276" s="571"/>
      <c r="L276" s="571"/>
      <c r="M276" s="571"/>
      <c r="N276" s="571" t="s">
        <v>1703</v>
      </c>
      <c r="O276" s="603" t="s">
        <v>1704</v>
      </c>
      <c r="P276" s="571"/>
      <c r="Q276" s="571"/>
      <c r="R276" s="625"/>
    </row>
    <row r="277" spans="1:18" s="586" customFormat="1">
      <c r="A277" s="661"/>
      <c r="B277" s="597"/>
      <c r="C277" s="598" t="s">
        <v>1268</v>
      </c>
      <c r="D277" s="597"/>
      <c r="E277" s="599"/>
      <c r="F277" s="597"/>
      <c r="G277" s="597"/>
      <c r="H277" s="597"/>
      <c r="I277" s="639"/>
      <c r="J277" s="794"/>
      <c r="K277" s="795"/>
      <c r="L277" s="795"/>
      <c r="M277" s="795"/>
      <c r="N277" s="795"/>
      <c r="O277" s="795"/>
      <c r="P277" s="795"/>
      <c r="Q277" s="795"/>
      <c r="R277" s="796"/>
    </row>
    <row r="278" spans="1:18" s="663" customFormat="1">
      <c r="A278" s="662"/>
      <c r="B278" s="587">
        <v>1</v>
      </c>
      <c r="C278" s="625" t="s">
        <v>1433</v>
      </c>
      <c r="D278" s="571" t="s">
        <v>615</v>
      </c>
      <c r="E278" s="624">
        <v>18</v>
      </c>
      <c r="F278" s="623" t="s">
        <v>624</v>
      </c>
      <c r="G278" s="587" t="s">
        <v>1434</v>
      </c>
      <c r="H278" s="627"/>
      <c r="I278" s="646" t="s">
        <v>1291</v>
      </c>
      <c r="J278" s="802"/>
      <c r="K278" s="571"/>
      <c r="L278" s="571"/>
      <c r="M278" s="571"/>
      <c r="N278" s="571" t="s">
        <v>1703</v>
      </c>
      <c r="O278" s="603" t="s">
        <v>1704</v>
      </c>
      <c r="P278" s="571"/>
      <c r="Q278" s="571"/>
      <c r="R278" s="625"/>
    </row>
    <row r="279" spans="1:18" s="663" customFormat="1" ht="25.5">
      <c r="A279" s="662" t="s">
        <v>1008</v>
      </c>
      <c r="B279" s="587">
        <v>2</v>
      </c>
      <c r="C279" s="625" t="s">
        <v>1435</v>
      </c>
      <c r="D279" s="571" t="s">
        <v>615</v>
      </c>
      <c r="E279" s="624">
        <v>12</v>
      </c>
      <c r="F279" s="623" t="s">
        <v>624</v>
      </c>
      <c r="G279" s="587" t="s">
        <v>1436</v>
      </c>
      <c r="H279" s="627"/>
      <c r="I279" s="647" t="s">
        <v>1291</v>
      </c>
      <c r="J279" s="802"/>
      <c r="K279" s="571"/>
      <c r="L279" s="571"/>
      <c r="M279" s="571"/>
      <c r="N279" s="571" t="s">
        <v>1703</v>
      </c>
      <c r="O279" s="603" t="s">
        <v>1704</v>
      </c>
      <c r="P279" s="571"/>
      <c r="Q279" s="571"/>
      <c r="R279" s="625"/>
    </row>
    <row r="280" spans="1:18" s="663" customFormat="1">
      <c r="A280" s="662" t="s">
        <v>1641</v>
      </c>
      <c r="B280" s="587">
        <v>3</v>
      </c>
      <c r="C280" s="625" t="s">
        <v>1437</v>
      </c>
      <c r="D280" s="571" t="s">
        <v>615</v>
      </c>
      <c r="E280" s="624">
        <v>12</v>
      </c>
      <c r="F280" s="623" t="s">
        <v>624</v>
      </c>
      <c r="G280" s="587" t="s">
        <v>176</v>
      </c>
      <c r="H280" s="627"/>
      <c r="I280" s="647" t="s">
        <v>1291</v>
      </c>
      <c r="J280" s="802"/>
      <c r="K280" s="571"/>
      <c r="L280" s="571"/>
      <c r="M280" s="571"/>
      <c r="N280" s="571" t="s">
        <v>1703</v>
      </c>
      <c r="O280" s="603" t="s">
        <v>1704</v>
      </c>
      <c r="P280" s="571"/>
      <c r="Q280" s="571"/>
      <c r="R280" s="625"/>
    </row>
    <row r="281" spans="1:18" s="663" customFormat="1">
      <c r="A281" s="662" t="s">
        <v>1009</v>
      </c>
      <c r="B281" s="587">
        <v>4</v>
      </c>
      <c r="C281" s="625" t="s">
        <v>1438</v>
      </c>
      <c r="D281" s="571" t="s">
        <v>617</v>
      </c>
      <c r="E281" s="624">
        <v>9</v>
      </c>
      <c r="F281" s="623" t="s">
        <v>624</v>
      </c>
      <c r="G281" s="587" t="s">
        <v>1439</v>
      </c>
      <c r="H281" s="627"/>
      <c r="I281" s="647" t="s">
        <v>1291</v>
      </c>
      <c r="J281" s="802"/>
      <c r="K281" s="571"/>
      <c r="L281" s="571"/>
      <c r="M281" s="571"/>
      <c r="N281" s="571" t="s">
        <v>1703</v>
      </c>
      <c r="O281" s="603" t="s">
        <v>1704</v>
      </c>
      <c r="P281" s="571"/>
      <c r="Q281" s="571"/>
      <c r="R281" s="625"/>
    </row>
    <row r="282" spans="1:18" s="663" customFormat="1">
      <c r="A282" s="662"/>
      <c r="B282" s="587">
        <v>5</v>
      </c>
      <c r="C282" s="625" t="s">
        <v>1440</v>
      </c>
      <c r="D282" s="571" t="s">
        <v>615</v>
      </c>
      <c r="E282" s="624">
        <v>9</v>
      </c>
      <c r="F282" s="623" t="s">
        <v>624</v>
      </c>
      <c r="G282" s="587" t="s">
        <v>1441</v>
      </c>
      <c r="H282" s="627"/>
      <c r="I282" s="647" t="s">
        <v>1291</v>
      </c>
      <c r="J282" s="802"/>
      <c r="K282" s="571"/>
      <c r="L282" s="571"/>
      <c r="M282" s="571"/>
      <c r="N282" s="571" t="s">
        <v>1703</v>
      </c>
      <c r="O282" s="603" t="s">
        <v>1704</v>
      </c>
      <c r="P282" s="571"/>
      <c r="Q282" s="571"/>
      <c r="R282" s="625"/>
    </row>
    <row r="283" spans="1:18" s="663" customFormat="1">
      <c r="A283" s="662" t="s">
        <v>144</v>
      </c>
      <c r="B283" s="587">
        <v>6</v>
      </c>
      <c r="C283" s="621" t="s">
        <v>1442</v>
      </c>
      <c r="D283" s="571" t="s">
        <v>615</v>
      </c>
      <c r="E283" s="628">
        <v>6</v>
      </c>
      <c r="F283" s="571" t="s">
        <v>1443</v>
      </c>
      <c r="G283" s="571" t="s">
        <v>1444</v>
      </c>
      <c r="H283" s="587"/>
      <c r="I283" s="647" t="s">
        <v>1291</v>
      </c>
      <c r="J283" s="802"/>
      <c r="K283" s="571"/>
      <c r="L283" s="571"/>
      <c r="M283" s="571"/>
      <c r="N283" s="571" t="s">
        <v>1703</v>
      </c>
      <c r="O283" s="603" t="s">
        <v>1704</v>
      </c>
      <c r="P283" s="571"/>
      <c r="Q283" s="571"/>
      <c r="R283" s="625"/>
    </row>
    <row r="284" spans="1:18" s="663" customFormat="1">
      <c r="A284" s="662"/>
      <c r="B284" s="587">
        <v>7</v>
      </c>
      <c r="C284" s="621" t="s">
        <v>1445</v>
      </c>
      <c r="D284" s="571" t="s">
        <v>617</v>
      </c>
      <c r="E284" s="628">
        <v>18</v>
      </c>
      <c r="F284" s="571" t="s">
        <v>624</v>
      </c>
      <c r="G284" s="571" t="s">
        <v>1446</v>
      </c>
      <c r="H284" s="587"/>
      <c r="I284" s="647" t="s">
        <v>1291</v>
      </c>
      <c r="J284" s="802"/>
      <c r="K284" s="571"/>
      <c r="L284" s="571"/>
      <c r="M284" s="571"/>
      <c r="N284" s="571" t="s">
        <v>1703</v>
      </c>
      <c r="O284" s="603" t="s">
        <v>1704</v>
      </c>
      <c r="P284" s="571"/>
      <c r="Q284" s="571"/>
      <c r="R284" s="625"/>
    </row>
    <row r="285" spans="1:18" s="663" customFormat="1">
      <c r="A285" s="662"/>
      <c r="B285" s="587">
        <v>8</v>
      </c>
      <c r="C285" s="621" t="s">
        <v>1447</v>
      </c>
      <c r="D285" s="571" t="s">
        <v>617</v>
      </c>
      <c r="E285" s="628">
        <v>12</v>
      </c>
      <c r="F285" s="571" t="s">
        <v>624</v>
      </c>
      <c r="G285" s="571" t="s">
        <v>1448</v>
      </c>
      <c r="H285" s="587"/>
      <c r="I285" s="647" t="s">
        <v>1291</v>
      </c>
      <c r="J285" s="802"/>
      <c r="K285" s="571"/>
      <c r="L285" s="571"/>
      <c r="M285" s="571"/>
      <c r="N285" s="571" t="s">
        <v>1703</v>
      </c>
      <c r="O285" s="603" t="s">
        <v>1704</v>
      </c>
      <c r="P285" s="571"/>
      <c r="Q285" s="571"/>
      <c r="R285" s="625"/>
    </row>
    <row r="286" spans="1:18" s="663" customFormat="1" ht="25.5">
      <c r="A286" s="662"/>
      <c r="B286" s="587">
        <v>9</v>
      </c>
      <c r="C286" s="621" t="s">
        <v>1449</v>
      </c>
      <c r="D286" s="571" t="s">
        <v>617</v>
      </c>
      <c r="E286" s="628">
        <v>12</v>
      </c>
      <c r="F286" s="571" t="s">
        <v>624</v>
      </c>
      <c r="G286" s="571" t="s">
        <v>1450</v>
      </c>
      <c r="H286" s="587"/>
      <c r="I286" s="647"/>
      <c r="J286" s="802"/>
      <c r="K286" s="571"/>
      <c r="L286" s="571"/>
      <c r="M286" s="571"/>
      <c r="N286" s="571" t="s">
        <v>1703</v>
      </c>
      <c r="O286" s="603" t="s">
        <v>1704</v>
      </c>
      <c r="P286" s="571"/>
      <c r="Q286" s="571"/>
      <c r="R286" s="625"/>
    </row>
    <row r="287" spans="1:18" s="663" customFormat="1" ht="25.5">
      <c r="A287" s="662" t="s">
        <v>1007</v>
      </c>
      <c r="B287" s="587">
        <v>10</v>
      </c>
      <c r="C287" s="621" t="s">
        <v>1451</v>
      </c>
      <c r="D287" s="571" t="s">
        <v>617</v>
      </c>
      <c r="E287" s="709">
        <v>18</v>
      </c>
      <c r="F287" s="571" t="s">
        <v>624</v>
      </c>
      <c r="G287" s="571" t="s">
        <v>1452</v>
      </c>
      <c r="H287" s="587"/>
      <c r="I287" s="647" t="s">
        <v>1291</v>
      </c>
      <c r="J287" s="802"/>
      <c r="K287" s="571"/>
      <c r="L287" s="571"/>
      <c r="M287" s="571"/>
      <c r="N287" s="571" t="s">
        <v>1703</v>
      </c>
      <c r="O287" s="603" t="s">
        <v>1704</v>
      </c>
      <c r="P287" s="571"/>
      <c r="Q287" s="571"/>
      <c r="R287" s="625"/>
    </row>
    <row r="288" spans="1:18" s="663" customFormat="1">
      <c r="A288" s="662"/>
      <c r="B288" s="587">
        <v>11</v>
      </c>
      <c r="C288" s="621" t="s">
        <v>1453</v>
      </c>
      <c r="D288" s="571" t="s">
        <v>615</v>
      </c>
      <c r="E288" s="628">
        <v>12</v>
      </c>
      <c r="F288" s="571"/>
      <c r="G288" s="571" t="s">
        <v>1454</v>
      </c>
      <c r="H288" s="587"/>
      <c r="I288" s="647"/>
      <c r="J288" s="802"/>
      <c r="K288" s="571"/>
      <c r="L288" s="571"/>
      <c r="M288" s="571"/>
      <c r="N288" s="571" t="s">
        <v>1703</v>
      </c>
      <c r="O288" s="603" t="s">
        <v>1704</v>
      </c>
      <c r="P288" s="571"/>
      <c r="Q288" s="571"/>
      <c r="R288" s="625"/>
    </row>
    <row r="289" spans="1:18" s="714" customFormat="1">
      <c r="A289" s="664" t="s">
        <v>1110</v>
      </c>
      <c r="B289" s="721">
        <v>12</v>
      </c>
      <c r="C289" s="722" t="s">
        <v>1455</v>
      </c>
      <c r="D289" s="711" t="s">
        <v>615</v>
      </c>
      <c r="E289" s="709">
        <v>1</v>
      </c>
      <c r="F289" s="711" t="s">
        <v>1456</v>
      </c>
      <c r="G289" s="711"/>
      <c r="H289" s="721"/>
      <c r="I289" s="723"/>
      <c r="J289" s="711"/>
      <c r="K289" s="711"/>
      <c r="L289" s="711"/>
      <c r="M289" s="711"/>
      <c r="N289" s="711" t="s">
        <v>1703</v>
      </c>
      <c r="O289" s="711"/>
      <c r="P289" s="711"/>
      <c r="Q289" s="711"/>
      <c r="R289" s="715"/>
    </row>
    <row r="290" spans="1:18" s="714" customFormat="1">
      <c r="A290" s="664" t="s">
        <v>1642</v>
      </c>
      <c r="B290" s="721">
        <v>13</v>
      </c>
      <c r="C290" s="722" t="s">
        <v>1457</v>
      </c>
      <c r="D290" s="711" t="s">
        <v>615</v>
      </c>
      <c r="E290" s="709">
        <v>1</v>
      </c>
      <c r="F290" s="711" t="s">
        <v>55</v>
      </c>
      <c r="G290" s="711" t="s">
        <v>1458</v>
      </c>
      <c r="H290" s="721"/>
      <c r="I290" s="723"/>
      <c r="J290" s="711"/>
      <c r="K290" s="711"/>
      <c r="L290" s="711"/>
      <c r="M290" s="711"/>
      <c r="N290" s="711" t="s">
        <v>1703</v>
      </c>
      <c r="O290" s="711"/>
      <c r="P290" s="711"/>
      <c r="Q290" s="711"/>
      <c r="R290" s="715"/>
    </row>
    <row r="291" spans="1:18" s="586" customFormat="1">
      <c r="A291" s="661"/>
      <c r="B291" s="597"/>
      <c r="C291" s="598" t="s">
        <v>1269</v>
      </c>
      <c r="D291" s="597"/>
      <c r="E291" s="599"/>
      <c r="F291" s="597"/>
      <c r="G291" s="597"/>
      <c r="H291" s="597"/>
      <c r="I291" s="639"/>
      <c r="J291" s="794"/>
      <c r="K291" s="795"/>
      <c r="L291" s="795"/>
      <c r="M291" s="795"/>
      <c r="N291" s="795"/>
      <c r="O291" s="795"/>
      <c r="P291" s="795"/>
      <c r="Q291" s="795"/>
      <c r="R291" s="796"/>
    </row>
    <row r="292" spans="1:18" s="663" customFormat="1" ht="25.5">
      <c r="A292" s="662" t="s">
        <v>1459</v>
      </c>
      <c r="B292" s="587">
        <v>1</v>
      </c>
      <c r="C292" s="616" t="s">
        <v>1459</v>
      </c>
      <c r="D292" s="571" t="s">
        <v>303</v>
      </c>
      <c r="E292" s="629">
        <f>4+5</f>
        <v>9</v>
      </c>
      <c r="F292" s="571" t="s">
        <v>1460</v>
      </c>
      <c r="G292" s="571" t="s">
        <v>1461</v>
      </c>
      <c r="H292" s="571" t="s">
        <v>1136</v>
      </c>
      <c r="I292" s="642"/>
      <c r="J292" s="802" t="s">
        <v>1703</v>
      </c>
      <c r="K292" s="571"/>
      <c r="L292" s="571" t="s">
        <v>1703</v>
      </c>
      <c r="M292" s="571"/>
      <c r="N292" s="571" t="s">
        <v>1703</v>
      </c>
      <c r="O292" s="571" t="s">
        <v>1703</v>
      </c>
      <c r="P292" s="571"/>
      <c r="Q292" s="571"/>
      <c r="R292" s="625"/>
    </row>
    <row r="293" spans="1:18" s="663" customFormat="1" ht="25.5">
      <c r="A293" s="662" t="s">
        <v>1462</v>
      </c>
      <c r="B293" s="571">
        <v>2</v>
      </c>
      <c r="C293" s="616" t="s">
        <v>1462</v>
      </c>
      <c r="D293" s="571" t="s">
        <v>303</v>
      </c>
      <c r="E293" s="629">
        <v>5</v>
      </c>
      <c r="F293" s="571" t="s">
        <v>1460</v>
      </c>
      <c r="G293" s="571" t="s">
        <v>1461</v>
      </c>
      <c r="H293" s="571" t="s">
        <v>1136</v>
      </c>
      <c r="I293" s="642"/>
      <c r="J293" s="802" t="s">
        <v>1703</v>
      </c>
      <c r="K293" s="571"/>
      <c r="L293" s="571" t="s">
        <v>1703</v>
      </c>
      <c r="M293" s="571"/>
      <c r="N293" s="571" t="s">
        <v>1703</v>
      </c>
      <c r="O293" s="571" t="s">
        <v>1703</v>
      </c>
      <c r="P293" s="571"/>
      <c r="Q293" s="571"/>
      <c r="R293" s="625"/>
    </row>
    <row r="294" spans="1:18" s="663" customFormat="1" ht="25.5">
      <c r="A294" s="662" t="s">
        <v>1463</v>
      </c>
      <c r="B294" s="571">
        <v>3</v>
      </c>
      <c r="C294" s="616" t="s">
        <v>1463</v>
      </c>
      <c r="D294" s="571" t="s">
        <v>303</v>
      </c>
      <c r="E294" s="629">
        <v>3</v>
      </c>
      <c r="F294" s="571" t="s">
        <v>1460</v>
      </c>
      <c r="G294" s="571" t="s">
        <v>1461</v>
      </c>
      <c r="H294" s="571" t="s">
        <v>1136</v>
      </c>
      <c r="I294" s="642"/>
      <c r="J294" s="802" t="s">
        <v>1703</v>
      </c>
      <c r="K294" s="571"/>
      <c r="L294" s="571" t="s">
        <v>1703</v>
      </c>
      <c r="M294" s="571"/>
      <c r="N294" s="571" t="s">
        <v>1703</v>
      </c>
      <c r="O294" s="571" t="s">
        <v>1703</v>
      </c>
      <c r="P294" s="571"/>
      <c r="Q294" s="571"/>
      <c r="R294" s="625"/>
    </row>
    <row r="295" spans="1:18" s="663" customFormat="1" ht="25.5">
      <c r="A295" s="662" t="s">
        <v>1464</v>
      </c>
      <c r="B295" s="571">
        <v>4</v>
      </c>
      <c r="C295" s="616" t="s">
        <v>1464</v>
      </c>
      <c r="D295" s="571" t="s">
        <v>303</v>
      </c>
      <c r="E295" s="629">
        <v>22</v>
      </c>
      <c r="F295" s="571" t="s">
        <v>1460</v>
      </c>
      <c r="G295" s="571" t="s">
        <v>1461</v>
      </c>
      <c r="H295" s="571" t="s">
        <v>1136</v>
      </c>
      <c r="I295" s="642"/>
      <c r="J295" s="802" t="s">
        <v>1703</v>
      </c>
      <c r="K295" s="571"/>
      <c r="L295" s="571" t="s">
        <v>1703</v>
      </c>
      <c r="M295" s="571"/>
      <c r="N295" s="571" t="s">
        <v>1703</v>
      </c>
      <c r="O295" s="571" t="s">
        <v>1703</v>
      </c>
      <c r="P295" s="571"/>
      <c r="Q295" s="571"/>
      <c r="R295" s="625"/>
    </row>
    <row r="296" spans="1:18" s="663" customFormat="1" ht="25.5">
      <c r="A296" s="662" t="s">
        <v>1465</v>
      </c>
      <c r="B296" s="571">
        <v>5</v>
      </c>
      <c r="C296" s="616" t="s">
        <v>1465</v>
      </c>
      <c r="D296" s="571" t="s">
        <v>303</v>
      </c>
      <c r="E296" s="629">
        <f>2+5</f>
        <v>7</v>
      </c>
      <c r="F296" s="571" t="s">
        <v>1460</v>
      </c>
      <c r="G296" s="571" t="s">
        <v>1461</v>
      </c>
      <c r="H296" s="571" t="s">
        <v>1136</v>
      </c>
      <c r="I296" s="642"/>
      <c r="J296" s="802" t="s">
        <v>1703</v>
      </c>
      <c r="K296" s="571"/>
      <c r="L296" s="571" t="s">
        <v>1703</v>
      </c>
      <c r="M296" s="571"/>
      <c r="N296" s="571" t="s">
        <v>1703</v>
      </c>
      <c r="O296" s="571" t="s">
        <v>1703</v>
      </c>
      <c r="P296" s="571"/>
      <c r="Q296" s="571"/>
      <c r="R296" s="625"/>
    </row>
    <row r="297" spans="1:18" s="663" customFormat="1" ht="25.5">
      <c r="A297" s="662" t="s">
        <v>1466</v>
      </c>
      <c r="B297" s="571">
        <v>6</v>
      </c>
      <c r="C297" s="616" t="s">
        <v>1466</v>
      </c>
      <c r="D297" s="571" t="s">
        <v>303</v>
      </c>
      <c r="E297" s="629">
        <f>5+5</f>
        <v>10</v>
      </c>
      <c r="F297" s="571" t="s">
        <v>1460</v>
      </c>
      <c r="G297" s="571" t="s">
        <v>1461</v>
      </c>
      <c r="H297" s="571" t="s">
        <v>1136</v>
      </c>
      <c r="I297" s="642"/>
      <c r="J297" s="802" t="s">
        <v>1703</v>
      </c>
      <c r="K297" s="571"/>
      <c r="L297" s="571" t="s">
        <v>1703</v>
      </c>
      <c r="M297" s="571"/>
      <c r="N297" s="571" t="s">
        <v>1703</v>
      </c>
      <c r="O297" s="571" t="s">
        <v>1703</v>
      </c>
      <c r="P297" s="571"/>
      <c r="Q297" s="571"/>
      <c r="R297" s="625"/>
    </row>
    <row r="298" spans="1:18" s="663" customFormat="1" ht="25.5">
      <c r="A298" s="662" t="s">
        <v>1643</v>
      </c>
      <c r="B298" s="571">
        <v>7</v>
      </c>
      <c r="C298" s="616" t="s">
        <v>1467</v>
      </c>
      <c r="D298" s="571" t="s">
        <v>1468</v>
      </c>
      <c r="E298" s="629">
        <f>2+4</f>
        <v>6</v>
      </c>
      <c r="F298" s="571" t="s">
        <v>1460</v>
      </c>
      <c r="G298" s="571" t="s">
        <v>1469</v>
      </c>
      <c r="H298" s="571" t="s">
        <v>1136</v>
      </c>
      <c r="I298" s="642"/>
      <c r="J298" s="802" t="s">
        <v>1703</v>
      </c>
      <c r="K298" s="571"/>
      <c r="L298" s="571" t="s">
        <v>1703</v>
      </c>
      <c r="M298" s="571"/>
      <c r="N298" s="571" t="s">
        <v>1703</v>
      </c>
      <c r="O298" s="571" t="s">
        <v>1703</v>
      </c>
      <c r="P298" s="571"/>
      <c r="Q298" s="571"/>
      <c r="R298" s="625"/>
    </row>
    <row r="299" spans="1:18" s="663" customFormat="1" ht="25.5">
      <c r="A299" s="662" t="s">
        <v>1644</v>
      </c>
      <c r="B299" s="571">
        <v>8</v>
      </c>
      <c r="C299" s="616" t="s">
        <v>1470</v>
      </c>
      <c r="D299" s="571" t="s">
        <v>1468</v>
      </c>
      <c r="E299" s="629">
        <v>15</v>
      </c>
      <c r="F299" s="571" t="s">
        <v>1460</v>
      </c>
      <c r="G299" s="571" t="s">
        <v>1469</v>
      </c>
      <c r="H299" s="571" t="s">
        <v>1136</v>
      </c>
      <c r="I299" s="642"/>
      <c r="J299" s="802" t="s">
        <v>1703</v>
      </c>
      <c r="K299" s="571"/>
      <c r="L299" s="571" t="s">
        <v>1703</v>
      </c>
      <c r="M299" s="571"/>
      <c r="N299" s="571" t="s">
        <v>1703</v>
      </c>
      <c r="O299" s="571" t="s">
        <v>1703</v>
      </c>
      <c r="P299" s="571"/>
      <c r="Q299" s="571"/>
      <c r="R299" s="625"/>
    </row>
    <row r="300" spans="1:18" s="663" customFormat="1" ht="25.5">
      <c r="A300" s="662" t="s">
        <v>1471</v>
      </c>
      <c r="B300" s="571">
        <v>9</v>
      </c>
      <c r="C300" s="616" t="s">
        <v>1471</v>
      </c>
      <c r="D300" s="571" t="s">
        <v>1468</v>
      </c>
      <c r="E300" s="629">
        <f>1+2</f>
        <v>3</v>
      </c>
      <c r="F300" s="571" t="s">
        <v>1460</v>
      </c>
      <c r="G300" s="571" t="s">
        <v>1469</v>
      </c>
      <c r="H300" s="571" t="s">
        <v>1136</v>
      </c>
      <c r="I300" s="642"/>
      <c r="J300" s="802" t="s">
        <v>1703</v>
      </c>
      <c r="K300" s="571"/>
      <c r="L300" s="571" t="s">
        <v>1703</v>
      </c>
      <c r="M300" s="571"/>
      <c r="N300" s="571" t="s">
        <v>1703</v>
      </c>
      <c r="O300" s="571" t="s">
        <v>1703</v>
      </c>
      <c r="P300" s="571"/>
      <c r="Q300" s="571"/>
      <c r="R300" s="625"/>
    </row>
    <row r="301" spans="1:18" s="663" customFormat="1" ht="25.5">
      <c r="A301" s="662" t="s">
        <v>1472</v>
      </c>
      <c r="B301" s="571">
        <v>10</v>
      </c>
      <c r="C301" s="616" t="s">
        <v>1472</v>
      </c>
      <c r="D301" s="571" t="s">
        <v>1468</v>
      </c>
      <c r="E301" s="629">
        <f>7+2+4</f>
        <v>13</v>
      </c>
      <c r="F301" s="571" t="s">
        <v>1460</v>
      </c>
      <c r="G301" s="571" t="s">
        <v>1469</v>
      </c>
      <c r="H301" s="571" t="s">
        <v>1136</v>
      </c>
      <c r="I301" s="642"/>
      <c r="J301" s="802" t="s">
        <v>1703</v>
      </c>
      <c r="K301" s="571"/>
      <c r="L301" s="571" t="s">
        <v>1703</v>
      </c>
      <c r="M301" s="571"/>
      <c r="N301" s="571" t="s">
        <v>1703</v>
      </c>
      <c r="O301" s="571" t="s">
        <v>1703</v>
      </c>
      <c r="P301" s="571"/>
      <c r="Q301" s="571"/>
      <c r="R301" s="625"/>
    </row>
    <row r="302" spans="1:18" s="663" customFormat="1" ht="25.5">
      <c r="A302" s="662" t="s">
        <v>1473</v>
      </c>
      <c r="B302" s="571">
        <v>11</v>
      </c>
      <c r="C302" s="616" t="s">
        <v>1473</v>
      </c>
      <c r="D302" s="571" t="s">
        <v>1468</v>
      </c>
      <c r="E302" s="629">
        <v>3</v>
      </c>
      <c r="F302" s="571" t="s">
        <v>1460</v>
      </c>
      <c r="G302" s="571" t="s">
        <v>1469</v>
      </c>
      <c r="H302" s="571" t="s">
        <v>1136</v>
      </c>
      <c r="I302" s="642"/>
      <c r="J302" s="802" t="s">
        <v>1703</v>
      </c>
      <c r="K302" s="571"/>
      <c r="L302" s="571" t="s">
        <v>1703</v>
      </c>
      <c r="M302" s="571"/>
      <c r="N302" s="571" t="s">
        <v>1703</v>
      </c>
      <c r="O302" s="571" t="s">
        <v>1703</v>
      </c>
      <c r="P302" s="571"/>
      <c r="Q302" s="571"/>
      <c r="R302" s="625"/>
    </row>
    <row r="303" spans="1:18" s="663" customFormat="1">
      <c r="A303" s="662"/>
      <c r="B303" s="571">
        <v>12</v>
      </c>
      <c r="C303" s="616" t="s">
        <v>1474</v>
      </c>
      <c r="D303" s="571" t="s">
        <v>303</v>
      </c>
      <c r="E303" s="629">
        <v>5</v>
      </c>
      <c r="F303" s="571" t="s">
        <v>1475</v>
      </c>
      <c r="G303" s="571" t="s">
        <v>1476</v>
      </c>
      <c r="H303" s="571" t="s">
        <v>1136</v>
      </c>
      <c r="I303" s="642"/>
      <c r="J303" s="802" t="s">
        <v>1703</v>
      </c>
      <c r="K303" s="571"/>
      <c r="L303" s="571" t="s">
        <v>1703</v>
      </c>
      <c r="M303" s="571"/>
      <c r="N303" s="571" t="s">
        <v>1703</v>
      </c>
      <c r="O303" s="571" t="s">
        <v>1703</v>
      </c>
      <c r="P303" s="571"/>
      <c r="Q303" s="571"/>
      <c r="R303" s="625"/>
    </row>
    <row r="304" spans="1:18" s="663" customFormat="1">
      <c r="A304" s="662"/>
      <c r="B304" s="571">
        <v>13</v>
      </c>
      <c r="C304" s="616" t="s">
        <v>1477</v>
      </c>
      <c r="D304" s="571" t="s">
        <v>303</v>
      </c>
      <c r="E304" s="629">
        <f>14+56+30</f>
        <v>100</v>
      </c>
      <c r="F304" s="571" t="s">
        <v>1475</v>
      </c>
      <c r="G304" s="571" t="s">
        <v>1476</v>
      </c>
      <c r="H304" s="571" t="s">
        <v>1136</v>
      </c>
      <c r="I304" s="642"/>
      <c r="J304" s="802" t="s">
        <v>1703</v>
      </c>
      <c r="K304" s="571"/>
      <c r="L304" s="571" t="s">
        <v>1703</v>
      </c>
      <c r="M304" s="571"/>
      <c r="N304" s="571" t="s">
        <v>1703</v>
      </c>
      <c r="O304" s="571" t="s">
        <v>1703</v>
      </c>
      <c r="P304" s="571"/>
      <c r="Q304" s="571"/>
      <c r="R304" s="625"/>
    </row>
    <row r="305" spans="1:18" s="663" customFormat="1">
      <c r="A305" s="662"/>
      <c r="B305" s="571">
        <v>14</v>
      </c>
      <c r="C305" s="616" t="s">
        <v>1478</v>
      </c>
      <c r="D305" s="571" t="s">
        <v>303</v>
      </c>
      <c r="E305" s="629">
        <f>16+8</f>
        <v>24</v>
      </c>
      <c r="F305" s="571" t="s">
        <v>1475</v>
      </c>
      <c r="G305" s="571" t="s">
        <v>1476</v>
      </c>
      <c r="H305" s="571" t="s">
        <v>1136</v>
      </c>
      <c r="I305" s="642"/>
      <c r="J305" s="802" t="s">
        <v>1703</v>
      </c>
      <c r="K305" s="571"/>
      <c r="L305" s="571" t="s">
        <v>1703</v>
      </c>
      <c r="M305" s="571"/>
      <c r="N305" s="571" t="s">
        <v>1703</v>
      </c>
      <c r="O305" s="571" t="s">
        <v>1703</v>
      </c>
      <c r="P305" s="571"/>
      <c r="Q305" s="571"/>
      <c r="R305" s="625"/>
    </row>
    <row r="306" spans="1:18" s="663" customFormat="1">
      <c r="A306" s="662"/>
      <c r="B306" s="571">
        <v>15</v>
      </c>
      <c r="C306" s="616" t="s">
        <v>1479</v>
      </c>
      <c r="D306" s="571" t="s">
        <v>303</v>
      </c>
      <c r="E306" s="629">
        <f>35+40+30+6</f>
        <v>111</v>
      </c>
      <c r="F306" s="571" t="s">
        <v>1475</v>
      </c>
      <c r="G306" s="571" t="s">
        <v>1476</v>
      </c>
      <c r="H306" s="571" t="s">
        <v>1136</v>
      </c>
      <c r="I306" s="642"/>
      <c r="J306" s="802" t="s">
        <v>1703</v>
      </c>
      <c r="K306" s="571"/>
      <c r="L306" s="571" t="s">
        <v>1703</v>
      </c>
      <c r="M306" s="571"/>
      <c r="N306" s="571" t="s">
        <v>1703</v>
      </c>
      <c r="O306" s="571" t="s">
        <v>1703</v>
      </c>
      <c r="P306" s="571"/>
      <c r="Q306" s="571"/>
      <c r="R306" s="625"/>
    </row>
    <row r="307" spans="1:18" s="663" customFormat="1">
      <c r="A307" s="662"/>
      <c r="B307" s="571">
        <v>16</v>
      </c>
      <c r="C307" s="616" t="s">
        <v>1480</v>
      </c>
      <c r="D307" s="571" t="s">
        <v>303</v>
      </c>
      <c r="E307" s="629">
        <f>16+29</f>
        <v>45</v>
      </c>
      <c r="F307" s="571" t="s">
        <v>1475</v>
      </c>
      <c r="G307" s="571" t="s">
        <v>1476</v>
      </c>
      <c r="H307" s="571" t="s">
        <v>1136</v>
      </c>
      <c r="I307" s="642"/>
      <c r="J307" s="802" t="s">
        <v>1703</v>
      </c>
      <c r="K307" s="571"/>
      <c r="L307" s="571" t="s">
        <v>1703</v>
      </c>
      <c r="M307" s="571"/>
      <c r="N307" s="571" t="s">
        <v>1703</v>
      </c>
      <c r="O307" s="571" t="s">
        <v>1703</v>
      </c>
      <c r="P307" s="571"/>
      <c r="Q307" s="571"/>
      <c r="R307" s="625"/>
    </row>
    <row r="308" spans="1:18" s="663" customFormat="1">
      <c r="A308" s="662"/>
      <c r="B308" s="571">
        <v>17</v>
      </c>
      <c r="C308" s="616" t="s">
        <v>1481</v>
      </c>
      <c r="D308" s="571" t="s">
        <v>303</v>
      </c>
      <c r="E308" s="629">
        <f>8+8</f>
        <v>16</v>
      </c>
      <c r="F308" s="571" t="s">
        <v>1475</v>
      </c>
      <c r="G308" s="571" t="s">
        <v>1476</v>
      </c>
      <c r="H308" s="571" t="s">
        <v>1136</v>
      </c>
      <c r="I308" s="642"/>
      <c r="J308" s="802" t="s">
        <v>1703</v>
      </c>
      <c r="K308" s="571"/>
      <c r="L308" s="571" t="s">
        <v>1703</v>
      </c>
      <c r="M308" s="571"/>
      <c r="N308" s="571" t="s">
        <v>1703</v>
      </c>
      <c r="O308" s="571" t="s">
        <v>1703</v>
      </c>
      <c r="P308" s="571"/>
      <c r="Q308" s="571"/>
      <c r="R308" s="625"/>
    </row>
    <row r="309" spans="1:18" s="663" customFormat="1">
      <c r="A309" s="662"/>
      <c r="B309" s="571">
        <v>18</v>
      </c>
      <c r="C309" s="616" t="s">
        <v>1482</v>
      </c>
      <c r="D309" s="571" t="s">
        <v>303</v>
      </c>
      <c r="E309" s="629">
        <f>12+4</f>
        <v>16</v>
      </c>
      <c r="F309" s="571" t="s">
        <v>1475</v>
      </c>
      <c r="G309" s="571" t="s">
        <v>1476</v>
      </c>
      <c r="H309" s="571" t="s">
        <v>1136</v>
      </c>
      <c r="I309" s="642"/>
      <c r="J309" s="802" t="s">
        <v>1703</v>
      </c>
      <c r="K309" s="571"/>
      <c r="L309" s="571" t="s">
        <v>1703</v>
      </c>
      <c r="M309" s="571"/>
      <c r="N309" s="571" t="s">
        <v>1703</v>
      </c>
      <c r="O309" s="571" t="s">
        <v>1703</v>
      </c>
      <c r="P309" s="571"/>
      <c r="Q309" s="571"/>
      <c r="R309" s="625"/>
    </row>
    <row r="310" spans="1:18" s="663" customFormat="1">
      <c r="A310" s="662"/>
      <c r="B310" s="571">
        <v>19</v>
      </c>
      <c r="C310" s="616" t="s">
        <v>1483</v>
      </c>
      <c r="D310" s="571" t="s">
        <v>303</v>
      </c>
      <c r="E310" s="629">
        <f>20+10</f>
        <v>30</v>
      </c>
      <c r="F310" s="571" t="s">
        <v>1475</v>
      </c>
      <c r="G310" s="571" t="s">
        <v>1476</v>
      </c>
      <c r="H310" s="571" t="s">
        <v>1136</v>
      </c>
      <c r="I310" s="642"/>
      <c r="J310" s="802" t="s">
        <v>1703</v>
      </c>
      <c r="K310" s="571"/>
      <c r="L310" s="571" t="s">
        <v>1703</v>
      </c>
      <c r="M310" s="571"/>
      <c r="N310" s="571" t="s">
        <v>1703</v>
      </c>
      <c r="O310" s="571" t="s">
        <v>1703</v>
      </c>
      <c r="P310" s="571"/>
      <c r="Q310" s="571"/>
      <c r="R310" s="625"/>
    </row>
    <row r="311" spans="1:18" s="663" customFormat="1">
      <c r="A311" s="662"/>
      <c r="B311" s="571">
        <v>20</v>
      </c>
      <c r="C311" s="616" t="s">
        <v>1484</v>
      </c>
      <c r="D311" s="571" t="s">
        <v>303</v>
      </c>
      <c r="E311" s="629">
        <v>5</v>
      </c>
      <c r="F311" s="571" t="s">
        <v>1475</v>
      </c>
      <c r="G311" s="571" t="s">
        <v>1476</v>
      </c>
      <c r="H311" s="571" t="s">
        <v>1136</v>
      </c>
      <c r="I311" s="642"/>
      <c r="J311" s="802" t="s">
        <v>1703</v>
      </c>
      <c r="K311" s="571"/>
      <c r="L311" s="571" t="s">
        <v>1703</v>
      </c>
      <c r="M311" s="571"/>
      <c r="N311" s="571" t="s">
        <v>1703</v>
      </c>
      <c r="O311" s="571" t="s">
        <v>1703</v>
      </c>
      <c r="P311" s="571"/>
      <c r="Q311" s="571"/>
      <c r="R311" s="625"/>
    </row>
    <row r="312" spans="1:18" s="663" customFormat="1">
      <c r="A312" s="662"/>
      <c r="B312" s="571">
        <v>21</v>
      </c>
      <c r="C312" s="616" t="s">
        <v>1485</v>
      </c>
      <c r="D312" s="571" t="s">
        <v>303</v>
      </c>
      <c r="E312" s="629">
        <v>6</v>
      </c>
      <c r="F312" s="571" t="s">
        <v>1475</v>
      </c>
      <c r="G312" s="571" t="s">
        <v>1476</v>
      </c>
      <c r="H312" s="571" t="s">
        <v>1136</v>
      </c>
      <c r="I312" s="642"/>
      <c r="J312" s="802" t="s">
        <v>1703</v>
      </c>
      <c r="K312" s="571"/>
      <c r="L312" s="571" t="s">
        <v>1703</v>
      </c>
      <c r="M312" s="571"/>
      <c r="N312" s="571" t="s">
        <v>1703</v>
      </c>
      <c r="O312" s="571" t="s">
        <v>1703</v>
      </c>
      <c r="P312" s="571"/>
      <c r="Q312" s="571"/>
      <c r="R312" s="625"/>
    </row>
    <row r="313" spans="1:18" s="663" customFormat="1">
      <c r="A313" s="662"/>
      <c r="B313" s="571">
        <v>22</v>
      </c>
      <c r="C313" s="616" t="s">
        <v>1486</v>
      </c>
      <c r="D313" s="571" t="s">
        <v>303</v>
      </c>
      <c r="E313" s="629">
        <f>7+8</f>
        <v>15</v>
      </c>
      <c r="F313" s="571" t="s">
        <v>1475</v>
      </c>
      <c r="G313" s="571" t="s">
        <v>1476</v>
      </c>
      <c r="H313" s="571" t="s">
        <v>1136</v>
      </c>
      <c r="I313" s="642"/>
      <c r="J313" s="802" t="s">
        <v>1703</v>
      </c>
      <c r="K313" s="571"/>
      <c r="L313" s="571" t="s">
        <v>1703</v>
      </c>
      <c r="M313" s="571"/>
      <c r="N313" s="571" t="s">
        <v>1703</v>
      </c>
      <c r="O313" s="571" t="s">
        <v>1703</v>
      </c>
      <c r="P313" s="571"/>
      <c r="Q313" s="571"/>
      <c r="R313" s="625"/>
    </row>
    <row r="314" spans="1:18" s="663" customFormat="1">
      <c r="A314" s="662"/>
      <c r="B314" s="571">
        <v>23</v>
      </c>
      <c r="C314" s="616" t="s">
        <v>1487</v>
      </c>
      <c r="D314" s="571" t="s">
        <v>303</v>
      </c>
      <c r="E314" s="629">
        <f>110+25</f>
        <v>135</v>
      </c>
      <c r="F314" s="571" t="s">
        <v>1475</v>
      </c>
      <c r="G314" s="571" t="s">
        <v>1476</v>
      </c>
      <c r="H314" s="571" t="s">
        <v>1136</v>
      </c>
      <c r="I314" s="642"/>
      <c r="J314" s="802" t="s">
        <v>1703</v>
      </c>
      <c r="K314" s="571"/>
      <c r="L314" s="571" t="s">
        <v>1703</v>
      </c>
      <c r="M314" s="571"/>
      <c r="N314" s="571" t="s">
        <v>1703</v>
      </c>
      <c r="O314" s="571" t="s">
        <v>1703</v>
      </c>
      <c r="P314" s="571"/>
      <c r="Q314" s="571"/>
      <c r="R314" s="625"/>
    </row>
    <row r="315" spans="1:18" s="663" customFormat="1">
      <c r="A315" s="662"/>
      <c r="B315" s="571">
        <v>24</v>
      </c>
      <c r="C315" s="616" t="s">
        <v>1488</v>
      </c>
      <c r="D315" s="571" t="s">
        <v>303</v>
      </c>
      <c r="E315" s="629">
        <v>25</v>
      </c>
      <c r="F315" s="571" t="s">
        <v>1475</v>
      </c>
      <c r="G315" s="571" t="s">
        <v>1489</v>
      </c>
      <c r="H315" s="571" t="s">
        <v>1136</v>
      </c>
      <c r="I315" s="642"/>
      <c r="J315" s="802" t="s">
        <v>1703</v>
      </c>
      <c r="K315" s="571"/>
      <c r="L315" s="571" t="s">
        <v>1703</v>
      </c>
      <c r="M315" s="571"/>
      <c r="N315" s="571" t="s">
        <v>1703</v>
      </c>
      <c r="O315" s="571" t="s">
        <v>1703</v>
      </c>
      <c r="P315" s="571"/>
      <c r="Q315" s="571"/>
      <c r="R315" s="625"/>
    </row>
    <row r="316" spans="1:18" s="663" customFormat="1">
      <c r="A316" s="662"/>
      <c r="B316" s="571">
        <v>25</v>
      </c>
      <c r="C316" s="616" t="s">
        <v>1490</v>
      </c>
      <c r="D316" s="571" t="s">
        <v>303</v>
      </c>
      <c r="E316" s="629">
        <v>12</v>
      </c>
      <c r="F316" s="571" t="s">
        <v>1475</v>
      </c>
      <c r="G316" s="571" t="s">
        <v>1476</v>
      </c>
      <c r="H316" s="571" t="s">
        <v>1136</v>
      </c>
      <c r="I316" s="642"/>
      <c r="J316" s="802" t="s">
        <v>1703</v>
      </c>
      <c r="K316" s="571"/>
      <c r="L316" s="571" t="s">
        <v>1703</v>
      </c>
      <c r="M316" s="571"/>
      <c r="N316" s="571" t="s">
        <v>1703</v>
      </c>
      <c r="O316" s="571" t="s">
        <v>1703</v>
      </c>
      <c r="P316" s="571"/>
      <c r="Q316" s="571"/>
      <c r="R316" s="625"/>
    </row>
    <row r="317" spans="1:18" s="663" customFormat="1" ht="25.5">
      <c r="A317" s="662"/>
      <c r="B317" s="571">
        <v>26</v>
      </c>
      <c r="C317" s="616" t="s">
        <v>1491</v>
      </c>
      <c r="D317" s="571" t="s">
        <v>26</v>
      </c>
      <c r="E317" s="629">
        <v>1</v>
      </c>
      <c r="F317" s="571"/>
      <c r="G317" s="571"/>
      <c r="H317" s="571" t="s">
        <v>1136</v>
      </c>
      <c r="I317" s="642"/>
      <c r="J317" s="802" t="s">
        <v>1703</v>
      </c>
      <c r="K317" s="571"/>
      <c r="L317" s="571" t="s">
        <v>1703</v>
      </c>
      <c r="M317" s="571"/>
      <c r="N317" s="571" t="s">
        <v>1703</v>
      </c>
      <c r="O317" s="571" t="s">
        <v>1703</v>
      </c>
      <c r="P317" s="571"/>
      <c r="Q317" s="571"/>
      <c r="R317" s="625"/>
    </row>
    <row r="318" spans="1:18" s="586" customFormat="1">
      <c r="A318" s="661"/>
      <c r="B318" s="597"/>
      <c r="C318" s="598" t="s">
        <v>1270</v>
      </c>
      <c r="D318" s="597"/>
      <c r="E318" s="599"/>
      <c r="F318" s="597"/>
      <c r="G318" s="597"/>
      <c r="H318" s="597"/>
      <c r="I318" s="639"/>
      <c r="J318" s="794"/>
      <c r="K318" s="795"/>
      <c r="L318" s="795"/>
      <c r="M318" s="795"/>
      <c r="N318" s="795"/>
      <c r="O318" s="795"/>
      <c r="P318" s="795"/>
      <c r="Q318" s="795"/>
      <c r="R318" s="796"/>
    </row>
    <row r="319" spans="1:18" s="687" customFormat="1" ht="25.5">
      <c r="A319" s="662" t="s">
        <v>142</v>
      </c>
      <c r="B319" s="587">
        <v>1</v>
      </c>
      <c r="C319" s="621" t="s">
        <v>1492</v>
      </c>
      <c r="D319" s="571" t="s">
        <v>2</v>
      </c>
      <c r="E319" s="710">
        <v>50</v>
      </c>
      <c r="F319" s="571" t="s">
        <v>1493</v>
      </c>
      <c r="G319" s="571"/>
      <c r="H319" s="571" t="s">
        <v>62</v>
      </c>
      <c r="I319" s="648"/>
      <c r="J319" s="803" t="s">
        <v>1703</v>
      </c>
      <c r="K319" s="804"/>
      <c r="L319" s="804" t="s">
        <v>1703</v>
      </c>
      <c r="M319" s="804"/>
      <c r="N319" s="804" t="s">
        <v>1703</v>
      </c>
      <c r="O319" s="804" t="s">
        <v>1703</v>
      </c>
      <c r="P319" s="804"/>
      <c r="Q319" s="804"/>
      <c r="R319" s="805"/>
    </row>
    <row r="320" spans="1:18" s="687" customFormat="1" ht="25.5">
      <c r="A320" s="662" t="s">
        <v>612</v>
      </c>
      <c r="B320" s="587">
        <v>2</v>
      </c>
      <c r="C320" s="621" t="s">
        <v>1494</v>
      </c>
      <c r="D320" s="571" t="s">
        <v>2</v>
      </c>
      <c r="E320" s="710">
        <v>80</v>
      </c>
      <c r="F320" s="571" t="s">
        <v>1493</v>
      </c>
      <c r="G320" s="571"/>
      <c r="H320" s="571" t="s">
        <v>62</v>
      </c>
      <c r="I320" s="648"/>
      <c r="J320" s="803" t="s">
        <v>1703</v>
      </c>
      <c r="K320" s="804"/>
      <c r="L320" s="804" t="s">
        <v>1703</v>
      </c>
      <c r="M320" s="804"/>
      <c r="N320" s="804" t="s">
        <v>1703</v>
      </c>
      <c r="O320" s="804" t="s">
        <v>1703</v>
      </c>
      <c r="P320" s="804"/>
      <c r="Q320" s="804"/>
      <c r="R320" s="805"/>
    </row>
    <row r="321" spans="1:18" s="687" customFormat="1" ht="25.5">
      <c r="A321" s="662" t="s">
        <v>613</v>
      </c>
      <c r="B321" s="587">
        <v>3</v>
      </c>
      <c r="C321" s="621" t="s">
        <v>1495</v>
      </c>
      <c r="D321" s="571" t="s">
        <v>2</v>
      </c>
      <c r="E321" s="710">
        <v>70</v>
      </c>
      <c r="F321" s="571" t="s">
        <v>1493</v>
      </c>
      <c r="G321" s="571"/>
      <c r="H321" s="571" t="s">
        <v>62</v>
      </c>
      <c r="I321" s="648"/>
      <c r="J321" s="803" t="s">
        <v>1703</v>
      </c>
      <c r="K321" s="804"/>
      <c r="L321" s="804" t="s">
        <v>1703</v>
      </c>
      <c r="M321" s="804"/>
      <c r="N321" s="804" t="s">
        <v>1703</v>
      </c>
      <c r="O321" s="804" t="s">
        <v>1703</v>
      </c>
      <c r="P321" s="804"/>
      <c r="Q321" s="804"/>
      <c r="R321" s="805"/>
    </row>
    <row r="322" spans="1:18" s="687" customFormat="1" ht="25.5">
      <c r="A322" s="662" t="s">
        <v>1645</v>
      </c>
      <c r="B322" s="587">
        <v>4</v>
      </c>
      <c r="C322" s="621" t="s">
        <v>1496</v>
      </c>
      <c r="D322" s="571" t="s">
        <v>2</v>
      </c>
      <c r="E322" s="710">
        <v>53</v>
      </c>
      <c r="F322" s="571" t="s">
        <v>623</v>
      </c>
      <c r="G322" s="571"/>
      <c r="H322" s="571" t="s">
        <v>62</v>
      </c>
      <c r="I322" s="648"/>
      <c r="J322" s="803" t="s">
        <v>1703</v>
      </c>
      <c r="K322" s="804"/>
      <c r="L322" s="804" t="s">
        <v>1703</v>
      </c>
      <c r="M322" s="804"/>
      <c r="N322" s="804" t="s">
        <v>1703</v>
      </c>
      <c r="O322" s="804" t="s">
        <v>1703</v>
      </c>
      <c r="P322" s="804"/>
      <c r="Q322" s="804"/>
      <c r="R322" s="805"/>
    </row>
    <row r="323" spans="1:18" s="687" customFormat="1">
      <c r="A323" s="662"/>
      <c r="B323" s="587">
        <v>5</v>
      </c>
      <c r="C323" s="621" t="s">
        <v>1497</v>
      </c>
      <c r="D323" s="571" t="s">
        <v>26</v>
      </c>
      <c r="E323" s="572">
        <v>1</v>
      </c>
      <c r="F323" s="571"/>
      <c r="G323" s="571"/>
      <c r="H323" s="571"/>
      <c r="I323" s="648"/>
      <c r="J323" s="803"/>
      <c r="K323" s="804"/>
      <c r="L323" s="804"/>
      <c r="M323" s="804"/>
      <c r="N323" s="804"/>
      <c r="O323" s="804" t="s">
        <v>1703</v>
      </c>
      <c r="P323" s="804"/>
      <c r="Q323" s="804"/>
      <c r="R323" s="805"/>
    </row>
    <row r="324" spans="1:18" s="586" customFormat="1">
      <c r="A324" s="661"/>
      <c r="B324" s="597"/>
      <c r="C324" s="598" t="s">
        <v>1271</v>
      </c>
      <c r="D324" s="597"/>
      <c r="E324" s="599"/>
      <c r="F324" s="597"/>
      <c r="G324" s="597"/>
      <c r="H324" s="597"/>
      <c r="I324" s="639"/>
      <c r="J324" s="794"/>
      <c r="K324" s="795"/>
      <c r="L324" s="795"/>
      <c r="M324" s="795"/>
      <c r="N324" s="795"/>
      <c r="O324" s="795"/>
      <c r="P324" s="795"/>
      <c r="Q324" s="795"/>
      <c r="R324" s="796"/>
    </row>
    <row r="325" spans="1:18" s="687" customFormat="1" ht="25.5">
      <c r="A325" s="662" t="s">
        <v>52</v>
      </c>
      <c r="B325" s="630">
        <v>1</v>
      </c>
      <c r="C325" s="621" t="s">
        <v>1498</v>
      </c>
      <c r="D325" s="571" t="s">
        <v>615</v>
      </c>
      <c r="E325" s="572">
        <v>198</v>
      </c>
      <c r="F325" s="571" t="s">
        <v>1499</v>
      </c>
      <c r="G325" s="571" t="s">
        <v>1500</v>
      </c>
      <c r="H325" s="571" t="s">
        <v>62</v>
      </c>
      <c r="I325" s="642" t="s">
        <v>1291</v>
      </c>
      <c r="J325" s="803"/>
      <c r="K325" s="804"/>
      <c r="L325" s="804"/>
      <c r="M325" s="804"/>
      <c r="N325" s="571" t="s">
        <v>1703</v>
      </c>
      <c r="O325" s="603" t="s">
        <v>1704</v>
      </c>
      <c r="P325" s="804"/>
      <c r="Q325" s="804"/>
      <c r="R325" s="805"/>
    </row>
    <row r="326" spans="1:18" s="687" customFormat="1" ht="25.5">
      <c r="A326" s="664" t="s">
        <v>124</v>
      </c>
      <c r="B326" s="630">
        <v>2</v>
      </c>
      <c r="C326" s="621" t="s">
        <v>1501</v>
      </c>
      <c r="D326" s="571" t="s">
        <v>615</v>
      </c>
      <c r="E326" s="572">
        <v>47</v>
      </c>
      <c r="F326" s="571" t="s">
        <v>1499</v>
      </c>
      <c r="G326" s="571" t="s">
        <v>1502</v>
      </c>
      <c r="H326" s="571" t="s">
        <v>62</v>
      </c>
      <c r="I326" s="642" t="s">
        <v>1291</v>
      </c>
      <c r="J326" s="803"/>
      <c r="K326" s="804"/>
      <c r="L326" s="804"/>
      <c r="M326" s="804"/>
      <c r="N326" s="571" t="s">
        <v>1703</v>
      </c>
      <c r="O326" s="603" t="s">
        <v>1704</v>
      </c>
      <c r="P326" s="804"/>
      <c r="Q326" s="804"/>
      <c r="R326" s="805"/>
    </row>
    <row r="327" spans="1:18" s="687" customFormat="1">
      <c r="A327" s="662" t="s">
        <v>125</v>
      </c>
      <c r="B327" s="630">
        <v>3</v>
      </c>
      <c r="C327" s="621" t="s">
        <v>1503</v>
      </c>
      <c r="D327" s="571" t="s">
        <v>1504</v>
      </c>
      <c r="E327" s="572">
        <v>152</v>
      </c>
      <c r="F327" s="571" t="s">
        <v>1499</v>
      </c>
      <c r="G327" s="571" t="s">
        <v>1505</v>
      </c>
      <c r="H327" s="571" t="s">
        <v>62</v>
      </c>
      <c r="I327" s="642" t="s">
        <v>1291</v>
      </c>
      <c r="J327" s="803"/>
      <c r="K327" s="804"/>
      <c r="L327" s="804"/>
      <c r="M327" s="804"/>
      <c r="N327" s="571" t="s">
        <v>1703</v>
      </c>
      <c r="O327" s="603" t="s">
        <v>1704</v>
      </c>
      <c r="P327" s="804"/>
      <c r="Q327" s="804"/>
      <c r="R327" s="805"/>
    </row>
    <row r="328" spans="1:18" s="687" customFormat="1">
      <c r="A328" s="662"/>
      <c r="B328" s="630">
        <v>4</v>
      </c>
      <c r="C328" s="621" t="s">
        <v>1506</v>
      </c>
      <c r="D328" s="571" t="s">
        <v>615</v>
      </c>
      <c r="E328" s="572">
        <v>9</v>
      </c>
      <c r="F328" s="571" t="s">
        <v>1499</v>
      </c>
      <c r="G328" s="571" t="s">
        <v>1507</v>
      </c>
      <c r="H328" s="571" t="s">
        <v>62</v>
      </c>
      <c r="I328" s="642" t="s">
        <v>1291</v>
      </c>
      <c r="J328" s="803"/>
      <c r="K328" s="804"/>
      <c r="L328" s="804"/>
      <c r="M328" s="804"/>
      <c r="N328" s="571" t="s">
        <v>1703</v>
      </c>
      <c r="O328" s="603" t="s">
        <v>1704</v>
      </c>
      <c r="P328" s="804"/>
      <c r="Q328" s="804"/>
      <c r="R328" s="805"/>
    </row>
    <row r="329" spans="1:18" s="687" customFormat="1">
      <c r="A329" s="662"/>
      <c r="B329" s="630">
        <v>5</v>
      </c>
      <c r="C329" s="621" t="s">
        <v>1508</v>
      </c>
      <c r="D329" s="571" t="s">
        <v>615</v>
      </c>
      <c r="E329" s="572">
        <v>24</v>
      </c>
      <c r="F329" s="571" t="s">
        <v>1509</v>
      </c>
      <c r="G329" s="571" t="s">
        <v>1510</v>
      </c>
      <c r="H329" s="571" t="s">
        <v>62</v>
      </c>
      <c r="I329" s="642" t="s">
        <v>1291</v>
      </c>
      <c r="J329" s="803"/>
      <c r="K329" s="804"/>
      <c r="L329" s="804"/>
      <c r="M329" s="804"/>
      <c r="N329" s="571" t="s">
        <v>1703</v>
      </c>
      <c r="O329" s="603" t="s">
        <v>1704</v>
      </c>
      <c r="P329" s="804"/>
      <c r="Q329" s="804"/>
      <c r="R329" s="805"/>
    </row>
    <row r="330" spans="1:18" s="687" customFormat="1">
      <c r="A330" s="662"/>
      <c r="B330" s="630">
        <v>6</v>
      </c>
      <c r="C330" s="621" t="s">
        <v>1511</v>
      </c>
      <c r="D330" s="571" t="s">
        <v>615</v>
      </c>
      <c r="E330" s="572">
        <v>22</v>
      </c>
      <c r="F330" s="571" t="s">
        <v>1509</v>
      </c>
      <c r="G330" s="571" t="s">
        <v>1512</v>
      </c>
      <c r="H330" s="571" t="s">
        <v>62</v>
      </c>
      <c r="I330" s="642" t="s">
        <v>1291</v>
      </c>
      <c r="J330" s="803"/>
      <c r="K330" s="804"/>
      <c r="L330" s="804"/>
      <c r="M330" s="804"/>
      <c r="N330" s="571" t="s">
        <v>1703</v>
      </c>
      <c r="O330" s="603" t="s">
        <v>1704</v>
      </c>
      <c r="P330" s="804"/>
      <c r="Q330" s="804"/>
      <c r="R330" s="805"/>
    </row>
    <row r="331" spans="1:18" s="687" customFormat="1">
      <c r="A331" s="662"/>
      <c r="B331" s="630">
        <v>7</v>
      </c>
      <c r="C331" s="621" t="s">
        <v>1513</v>
      </c>
      <c r="D331" s="571" t="s">
        <v>615</v>
      </c>
      <c r="E331" s="572">
        <v>1</v>
      </c>
      <c r="F331" s="571" t="s">
        <v>1509</v>
      </c>
      <c r="G331" s="571" t="s">
        <v>1514</v>
      </c>
      <c r="H331" s="571" t="s">
        <v>62</v>
      </c>
      <c r="I331" s="642" t="s">
        <v>1291</v>
      </c>
      <c r="J331" s="803"/>
      <c r="K331" s="804"/>
      <c r="L331" s="804"/>
      <c r="M331" s="804"/>
      <c r="N331" s="571" t="s">
        <v>1703</v>
      </c>
      <c r="O331" s="603" t="s">
        <v>1704</v>
      </c>
      <c r="P331" s="804"/>
      <c r="Q331" s="804"/>
      <c r="R331" s="805"/>
    </row>
    <row r="332" spans="1:18" s="687" customFormat="1" ht="25.5">
      <c r="A332" s="662" t="s">
        <v>1098</v>
      </c>
      <c r="B332" s="630">
        <v>8</v>
      </c>
      <c r="C332" s="621" t="s">
        <v>1515</v>
      </c>
      <c r="D332" s="571" t="s">
        <v>982</v>
      </c>
      <c r="E332" s="572">
        <v>8</v>
      </c>
      <c r="F332" s="571" t="s">
        <v>1516</v>
      </c>
      <c r="G332" s="571" t="s">
        <v>1517</v>
      </c>
      <c r="H332" s="571" t="s">
        <v>62</v>
      </c>
      <c r="I332" s="642" t="s">
        <v>1291</v>
      </c>
      <c r="J332" s="803"/>
      <c r="K332" s="804"/>
      <c r="L332" s="804"/>
      <c r="M332" s="804"/>
      <c r="N332" s="571" t="s">
        <v>1703</v>
      </c>
      <c r="O332" s="603" t="s">
        <v>1704</v>
      </c>
      <c r="P332" s="804"/>
      <c r="Q332" s="804"/>
      <c r="R332" s="805"/>
    </row>
    <row r="333" spans="1:18" s="687" customFormat="1" ht="25.5">
      <c r="A333" s="662" t="s">
        <v>1099</v>
      </c>
      <c r="B333" s="630">
        <v>9</v>
      </c>
      <c r="C333" s="621" t="s">
        <v>1518</v>
      </c>
      <c r="D333" s="571" t="s">
        <v>982</v>
      </c>
      <c r="E333" s="572">
        <v>11</v>
      </c>
      <c r="F333" s="571" t="s">
        <v>1516</v>
      </c>
      <c r="G333" s="571" t="s">
        <v>1519</v>
      </c>
      <c r="H333" s="571" t="s">
        <v>62</v>
      </c>
      <c r="I333" s="642" t="s">
        <v>1291</v>
      </c>
      <c r="J333" s="803"/>
      <c r="K333" s="804"/>
      <c r="L333" s="804"/>
      <c r="M333" s="804"/>
      <c r="N333" s="571" t="s">
        <v>1703</v>
      </c>
      <c r="O333" s="603" t="s">
        <v>1704</v>
      </c>
      <c r="P333" s="804"/>
      <c r="Q333" s="804"/>
      <c r="R333" s="805"/>
    </row>
    <row r="334" spans="1:18" s="687" customFormat="1">
      <c r="A334" s="662"/>
      <c r="B334" s="630">
        <v>10</v>
      </c>
      <c r="C334" s="621" t="s">
        <v>1520</v>
      </c>
      <c r="D334" s="571" t="s">
        <v>2</v>
      </c>
      <c r="E334" s="572">
        <v>142</v>
      </c>
      <c r="F334" s="571" t="s">
        <v>1516</v>
      </c>
      <c r="G334" s="571" t="s">
        <v>1521</v>
      </c>
      <c r="H334" s="571" t="s">
        <v>62</v>
      </c>
      <c r="I334" s="642" t="s">
        <v>1291</v>
      </c>
      <c r="J334" s="803"/>
      <c r="K334" s="804"/>
      <c r="L334" s="804"/>
      <c r="M334" s="804"/>
      <c r="N334" s="571" t="s">
        <v>1703</v>
      </c>
      <c r="O334" s="603" t="s">
        <v>1704</v>
      </c>
      <c r="P334" s="804"/>
      <c r="Q334" s="804"/>
      <c r="R334" s="805"/>
    </row>
    <row r="335" spans="1:18" s="687" customFormat="1" ht="25.5">
      <c r="A335" s="662"/>
      <c r="B335" s="630">
        <v>11</v>
      </c>
      <c r="C335" s="621" t="s">
        <v>1522</v>
      </c>
      <c r="D335" s="571" t="s">
        <v>615</v>
      </c>
      <c r="E335" s="572">
        <v>4</v>
      </c>
      <c r="F335" s="571" t="s">
        <v>1516</v>
      </c>
      <c r="G335" s="571" t="s">
        <v>1523</v>
      </c>
      <c r="H335" s="571" t="s">
        <v>62</v>
      </c>
      <c r="I335" s="642" t="s">
        <v>1291</v>
      </c>
      <c r="J335" s="803"/>
      <c r="K335" s="804"/>
      <c r="L335" s="804"/>
      <c r="M335" s="804"/>
      <c r="N335" s="571" t="s">
        <v>1703</v>
      </c>
      <c r="O335" s="603" t="s">
        <v>1704</v>
      </c>
      <c r="P335" s="804"/>
      <c r="Q335" s="804"/>
      <c r="R335" s="805"/>
    </row>
    <row r="336" spans="1:18" s="687" customFormat="1" ht="25.5">
      <c r="A336" s="662"/>
      <c r="B336" s="630">
        <v>12</v>
      </c>
      <c r="C336" s="621" t="s">
        <v>1524</v>
      </c>
      <c r="D336" s="571" t="s">
        <v>615</v>
      </c>
      <c r="E336" s="572">
        <v>11</v>
      </c>
      <c r="F336" s="571" t="s">
        <v>1516</v>
      </c>
      <c r="G336" s="571" t="s">
        <v>1525</v>
      </c>
      <c r="H336" s="571" t="s">
        <v>62</v>
      </c>
      <c r="I336" s="642" t="s">
        <v>1291</v>
      </c>
      <c r="J336" s="803"/>
      <c r="K336" s="804"/>
      <c r="L336" s="804"/>
      <c r="M336" s="804"/>
      <c r="N336" s="571" t="s">
        <v>1703</v>
      </c>
      <c r="O336" s="603" t="s">
        <v>1704</v>
      </c>
      <c r="P336" s="804"/>
      <c r="Q336" s="804"/>
      <c r="R336" s="805"/>
    </row>
    <row r="337" spans="1:18" s="687" customFormat="1" ht="38.25">
      <c r="A337" s="662" t="s">
        <v>1100</v>
      </c>
      <c r="B337" s="630">
        <v>13</v>
      </c>
      <c r="C337" s="621" t="s">
        <v>1526</v>
      </c>
      <c r="D337" s="571" t="s">
        <v>615</v>
      </c>
      <c r="E337" s="572">
        <v>60</v>
      </c>
      <c r="F337" s="571" t="s">
        <v>629</v>
      </c>
      <c r="G337" s="571" t="s">
        <v>1527</v>
      </c>
      <c r="H337" s="571" t="s">
        <v>62</v>
      </c>
      <c r="I337" s="642" t="s">
        <v>1291</v>
      </c>
      <c r="J337" s="803"/>
      <c r="K337" s="804"/>
      <c r="L337" s="804"/>
      <c r="M337" s="804"/>
      <c r="N337" s="571" t="s">
        <v>1703</v>
      </c>
      <c r="O337" s="603" t="s">
        <v>1704</v>
      </c>
      <c r="P337" s="804"/>
      <c r="Q337" s="804"/>
      <c r="R337" s="805"/>
    </row>
    <row r="338" spans="1:18" s="687" customFormat="1" ht="25.5">
      <c r="A338" s="664" t="s">
        <v>1101</v>
      </c>
      <c r="B338" s="630">
        <v>14</v>
      </c>
      <c r="C338" s="621" t="s">
        <v>1528</v>
      </c>
      <c r="D338" s="571" t="s">
        <v>615</v>
      </c>
      <c r="E338" s="572">
        <v>34</v>
      </c>
      <c r="F338" s="571" t="s">
        <v>629</v>
      </c>
      <c r="G338" s="571" t="s">
        <v>1529</v>
      </c>
      <c r="H338" s="571" t="s">
        <v>62</v>
      </c>
      <c r="I338" s="642" t="s">
        <v>1291</v>
      </c>
      <c r="J338" s="803"/>
      <c r="K338" s="804"/>
      <c r="L338" s="804"/>
      <c r="M338" s="804"/>
      <c r="N338" s="571" t="s">
        <v>1703</v>
      </c>
      <c r="O338" s="603" t="s">
        <v>1704</v>
      </c>
      <c r="P338" s="804"/>
      <c r="Q338" s="804"/>
      <c r="R338" s="805"/>
    </row>
    <row r="339" spans="1:18" s="687" customFormat="1" ht="38.25">
      <c r="A339" s="664" t="s">
        <v>1530</v>
      </c>
      <c r="B339" s="630">
        <v>15</v>
      </c>
      <c r="C339" s="621" t="s">
        <v>1530</v>
      </c>
      <c r="D339" s="571" t="s">
        <v>615</v>
      </c>
      <c r="E339" s="572">
        <v>13</v>
      </c>
      <c r="F339" s="571" t="s">
        <v>629</v>
      </c>
      <c r="G339" s="571" t="s">
        <v>1531</v>
      </c>
      <c r="H339" s="571" t="s">
        <v>62</v>
      </c>
      <c r="I339" s="642" t="s">
        <v>1291</v>
      </c>
      <c r="J339" s="803"/>
      <c r="K339" s="804"/>
      <c r="L339" s="804"/>
      <c r="M339" s="804"/>
      <c r="N339" s="571" t="s">
        <v>1703</v>
      </c>
      <c r="O339" s="603" t="s">
        <v>1704</v>
      </c>
      <c r="P339" s="804"/>
      <c r="Q339" s="804"/>
      <c r="R339" s="805"/>
    </row>
    <row r="340" spans="1:18" s="687" customFormat="1" ht="38.25">
      <c r="A340" s="664" t="s">
        <v>1532</v>
      </c>
      <c r="B340" s="630">
        <v>16</v>
      </c>
      <c r="C340" s="621" t="s">
        <v>1532</v>
      </c>
      <c r="D340" s="571" t="s">
        <v>615</v>
      </c>
      <c r="E340" s="572">
        <v>14</v>
      </c>
      <c r="F340" s="571" t="s">
        <v>629</v>
      </c>
      <c r="G340" s="571" t="s">
        <v>1533</v>
      </c>
      <c r="H340" s="571" t="s">
        <v>62</v>
      </c>
      <c r="I340" s="642" t="s">
        <v>1291</v>
      </c>
      <c r="J340" s="803"/>
      <c r="K340" s="804"/>
      <c r="L340" s="804"/>
      <c r="M340" s="804"/>
      <c r="N340" s="571" t="s">
        <v>1703</v>
      </c>
      <c r="O340" s="603" t="s">
        <v>1704</v>
      </c>
      <c r="P340" s="804"/>
      <c r="Q340" s="804"/>
      <c r="R340" s="805"/>
    </row>
    <row r="341" spans="1:18" s="687" customFormat="1" ht="38.25">
      <c r="A341" s="664" t="s">
        <v>619</v>
      </c>
      <c r="B341" s="630">
        <v>17</v>
      </c>
      <c r="C341" s="621" t="s">
        <v>1534</v>
      </c>
      <c r="D341" s="571" t="s">
        <v>615</v>
      </c>
      <c r="E341" s="572">
        <v>2</v>
      </c>
      <c r="F341" s="571" t="s">
        <v>55</v>
      </c>
      <c r="G341" s="571" t="s">
        <v>1535</v>
      </c>
      <c r="H341" s="571" t="s">
        <v>62</v>
      </c>
      <c r="I341" s="642"/>
      <c r="J341" s="803"/>
      <c r="K341" s="804"/>
      <c r="L341" s="804"/>
      <c r="M341" s="804"/>
      <c r="N341" s="571" t="s">
        <v>1703</v>
      </c>
      <c r="O341" s="603" t="s">
        <v>1704</v>
      </c>
      <c r="P341" s="804"/>
      <c r="Q341" s="804"/>
      <c r="R341" s="805"/>
    </row>
    <row r="342" spans="1:18" s="586" customFormat="1">
      <c r="A342" s="661"/>
      <c r="B342" s="597"/>
      <c r="C342" s="598" t="s">
        <v>1272</v>
      </c>
      <c r="D342" s="597"/>
      <c r="E342" s="599"/>
      <c r="F342" s="597"/>
      <c r="G342" s="597"/>
      <c r="H342" s="597"/>
      <c r="I342" s="639"/>
      <c r="J342" s="794"/>
      <c r="K342" s="795"/>
      <c r="L342" s="795"/>
      <c r="M342" s="795"/>
      <c r="N342" s="795"/>
      <c r="O342" s="795"/>
      <c r="P342" s="795"/>
      <c r="Q342" s="795"/>
      <c r="R342" s="796"/>
    </row>
    <row r="343" spans="1:18" s="725" customFormat="1" ht="25.5">
      <c r="A343" s="664" t="s">
        <v>1746</v>
      </c>
      <c r="B343" s="721">
        <v>1</v>
      </c>
      <c r="C343" s="724" t="s">
        <v>1536</v>
      </c>
      <c r="D343" s="711" t="s">
        <v>2</v>
      </c>
      <c r="E343" s="710">
        <f>132+45</f>
        <v>177</v>
      </c>
      <c r="F343" s="711"/>
      <c r="G343" s="711"/>
      <c r="H343" s="711" t="s">
        <v>63</v>
      </c>
      <c r="I343" s="641"/>
      <c r="J343" s="806" t="s">
        <v>1703</v>
      </c>
      <c r="K343" s="806"/>
      <c r="L343" s="806"/>
      <c r="M343" s="806"/>
      <c r="N343" s="806" t="s">
        <v>1703</v>
      </c>
      <c r="O343" s="806" t="s">
        <v>1703</v>
      </c>
      <c r="P343" s="806"/>
      <c r="Q343" s="806"/>
      <c r="R343" s="807"/>
    </row>
    <row r="344" spans="1:18" s="725" customFormat="1" ht="25.5">
      <c r="A344" s="664" t="s">
        <v>1747</v>
      </c>
      <c r="B344" s="721">
        <v>2</v>
      </c>
      <c r="C344" s="594" t="s">
        <v>1537</v>
      </c>
      <c r="D344" s="711" t="s">
        <v>303</v>
      </c>
      <c r="E344" s="710">
        <v>306</v>
      </c>
      <c r="F344" s="711"/>
      <c r="G344" s="711"/>
      <c r="H344" s="711" t="s">
        <v>63</v>
      </c>
      <c r="I344" s="641"/>
      <c r="J344" s="806" t="s">
        <v>1703</v>
      </c>
      <c r="K344" s="806"/>
      <c r="L344" s="806"/>
      <c r="M344" s="806"/>
      <c r="N344" s="806" t="s">
        <v>1703</v>
      </c>
      <c r="O344" s="806" t="s">
        <v>1703</v>
      </c>
      <c r="P344" s="806"/>
      <c r="Q344" s="806"/>
      <c r="R344" s="807"/>
    </row>
    <row r="345" spans="1:18" s="725" customFormat="1" ht="25.5">
      <c r="A345" s="664"/>
      <c r="B345" s="721">
        <v>3</v>
      </c>
      <c r="C345" s="594" t="s">
        <v>1538</v>
      </c>
      <c r="D345" s="711" t="s">
        <v>303</v>
      </c>
      <c r="E345" s="710">
        <v>37</v>
      </c>
      <c r="F345" s="711"/>
      <c r="G345" s="711"/>
      <c r="H345" s="711" t="s">
        <v>63</v>
      </c>
      <c r="I345" s="641"/>
      <c r="J345" s="806" t="s">
        <v>1703</v>
      </c>
      <c r="K345" s="806"/>
      <c r="L345" s="806"/>
      <c r="M345" s="806"/>
      <c r="N345" s="806" t="s">
        <v>1703</v>
      </c>
      <c r="O345" s="806" t="s">
        <v>1703</v>
      </c>
      <c r="P345" s="806"/>
      <c r="Q345" s="806"/>
      <c r="R345" s="807"/>
    </row>
    <row r="346" spans="1:18" s="725" customFormat="1">
      <c r="A346" s="664" t="s">
        <v>143</v>
      </c>
      <c r="B346" s="721">
        <v>4</v>
      </c>
      <c r="C346" s="724" t="s">
        <v>1539</v>
      </c>
      <c r="D346" s="711" t="s">
        <v>2</v>
      </c>
      <c r="E346" s="710">
        <v>11</v>
      </c>
      <c r="F346" s="711"/>
      <c r="G346" s="711"/>
      <c r="H346" s="711" t="s">
        <v>63</v>
      </c>
      <c r="I346" s="641"/>
      <c r="J346" s="806" t="s">
        <v>1703</v>
      </c>
      <c r="K346" s="806"/>
      <c r="L346" s="806"/>
      <c r="M346" s="806"/>
      <c r="N346" s="806" t="s">
        <v>1703</v>
      </c>
      <c r="O346" s="806" t="s">
        <v>1703</v>
      </c>
      <c r="P346" s="806"/>
      <c r="Q346" s="806"/>
      <c r="R346" s="807"/>
    </row>
    <row r="347" spans="1:18" s="725" customFormat="1">
      <c r="A347" s="664"/>
      <c r="B347" s="721">
        <v>5</v>
      </c>
      <c r="C347" s="724" t="s">
        <v>1540</v>
      </c>
      <c r="D347" s="711" t="s">
        <v>615</v>
      </c>
      <c r="E347" s="710">
        <v>6</v>
      </c>
      <c r="F347" s="711"/>
      <c r="G347" s="711"/>
      <c r="H347" s="711" t="s">
        <v>63</v>
      </c>
      <c r="I347" s="641"/>
      <c r="J347" s="806" t="s">
        <v>1703</v>
      </c>
      <c r="K347" s="806"/>
      <c r="L347" s="806"/>
      <c r="M347" s="806"/>
      <c r="N347" s="806" t="s">
        <v>1703</v>
      </c>
      <c r="O347" s="806" t="s">
        <v>1703</v>
      </c>
      <c r="P347" s="806"/>
      <c r="Q347" s="806"/>
      <c r="R347" s="807"/>
    </row>
    <row r="348" spans="1:18" s="687" customFormat="1" ht="25.5">
      <c r="A348" s="662"/>
      <c r="B348" s="587">
        <v>6</v>
      </c>
      <c r="C348" s="595" t="s">
        <v>1541</v>
      </c>
      <c r="D348" s="571" t="s">
        <v>615</v>
      </c>
      <c r="E348" s="572">
        <v>2</v>
      </c>
      <c r="F348" s="571"/>
      <c r="G348" s="571"/>
      <c r="H348" s="571" t="s">
        <v>63</v>
      </c>
      <c r="I348" s="642"/>
      <c r="J348" s="803" t="s">
        <v>1703</v>
      </c>
      <c r="K348" s="804"/>
      <c r="L348" s="804"/>
      <c r="M348" s="804"/>
      <c r="N348" s="804" t="s">
        <v>1703</v>
      </c>
      <c r="O348" s="804" t="s">
        <v>1703</v>
      </c>
      <c r="P348" s="804"/>
      <c r="Q348" s="804"/>
      <c r="R348" s="805"/>
    </row>
    <row r="349" spans="1:18" s="687" customFormat="1">
      <c r="A349" s="662"/>
      <c r="B349" s="587">
        <v>7</v>
      </c>
      <c r="C349" s="595" t="s">
        <v>1542</v>
      </c>
      <c r="D349" s="571" t="s">
        <v>615</v>
      </c>
      <c r="E349" s="572">
        <v>3</v>
      </c>
      <c r="F349" s="571"/>
      <c r="G349" s="571"/>
      <c r="H349" s="571" t="s">
        <v>63</v>
      </c>
      <c r="I349" s="642"/>
      <c r="J349" s="803" t="s">
        <v>1703</v>
      </c>
      <c r="K349" s="804"/>
      <c r="L349" s="804"/>
      <c r="M349" s="804"/>
      <c r="N349" s="804" t="s">
        <v>1703</v>
      </c>
      <c r="O349" s="804" t="s">
        <v>1703</v>
      </c>
      <c r="P349" s="804"/>
      <c r="Q349" s="804"/>
      <c r="R349" s="805"/>
    </row>
    <row r="350" spans="1:18" s="725" customFormat="1">
      <c r="A350" s="664"/>
      <c r="B350" s="721">
        <v>8</v>
      </c>
      <c r="C350" s="726" t="s">
        <v>1543</v>
      </c>
      <c r="D350" s="711" t="s">
        <v>615</v>
      </c>
      <c r="E350" s="727">
        <v>180</v>
      </c>
      <c r="F350" s="721"/>
      <c r="G350" s="721"/>
      <c r="H350" s="711" t="s">
        <v>63</v>
      </c>
      <c r="I350" s="641"/>
      <c r="J350" s="806" t="s">
        <v>1703</v>
      </c>
      <c r="K350" s="806"/>
      <c r="L350" s="806"/>
      <c r="M350" s="806"/>
      <c r="N350" s="806" t="s">
        <v>1703</v>
      </c>
      <c r="O350" s="806" t="s">
        <v>1703</v>
      </c>
      <c r="P350" s="806"/>
      <c r="Q350" s="806"/>
      <c r="R350" s="807"/>
    </row>
    <row r="351" spans="1:18" s="687" customFormat="1">
      <c r="A351" s="662"/>
      <c r="B351" s="587">
        <v>9</v>
      </c>
      <c r="C351" s="596" t="s">
        <v>1544</v>
      </c>
      <c r="D351" s="571" t="s">
        <v>615</v>
      </c>
      <c r="E351" s="573">
        <v>460</v>
      </c>
      <c r="F351" s="587"/>
      <c r="G351" s="587"/>
      <c r="H351" s="571" t="s">
        <v>63</v>
      </c>
      <c r="I351" s="642"/>
      <c r="J351" s="803" t="s">
        <v>1703</v>
      </c>
      <c r="K351" s="804"/>
      <c r="L351" s="804"/>
      <c r="M351" s="804"/>
      <c r="N351" s="804" t="s">
        <v>1703</v>
      </c>
      <c r="O351" s="804" t="s">
        <v>1703</v>
      </c>
      <c r="P351" s="804"/>
      <c r="Q351" s="804"/>
      <c r="R351" s="805"/>
    </row>
    <row r="352" spans="1:18" s="687" customFormat="1">
      <c r="A352" s="662"/>
      <c r="B352" s="587">
        <v>10</v>
      </c>
      <c r="C352" s="596" t="s">
        <v>1545</v>
      </c>
      <c r="D352" s="571" t="s">
        <v>615</v>
      </c>
      <c r="E352" s="573">
        <v>6</v>
      </c>
      <c r="F352" s="587"/>
      <c r="G352" s="587"/>
      <c r="H352" s="571" t="s">
        <v>63</v>
      </c>
      <c r="I352" s="642"/>
      <c r="J352" s="803" t="s">
        <v>1703</v>
      </c>
      <c r="K352" s="804"/>
      <c r="L352" s="804"/>
      <c r="M352" s="804"/>
      <c r="N352" s="804" t="s">
        <v>1703</v>
      </c>
      <c r="O352" s="804" t="s">
        <v>1703</v>
      </c>
      <c r="P352" s="804"/>
      <c r="Q352" s="804"/>
      <c r="R352" s="805"/>
    </row>
    <row r="353" spans="1:18" s="687" customFormat="1">
      <c r="A353" s="662"/>
      <c r="B353" s="587">
        <v>11</v>
      </c>
      <c r="C353" s="595" t="s">
        <v>1546</v>
      </c>
      <c r="D353" s="571" t="s">
        <v>2</v>
      </c>
      <c r="E353" s="572">
        <v>30</v>
      </c>
      <c r="F353" s="587"/>
      <c r="G353" s="587"/>
      <c r="H353" s="571" t="s">
        <v>63</v>
      </c>
      <c r="I353" s="642"/>
      <c r="J353" s="803" t="s">
        <v>1703</v>
      </c>
      <c r="K353" s="804"/>
      <c r="L353" s="804"/>
      <c r="M353" s="804"/>
      <c r="N353" s="804" t="s">
        <v>1703</v>
      </c>
      <c r="O353" s="804" t="s">
        <v>1703</v>
      </c>
      <c r="P353" s="804"/>
      <c r="Q353" s="804"/>
      <c r="R353" s="805"/>
    </row>
    <row r="354" spans="1:18" s="687" customFormat="1" ht="25.5">
      <c r="A354" s="662"/>
      <c r="B354" s="587">
        <v>12</v>
      </c>
      <c r="C354" s="596" t="s">
        <v>1547</v>
      </c>
      <c r="D354" s="587" t="s">
        <v>1548</v>
      </c>
      <c r="E354" s="573">
        <v>300</v>
      </c>
      <c r="F354" s="587"/>
      <c r="G354" s="587"/>
      <c r="H354" s="587"/>
      <c r="I354" s="642"/>
      <c r="J354" s="803" t="s">
        <v>1703</v>
      </c>
      <c r="K354" s="804"/>
      <c r="L354" s="804"/>
      <c r="M354" s="804"/>
      <c r="N354" s="804" t="s">
        <v>1703</v>
      </c>
      <c r="O354" s="804" t="s">
        <v>1703</v>
      </c>
      <c r="P354" s="804"/>
      <c r="Q354" s="804"/>
      <c r="R354" s="805"/>
    </row>
    <row r="355" spans="1:18" s="687" customFormat="1">
      <c r="A355" s="662"/>
      <c r="B355" s="587">
        <v>13</v>
      </c>
      <c r="C355" s="595" t="s">
        <v>1549</v>
      </c>
      <c r="D355" s="571" t="s">
        <v>2</v>
      </c>
      <c r="E355" s="572">
        <v>70</v>
      </c>
      <c r="F355" s="571"/>
      <c r="G355" s="571"/>
      <c r="H355" s="571"/>
      <c r="I355" s="642"/>
      <c r="J355" s="803" t="s">
        <v>1703</v>
      </c>
      <c r="K355" s="804"/>
      <c r="L355" s="804"/>
      <c r="M355" s="804"/>
      <c r="N355" s="804" t="s">
        <v>1703</v>
      </c>
      <c r="O355" s="804" t="s">
        <v>1703</v>
      </c>
      <c r="P355" s="804"/>
      <c r="Q355" s="804"/>
      <c r="R355" s="805"/>
    </row>
    <row r="356" spans="1:18" s="687" customFormat="1">
      <c r="A356" s="662"/>
      <c r="B356" s="587">
        <v>14</v>
      </c>
      <c r="C356" s="595" t="s">
        <v>1550</v>
      </c>
      <c r="D356" s="571" t="s">
        <v>617</v>
      </c>
      <c r="E356" s="572">
        <f>700+1900</f>
        <v>2600</v>
      </c>
      <c r="F356" s="571"/>
      <c r="G356" s="571"/>
      <c r="H356" s="571"/>
      <c r="I356" s="642"/>
      <c r="J356" s="803" t="s">
        <v>1703</v>
      </c>
      <c r="K356" s="804"/>
      <c r="L356" s="804"/>
      <c r="M356" s="804"/>
      <c r="N356" s="804" t="s">
        <v>1703</v>
      </c>
      <c r="O356" s="804" t="s">
        <v>1703</v>
      </c>
      <c r="P356" s="804"/>
      <c r="Q356" s="804"/>
      <c r="R356" s="805"/>
    </row>
    <row r="357" spans="1:18" s="687" customFormat="1">
      <c r="A357" s="662"/>
      <c r="B357" s="587">
        <v>15</v>
      </c>
      <c r="C357" s="595" t="s">
        <v>1551</v>
      </c>
      <c r="D357" s="571" t="s">
        <v>1307</v>
      </c>
      <c r="E357" s="572">
        <f>1100+1900</f>
        <v>3000</v>
      </c>
      <c r="F357" s="571"/>
      <c r="G357" s="571"/>
      <c r="H357" s="571"/>
      <c r="I357" s="642"/>
      <c r="J357" s="803" t="s">
        <v>1703</v>
      </c>
      <c r="K357" s="804"/>
      <c r="L357" s="804"/>
      <c r="M357" s="804"/>
      <c r="N357" s="804" t="s">
        <v>1703</v>
      </c>
      <c r="O357" s="804" t="s">
        <v>1703</v>
      </c>
      <c r="P357" s="804"/>
      <c r="Q357" s="804"/>
      <c r="R357" s="805"/>
    </row>
    <row r="358" spans="1:18" s="687" customFormat="1">
      <c r="A358" s="662"/>
      <c r="B358" s="587">
        <v>16</v>
      </c>
      <c r="C358" s="595" t="s">
        <v>1552</v>
      </c>
      <c r="D358" s="571" t="s">
        <v>1307</v>
      </c>
      <c r="E358" s="572">
        <f>1000+2000</f>
        <v>3000</v>
      </c>
      <c r="F358" s="571"/>
      <c r="G358" s="571"/>
      <c r="H358" s="571"/>
      <c r="I358" s="642"/>
      <c r="J358" s="803" t="s">
        <v>1703</v>
      </c>
      <c r="K358" s="804"/>
      <c r="L358" s="804"/>
      <c r="M358" s="804"/>
      <c r="N358" s="804" t="s">
        <v>1703</v>
      </c>
      <c r="O358" s="804" t="s">
        <v>1703</v>
      </c>
      <c r="P358" s="804"/>
      <c r="Q358" s="804"/>
      <c r="R358" s="805"/>
    </row>
    <row r="359" spans="1:18" s="687" customFormat="1">
      <c r="A359" s="662"/>
      <c r="B359" s="587">
        <v>17</v>
      </c>
      <c r="C359" s="595" t="s">
        <v>1553</v>
      </c>
      <c r="D359" s="571" t="s">
        <v>1307</v>
      </c>
      <c r="E359" s="572">
        <v>200</v>
      </c>
      <c r="F359" s="571"/>
      <c r="G359" s="571"/>
      <c r="H359" s="571"/>
      <c r="I359" s="642"/>
      <c r="J359" s="803" t="s">
        <v>1703</v>
      </c>
      <c r="K359" s="804"/>
      <c r="L359" s="804"/>
      <c r="M359" s="804"/>
      <c r="N359" s="804" t="s">
        <v>1703</v>
      </c>
      <c r="O359" s="804" t="s">
        <v>1703</v>
      </c>
      <c r="P359" s="804"/>
      <c r="Q359" s="804"/>
      <c r="R359" s="805"/>
    </row>
    <row r="360" spans="1:18" s="687" customFormat="1">
      <c r="A360" s="662"/>
      <c r="B360" s="587">
        <v>18</v>
      </c>
      <c r="C360" s="595" t="s">
        <v>1554</v>
      </c>
      <c r="D360" s="571" t="s">
        <v>1307</v>
      </c>
      <c r="E360" s="572">
        <v>10</v>
      </c>
      <c r="F360" s="571"/>
      <c r="G360" s="571"/>
      <c r="H360" s="571"/>
      <c r="I360" s="642"/>
      <c r="J360" s="803" t="s">
        <v>1703</v>
      </c>
      <c r="K360" s="804"/>
      <c r="L360" s="804"/>
      <c r="M360" s="804"/>
      <c r="N360" s="804" t="s">
        <v>1703</v>
      </c>
      <c r="O360" s="804" t="s">
        <v>1703</v>
      </c>
      <c r="P360" s="804"/>
      <c r="Q360" s="804"/>
      <c r="R360" s="805"/>
    </row>
    <row r="361" spans="1:18" s="586" customFormat="1">
      <c r="A361" s="661"/>
      <c r="B361" s="597"/>
      <c r="C361" s="598" t="s">
        <v>1273</v>
      </c>
      <c r="D361" s="597"/>
      <c r="E361" s="599"/>
      <c r="F361" s="597"/>
      <c r="G361" s="597"/>
      <c r="H361" s="597"/>
      <c r="I361" s="639"/>
      <c r="J361" s="794"/>
      <c r="K361" s="795"/>
      <c r="L361" s="795"/>
      <c r="M361" s="795"/>
      <c r="N361" s="795"/>
      <c r="O361" s="795"/>
      <c r="P361" s="795"/>
      <c r="Q361" s="795"/>
      <c r="R361" s="796"/>
    </row>
    <row r="362" spans="1:18" s="687" customFormat="1" ht="25.5">
      <c r="A362" s="662" t="s">
        <v>211</v>
      </c>
      <c r="B362" s="587">
        <v>1</v>
      </c>
      <c r="C362" s="621" t="s">
        <v>1555</v>
      </c>
      <c r="D362" s="571" t="s">
        <v>1556</v>
      </c>
      <c r="E362" s="572">
        <v>2</v>
      </c>
      <c r="F362" s="571" t="s">
        <v>55</v>
      </c>
      <c r="G362" s="571" t="s">
        <v>1557</v>
      </c>
      <c r="H362" s="571" t="s">
        <v>1558</v>
      </c>
      <c r="I362" s="648"/>
      <c r="J362" s="803" t="s">
        <v>1703</v>
      </c>
      <c r="K362" s="804"/>
      <c r="L362" s="804" t="s">
        <v>1703</v>
      </c>
      <c r="M362" s="804"/>
      <c r="N362" s="804" t="s">
        <v>1703</v>
      </c>
      <c r="O362" s="804" t="s">
        <v>1703</v>
      </c>
      <c r="P362" s="804"/>
      <c r="Q362" s="804"/>
      <c r="R362" s="805"/>
    </row>
    <row r="363" spans="1:18" s="687" customFormat="1" ht="25.5">
      <c r="A363" s="662" t="s">
        <v>205</v>
      </c>
      <c r="B363" s="587">
        <v>2</v>
      </c>
      <c r="C363" s="621" t="s">
        <v>1559</v>
      </c>
      <c r="D363" s="571" t="s">
        <v>1556</v>
      </c>
      <c r="E363" s="572">
        <v>2</v>
      </c>
      <c r="F363" s="571" t="s">
        <v>55</v>
      </c>
      <c r="G363" s="571" t="s">
        <v>1560</v>
      </c>
      <c r="H363" s="571" t="s">
        <v>1558</v>
      </c>
      <c r="I363" s="648"/>
      <c r="J363" s="803" t="s">
        <v>1703</v>
      </c>
      <c r="K363" s="804"/>
      <c r="L363" s="804" t="s">
        <v>1703</v>
      </c>
      <c r="M363" s="804"/>
      <c r="N363" s="804" t="s">
        <v>1703</v>
      </c>
      <c r="O363" s="804" t="s">
        <v>1703</v>
      </c>
      <c r="P363" s="804"/>
      <c r="Q363" s="804"/>
      <c r="R363" s="805"/>
    </row>
    <row r="364" spans="1:18" s="687" customFormat="1" ht="25.5">
      <c r="A364" s="662"/>
      <c r="B364" s="587">
        <v>3</v>
      </c>
      <c r="C364" s="621" t="s">
        <v>1561</v>
      </c>
      <c r="D364" s="571" t="s">
        <v>1556</v>
      </c>
      <c r="E364" s="572">
        <v>8</v>
      </c>
      <c r="F364" s="571" t="s">
        <v>55</v>
      </c>
      <c r="G364" s="571" t="s">
        <v>1562</v>
      </c>
      <c r="H364" s="571" t="s">
        <v>1558</v>
      </c>
      <c r="I364" s="648"/>
      <c r="J364" s="803" t="s">
        <v>1703</v>
      </c>
      <c r="K364" s="804"/>
      <c r="L364" s="804" t="s">
        <v>1703</v>
      </c>
      <c r="M364" s="804"/>
      <c r="N364" s="804" t="s">
        <v>1703</v>
      </c>
      <c r="O364" s="804" t="s">
        <v>1703</v>
      </c>
      <c r="P364" s="804"/>
      <c r="Q364" s="804"/>
      <c r="R364" s="805"/>
    </row>
    <row r="365" spans="1:18" s="687" customFormat="1" ht="25.5">
      <c r="A365" s="662" t="s">
        <v>209</v>
      </c>
      <c r="B365" s="587">
        <v>4</v>
      </c>
      <c r="C365" s="621" t="s">
        <v>1563</v>
      </c>
      <c r="D365" s="571" t="s">
        <v>1556</v>
      </c>
      <c r="E365" s="572">
        <v>13</v>
      </c>
      <c r="F365" s="571" t="s">
        <v>55</v>
      </c>
      <c r="G365" s="571" t="s">
        <v>1564</v>
      </c>
      <c r="H365" s="571" t="s">
        <v>1558</v>
      </c>
      <c r="I365" s="648"/>
      <c r="J365" s="803" t="s">
        <v>1703</v>
      </c>
      <c r="K365" s="804"/>
      <c r="L365" s="804" t="s">
        <v>1703</v>
      </c>
      <c r="M365" s="804"/>
      <c r="N365" s="804" t="s">
        <v>1703</v>
      </c>
      <c r="O365" s="804" t="s">
        <v>1703</v>
      </c>
      <c r="P365" s="804"/>
      <c r="Q365" s="804"/>
      <c r="R365" s="805"/>
    </row>
    <row r="366" spans="1:18" s="687" customFormat="1" ht="25.5">
      <c r="A366" s="662" t="s">
        <v>208</v>
      </c>
      <c r="B366" s="587">
        <v>5</v>
      </c>
      <c r="C366" s="621" t="s">
        <v>1565</v>
      </c>
      <c r="D366" s="571" t="s">
        <v>1556</v>
      </c>
      <c r="E366" s="572">
        <v>19</v>
      </c>
      <c r="F366" s="571" t="s">
        <v>55</v>
      </c>
      <c r="G366" s="571" t="s">
        <v>1566</v>
      </c>
      <c r="H366" s="571" t="s">
        <v>1558</v>
      </c>
      <c r="I366" s="648"/>
      <c r="J366" s="803" t="s">
        <v>1703</v>
      </c>
      <c r="K366" s="804"/>
      <c r="L366" s="804" t="s">
        <v>1703</v>
      </c>
      <c r="M366" s="804"/>
      <c r="N366" s="804" t="s">
        <v>1703</v>
      </c>
      <c r="O366" s="804" t="s">
        <v>1703</v>
      </c>
      <c r="P366" s="804"/>
      <c r="Q366" s="804"/>
      <c r="R366" s="805"/>
    </row>
    <row r="367" spans="1:18" s="687" customFormat="1" ht="25.5">
      <c r="A367" s="662" t="s">
        <v>210</v>
      </c>
      <c r="B367" s="587">
        <v>6</v>
      </c>
      <c r="C367" s="621" t="s">
        <v>1567</v>
      </c>
      <c r="D367" s="571" t="s">
        <v>1556</v>
      </c>
      <c r="E367" s="572">
        <v>1</v>
      </c>
      <c r="F367" s="571" t="s">
        <v>55</v>
      </c>
      <c r="G367" s="571" t="s">
        <v>1568</v>
      </c>
      <c r="H367" s="571" t="s">
        <v>1558</v>
      </c>
      <c r="I367" s="648"/>
      <c r="J367" s="803" t="s">
        <v>1703</v>
      </c>
      <c r="K367" s="804"/>
      <c r="L367" s="804" t="s">
        <v>1703</v>
      </c>
      <c r="M367" s="804"/>
      <c r="N367" s="804" t="s">
        <v>1703</v>
      </c>
      <c r="O367" s="804" t="s">
        <v>1703</v>
      </c>
      <c r="P367" s="804"/>
      <c r="Q367" s="804"/>
      <c r="R367" s="805"/>
    </row>
    <row r="368" spans="1:18" s="687" customFormat="1" ht="25.5">
      <c r="A368" s="662" t="s">
        <v>206</v>
      </c>
      <c r="B368" s="587">
        <v>7</v>
      </c>
      <c r="C368" s="621" t="s">
        <v>1569</v>
      </c>
      <c r="D368" s="571" t="s">
        <v>1556</v>
      </c>
      <c r="E368" s="572">
        <v>33</v>
      </c>
      <c r="F368" s="571" t="s">
        <v>55</v>
      </c>
      <c r="G368" s="571" t="s">
        <v>1570</v>
      </c>
      <c r="H368" s="571" t="s">
        <v>1558</v>
      </c>
      <c r="I368" s="648"/>
      <c r="J368" s="803" t="s">
        <v>1703</v>
      </c>
      <c r="K368" s="804"/>
      <c r="L368" s="804" t="s">
        <v>1703</v>
      </c>
      <c r="M368" s="804"/>
      <c r="N368" s="804" t="s">
        <v>1703</v>
      </c>
      <c r="O368" s="804" t="s">
        <v>1703</v>
      </c>
      <c r="P368" s="804"/>
      <c r="Q368" s="804"/>
      <c r="R368" s="805"/>
    </row>
    <row r="369" spans="1:18" s="687" customFormat="1" ht="25.5">
      <c r="A369" s="662" t="s">
        <v>212</v>
      </c>
      <c r="B369" s="587">
        <v>8</v>
      </c>
      <c r="C369" s="621" t="s">
        <v>1571</v>
      </c>
      <c r="D369" s="571" t="s">
        <v>1556</v>
      </c>
      <c r="E369" s="572">
        <v>32</v>
      </c>
      <c r="F369" s="571" t="s">
        <v>55</v>
      </c>
      <c r="G369" s="571" t="s">
        <v>1572</v>
      </c>
      <c r="H369" s="571" t="s">
        <v>1558</v>
      </c>
      <c r="I369" s="648"/>
      <c r="J369" s="803" t="s">
        <v>1703</v>
      </c>
      <c r="K369" s="804"/>
      <c r="L369" s="804" t="s">
        <v>1703</v>
      </c>
      <c r="M369" s="804"/>
      <c r="N369" s="804" t="s">
        <v>1703</v>
      </c>
      <c r="O369" s="804" t="s">
        <v>1703</v>
      </c>
      <c r="P369" s="804"/>
      <c r="Q369" s="804"/>
      <c r="R369" s="805"/>
    </row>
    <row r="370" spans="1:18" s="687" customFormat="1" ht="25.5">
      <c r="A370" s="662" t="s">
        <v>207</v>
      </c>
      <c r="B370" s="587">
        <v>9</v>
      </c>
      <c r="C370" s="621" t="s">
        <v>1573</v>
      </c>
      <c r="D370" s="571" t="s">
        <v>1556</v>
      </c>
      <c r="E370" s="572">
        <v>1</v>
      </c>
      <c r="F370" s="571" t="s">
        <v>55</v>
      </c>
      <c r="G370" s="571" t="s">
        <v>1574</v>
      </c>
      <c r="H370" s="571" t="s">
        <v>1558</v>
      </c>
      <c r="I370" s="648"/>
      <c r="J370" s="803" t="s">
        <v>1703</v>
      </c>
      <c r="K370" s="804"/>
      <c r="L370" s="804" t="s">
        <v>1703</v>
      </c>
      <c r="M370" s="804"/>
      <c r="N370" s="804" t="s">
        <v>1703</v>
      </c>
      <c r="O370" s="804" t="s">
        <v>1703</v>
      </c>
      <c r="P370" s="804"/>
      <c r="Q370" s="804"/>
      <c r="R370" s="805"/>
    </row>
    <row r="371" spans="1:18" s="687" customFormat="1" ht="25.5">
      <c r="A371" s="662"/>
      <c r="B371" s="587">
        <v>10</v>
      </c>
      <c r="C371" s="621" t="s">
        <v>1575</v>
      </c>
      <c r="D371" s="571" t="s">
        <v>303</v>
      </c>
      <c r="E371" s="572">
        <v>9</v>
      </c>
      <c r="F371" s="571"/>
      <c r="G371" s="571"/>
      <c r="H371" s="571" t="s">
        <v>62</v>
      </c>
      <c r="I371" s="642" t="s">
        <v>1576</v>
      </c>
      <c r="J371" s="803" t="s">
        <v>1703</v>
      </c>
      <c r="K371" s="804"/>
      <c r="L371" s="804" t="s">
        <v>1703</v>
      </c>
      <c r="M371" s="804"/>
      <c r="N371" s="804" t="s">
        <v>1703</v>
      </c>
      <c r="O371" s="804" t="s">
        <v>1703</v>
      </c>
      <c r="P371" s="804"/>
      <c r="Q371" s="804"/>
      <c r="R371" s="805"/>
    </row>
    <row r="372" spans="1:18" s="586" customFormat="1">
      <c r="A372" s="661"/>
      <c r="B372" s="597"/>
      <c r="C372" s="598" t="s">
        <v>1274</v>
      </c>
      <c r="D372" s="597"/>
      <c r="E372" s="599"/>
      <c r="F372" s="597"/>
      <c r="G372" s="597"/>
      <c r="H372" s="597"/>
      <c r="I372" s="639"/>
      <c r="J372" s="794"/>
      <c r="K372" s="795"/>
      <c r="L372" s="795"/>
      <c r="M372" s="795"/>
      <c r="N372" s="795"/>
      <c r="O372" s="795"/>
      <c r="P372" s="795"/>
      <c r="Q372" s="795"/>
      <c r="R372" s="796"/>
    </row>
    <row r="373" spans="1:18" s="687" customFormat="1">
      <c r="A373" s="662" t="s">
        <v>128</v>
      </c>
      <c r="B373" s="587">
        <v>1</v>
      </c>
      <c r="C373" s="590" t="s">
        <v>1577</v>
      </c>
      <c r="D373" s="591" t="s">
        <v>1578</v>
      </c>
      <c r="E373" s="589">
        <v>1</v>
      </c>
      <c r="F373" s="591" t="s">
        <v>627</v>
      </c>
      <c r="G373" s="571" t="s">
        <v>590</v>
      </c>
      <c r="H373" s="571" t="s">
        <v>62</v>
      </c>
      <c r="I373" s="648"/>
      <c r="J373" s="803" t="s">
        <v>1703</v>
      </c>
      <c r="K373" s="804"/>
      <c r="L373" s="804" t="s">
        <v>1703</v>
      </c>
      <c r="M373" s="804"/>
      <c r="N373" s="804" t="s">
        <v>1703</v>
      </c>
      <c r="O373" s="804" t="s">
        <v>1703</v>
      </c>
      <c r="P373" s="804"/>
      <c r="Q373" s="804"/>
      <c r="R373" s="805"/>
    </row>
    <row r="374" spans="1:18" s="687" customFormat="1">
      <c r="A374" s="662" t="s">
        <v>131</v>
      </c>
      <c r="B374" s="587">
        <v>2</v>
      </c>
      <c r="C374" s="574" t="s">
        <v>1579</v>
      </c>
      <c r="D374" s="571" t="s">
        <v>1578</v>
      </c>
      <c r="E374" s="588">
        <v>1</v>
      </c>
      <c r="F374" s="571" t="s">
        <v>627</v>
      </c>
      <c r="G374" s="571" t="s">
        <v>587</v>
      </c>
      <c r="H374" s="571" t="s">
        <v>62</v>
      </c>
      <c r="I374" s="648"/>
      <c r="J374" s="803" t="s">
        <v>1703</v>
      </c>
      <c r="K374" s="804"/>
      <c r="L374" s="804" t="s">
        <v>1703</v>
      </c>
      <c r="M374" s="804"/>
      <c r="N374" s="804" t="s">
        <v>1703</v>
      </c>
      <c r="O374" s="804" t="s">
        <v>1703</v>
      </c>
      <c r="P374" s="804"/>
      <c r="Q374" s="804"/>
      <c r="R374" s="805"/>
    </row>
    <row r="375" spans="1:18" s="687" customFormat="1">
      <c r="A375" s="662" t="s">
        <v>134</v>
      </c>
      <c r="B375" s="587">
        <v>3</v>
      </c>
      <c r="C375" s="574" t="s">
        <v>1580</v>
      </c>
      <c r="D375" s="571" t="s">
        <v>1578</v>
      </c>
      <c r="E375" s="588">
        <v>1</v>
      </c>
      <c r="F375" s="571" t="s">
        <v>627</v>
      </c>
      <c r="G375" s="571" t="s">
        <v>588</v>
      </c>
      <c r="H375" s="571" t="s">
        <v>62</v>
      </c>
      <c r="I375" s="648"/>
      <c r="J375" s="803" t="s">
        <v>1703</v>
      </c>
      <c r="K375" s="804"/>
      <c r="L375" s="804" t="s">
        <v>1703</v>
      </c>
      <c r="M375" s="804"/>
      <c r="N375" s="804" t="s">
        <v>1703</v>
      </c>
      <c r="O375" s="804" t="s">
        <v>1703</v>
      </c>
      <c r="P375" s="804"/>
      <c r="Q375" s="804"/>
      <c r="R375" s="805"/>
    </row>
    <row r="376" spans="1:18" s="687" customFormat="1">
      <c r="A376" s="662" t="s">
        <v>135</v>
      </c>
      <c r="B376" s="587">
        <v>4</v>
      </c>
      <c r="C376" s="574" t="s">
        <v>1581</v>
      </c>
      <c r="D376" s="571" t="s">
        <v>1578</v>
      </c>
      <c r="E376" s="588">
        <v>1</v>
      </c>
      <c r="F376" s="571" t="s">
        <v>627</v>
      </c>
      <c r="G376" s="571" t="s">
        <v>589</v>
      </c>
      <c r="H376" s="571" t="s">
        <v>62</v>
      </c>
      <c r="I376" s="648"/>
      <c r="J376" s="803" t="s">
        <v>1703</v>
      </c>
      <c r="K376" s="804"/>
      <c r="L376" s="804" t="s">
        <v>1703</v>
      </c>
      <c r="M376" s="804"/>
      <c r="N376" s="804" t="s">
        <v>1703</v>
      </c>
      <c r="O376" s="804" t="s">
        <v>1703</v>
      </c>
      <c r="P376" s="804"/>
      <c r="Q376" s="804"/>
      <c r="R376" s="805"/>
    </row>
    <row r="377" spans="1:18" s="687" customFormat="1">
      <c r="A377" s="662" t="s">
        <v>136</v>
      </c>
      <c r="B377" s="587">
        <v>5</v>
      </c>
      <c r="C377" s="574" t="s">
        <v>1582</v>
      </c>
      <c r="D377" s="571" t="s">
        <v>1578</v>
      </c>
      <c r="E377" s="589">
        <v>1</v>
      </c>
      <c r="F377" s="571" t="s">
        <v>627</v>
      </c>
      <c r="G377" s="571" t="s">
        <v>1583</v>
      </c>
      <c r="H377" s="571" t="s">
        <v>62</v>
      </c>
      <c r="I377" s="648"/>
      <c r="J377" s="803" t="s">
        <v>1703</v>
      </c>
      <c r="K377" s="804"/>
      <c r="L377" s="804" t="s">
        <v>1703</v>
      </c>
      <c r="M377" s="804"/>
      <c r="N377" s="804" t="s">
        <v>1703</v>
      </c>
      <c r="O377" s="804" t="s">
        <v>1703</v>
      </c>
      <c r="P377" s="804"/>
      <c r="Q377" s="804"/>
      <c r="R377" s="805"/>
    </row>
    <row r="378" spans="1:18" s="687" customFormat="1">
      <c r="A378" s="662" t="s">
        <v>202</v>
      </c>
      <c r="B378" s="587">
        <v>6</v>
      </c>
      <c r="C378" s="574" t="s">
        <v>1584</v>
      </c>
      <c r="D378" s="571" t="s">
        <v>1578</v>
      </c>
      <c r="E378" s="589">
        <v>1</v>
      </c>
      <c r="F378" s="571" t="s">
        <v>627</v>
      </c>
      <c r="G378" s="571" t="s">
        <v>1585</v>
      </c>
      <c r="H378" s="571" t="s">
        <v>62</v>
      </c>
      <c r="I378" s="648"/>
      <c r="J378" s="803" t="s">
        <v>1703</v>
      </c>
      <c r="K378" s="804"/>
      <c r="L378" s="804" t="s">
        <v>1703</v>
      </c>
      <c r="M378" s="804"/>
      <c r="N378" s="804" t="s">
        <v>1703</v>
      </c>
      <c r="O378" s="804" t="s">
        <v>1703</v>
      </c>
      <c r="P378" s="804"/>
      <c r="Q378" s="804"/>
      <c r="R378" s="805"/>
    </row>
    <row r="379" spans="1:18" s="687" customFormat="1">
      <c r="A379" s="662" t="s">
        <v>1109</v>
      </c>
      <c r="B379" s="587">
        <v>7</v>
      </c>
      <c r="C379" s="574" t="s">
        <v>1586</v>
      </c>
      <c r="D379" s="571" t="s">
        <v>1578</v>
      </c>
      <c r="E379" s="589">
        <v>1</v>
      </c>
      <c r="F379" s="571" t="s">
        <v>627</v>
      </c>
      <c r="G379" s="571" t="s">
        <v>1587</v>
      </c>
      <c r="H379" s="571" t="s">
        <v>62</v>
      </c>
      <c r="I379" s="648"/>
      <c r="J379" s="803" t="s">
        <v>1703</v>
      </c>
      <c r="K379" s="804"/>
      <c r="L379" s="804" t="s">
        <v>1703</v>
      </c>
      <c r="M379" s="804"/>
      <c r="N379" s="804" t="s">
        <v>1703</v>
      </c>
      <c r="O379" s="804" t="s">
        <v>1703</v>
      </c>
      <c r="P379" s="804"/>
      <c r="Q379" s="804"/>
      <c r="R379" s="805"/>
    </row>
    <row r="380" spans="1:18" s="586" customFormat="1">
      <c r="A380" s="661"/>
      <c r="B380" s="597"/>
      <c r="C380" s="598" t="s">
        <v>1275</v>
      </c>
      <c r="D380" s="597"/>
      <c r="E380" s="599"/>
      <c r="F380" s="597"/>
      <c r="G380" s="597"/>
      <c r="H380" s="597"/>
      <c r="I380" s="639"/>
      <c r="J380" s="794"/>
      <c r="K380" s="795"/>
      <c r="L380" s="795"/>
      <c r="M380" s="795"/>
      <c r="N380" s="795"/>
      <c r="O380" s="795"/>
      <c r="P380" s="795"/>
      <c r="Q380" s="795"/>
      <c r="R380" s="796"/>
    </row>
    <row r="381" spans="1:18" s="687" customFormat="1" ht="25.5">
      <c r="A381" s="662" t="s">
        <v>127</v>
      </c>
      <c r="B381" s="587">
        <v>1</v>
      </c>
      <c r="C381" s="590" t="s">
        <v>1588</v>
      </c>
      <c r="D381" s="591" t="s">
        <v>615</v>
      </c>
      <c r="E381" s="589">
        <v>86</v>
      </c>
      <c r="F381" s="591" t="s">
        <v>54</v>
      </c>
      <c r="G381" s="571" t="s">
        <v>1589</v>
      </c>
      <c r="H381" s="571" t="s">
        <v>62</v>
      </c>
      <c r="I381" s="646" t="s">
        <v>1291</v>
      </c>
      <c r="J381" s="804"/>
      <c r="K381" s="804"/>
      <c r="L381" s="804"/>
      <c r="M381" s="804"/>
      <c r="N381" s="571" t="s">
        <v>1703</v>
      </c>
      <c r="O381" s="603" t="s">
        <v>1704</v>
      </c>
      <c r="P381" s="804"/>
      <c r="Q381" s="804"/>
      <c r="R381" s="805"/>
    </row>
    <row r="382" spans="1:18" s="687" customFormat="1" ht="25.5">
      <c r="A382" s="662" t="s">
        <v>126</v>
      </c>
      <c r="B382" s="587">
        <v>2</v>
      </c>
      <c r="C382" s="574" t="s">
        <v>1590</v>
      </c>
      <c r="D382" s="571" t="s">
        <v>615</v>
      </c>
      <c r="E382" s="588">
        <v>10</v>
      </c>
      <c r="F382" s="571" t="s">
        <v>54</v>
      </c>
      <c r="G382" s="571" t="s">
        <v>1591</v>
      </c>
      <c r="H382" s="571" t="s">
        <v>62</v>
      </c>
      <c r="I382" s="646" t="s">
        <v>1291</v>
      </c>
      <c r="J382" s="804"/>
      <c r="K382" s="804"/>
      <c r="L382" s="804"/>
      <c r="M382" s="804"/>
      <c r="N382" s="571" t="s">
        <v>1703</v>
      </c>
      <c r="O382" s="603" t="s">
        <v>1704</v>
      </c>
      <c r="P382" s="804"/>
      <c r="Q382" s="804"/>
      <c r="R382" s="805"/>
    </row>
    <row r="383" spans="1:18" s="687" customFormat="1" ht="25.5">
      <c r="A383" s="662"/>
      <c r="B383" s="587">
        <v>3</v>
      </c>
      <c r="C383" s="574" t="s">
        <v>1592</v>
      </c>
      <c r="D383" s="571" t="s">
        <v>615</v>
      </c>
      <c r="E383" s="588">
        <v>68</v>
      </c>
      <c r="F383" s="571" t="s">
        <v>54</v>
      </c>
      <c r="G383" s="571" t="s">
        <v>1593</v>
      </c>
      <c r="H383" s="571" t="s">
        <v>62</v>
      </c>
      <c r="I383" s="646" t="s">
        <v>1291</v>
      </c>
      <c r="J383" s="804"/>
      <c r="K383" s="804"/>
      <c r="L383" s="804"/>
      <c r="M383" s="804"/>
      <c r="N383" s="571" t="s">
        <v>1703</v>
      </c>
      <c r="O383" s="603" t="s">
        <v>1704</v>
      </c>
      <c r="P383" s="804"/>
      <c r="Q383" s="804"/>
      <c r="R383" s="805"/>
    </row>
    <row r="384" spans="1:18" s="687" customFormat="1" ht="25.5">
      <c r="A384" s="662"/>
      <c r="B384" s="587">
        <v>4</v>
      </c>
      <c r="C384" s="574" t="s">
        <v>1594</v>
      </c>
      <c r="D384" s="571" t="s">
        <v>615</v>
      </c>
      <c r="E384" s="588">
        <v>366</v>
      </c>
      <c r="F384" s="571" t="s">
        <v>54</v>
      </c>
      <c r="G384" s="571" t="s">
        <v>1595</v>
      </c>
      <c r="H384" s="571" t="s">
        <v>62</v>
      </c>
      <c r="I384" s="646" t="s">
        <v>1291</v>
      </c>
      <c r="J384" s="804"/>
      <c r="K384" s="804"/>
      <c r="L384" s="804"/>
      <c r="M384" s="804"/>
      <c r="N384" s="571" t="s">
        <v>1703</v>
      </c>
      <c r="O384" s="603" t="s">
        <v>1704</v>
      </c>
      <c r="P384" s="804"/>
      <c r="Q384" s="804"/>
      <c r="R384" s="805"/>
    </row>
    <row r="385" spans="1:18" s="687" customFormat="1" ht="25.5">
      <c r="A385" s="662"/>
      <c r="B385" s="587">
        <v>5</v>
      </c>
      <c r="C385" s="574" t="s">
        <v>1596</v>
      </c>
      <c r="D385" s="571" t="s">
        <v>615</v>
      </c>
      <c r="E385" s="588">
        <f>497+22</f>
        <v>519</v>
      </c>
      <c r="F385" s="571" t="s">
        <v>54</v>
      </c>
      <c r="G385" s="571" t="s">
        <v>1597</v>
      </c>
      <c r="H385" s="571" t="s">
        <v>62</v>
      </c>
      <c r="I385" s="646" t="s">
        <v>1291</v>
      </c>
      <c r="J385" s="804"/>
      <c r="K385" s="804"/>
      <c r="L385" s="804"/>
      <c r="M385" s="804"/>
      <c r="N385" s="571" t="s">
        <v>1703</v>
      </c>
      <c r="O385" s="603" t="s">
        <v>1704</v>
      </c>
      <c r="P385" s="804"/>
      <c r="Q385" s="804"/>
      <c r="R385" s="805"/>
    </row>
    <row r="386" spans="1:18" s="687" customFormat="1" ht="25.5">
      <c r="A386" s="662" t="s">
        <v>12</v>
      </c>
      <c r="B386" s="587">
        <v>7</v>
      </c>
      <c r="C386" s="574" t="s">
        <v>1598</v>
      </c>
      <c r="D386" s="571" t="s">
        <v>615</v>
      </c>
      <c r="E386" s="588">
        <f>480+10</f>
        <v>490</v>
      </c>
      <c r="F386" s="571" t="s">
        <v>54</v>
      </c>
      <c r="G386" s="571" t="s">
        <v>1599</v>
      </c>
      <c r="H386" s="571" t="s">
        <v>62</v>
      </c>
      <c r="I386" s="646" t="s">
        <v>1291</v>
      </c>
      <c r="J386" s="804"/>
      <c r="K386" s="804"/>
      <c r="L386" s="804"/>
      <c r="M386" s="804"/>
      <c r="N386" s="571" t="s">
        <v>1703</v>
      </c>
      <c r="O386" s="603" t="s">
        <v>1704</v>
      </c>
      <c r="P386" s="804"/>
      <c r="Q386" s="804"/>
      <c r="R386" s="805"/>
    </row>
    <row r="387" spans="1:18" s="687" customFormat="1" ht="25.5">
      <c r="A387" s="662" t="s">
        <v>19</v>
      </c>
      <c r="B387" s="587">
        <v>8</v>
      </c>
      <c r="C387" s="574" t="s">
        <v>1600</v>
      </c>
      <c r="D387" s="571" t="s">
        <v>615</v>
      </c>
      <c r="E387" s="588">
        <v>760</v>
      </c>
      <c r="F387" s="571" t="s">
        <v>54</v>
      </c>
      <c r="G387" s="571" t="s">
        <v>1601</v>
      </c>
      <c r="H387" s="571" t="s">
        <v>62</v>
      </c>
      <c r="I387" s="646" t="s">
        <v>1291</v>
      </c>
      <c r="J387" s="804"/>
      <c r="K387" s="804"/>
      <c r="L387" s="804"/>
      <c r="M387" s="804"/>
      <c r="N387" s="571" t="s">
        <v>1703</v>
      </c>
      <c r="O387" s="603" t="s">
        <v>1704</v>
      </c>
      <c r="P387" s="804"/>
      <c r="Q387" s="804"/>
      <c r="R387" s="805"/>
    </row>
    <row r="388" spans="1:18" s="687" customFormat="1" ht="25.5">
      <c r="A388" s="662" t="s">
        <v>1111</v>
      </c>
      <c r="B388" s="587">
        <v>9</v>
      </c>
      <c r="C388" s="574" t="s">
        <v>1602</v>
      </c>
      <c r="D388" s="571" t="s">
        <v>617</v>
      </c>
      <c r="E388" s="588">
        <v>12</v>
      </c>
      <c r="F388" s="571" t="s">
        <v>1603</v>
      </c>
      <c r="G388" s="571" t="s">
        <v>630</v>
      </c>
      <c r="H388" s="571" t="s">
        <v>62</v>
      </c>
      <c r="I388" s="646"/>
      <c r="J388" s="804"/>
      <c r="K388" s="804"/>
      <c r="L388" s="804"/>
      <c r="M388" s="804"/>
      <c r="N388" s="571" t="s">
        <v>1703</v>
      </c>
      <c r="O388" s="603" t="s">
        <v>1704</v>
      </c>
      <c r="P388" s="804"/>
      <c r="Q388" s="804"/>
      <c r="R388" s="805"/>
    </row>
    <row r="389" spans="1:18" s="687" customFormat="1" ht="25.5">
      <c r="A389" s="662" t="s">
        <v>1604</v>
      </c>
      <c r="B389" s="587">
        <v>10</v>
      </c>
      <c r="C389" s="574" t="s">
        <v>1604</v>
      </c>
      <c r="D389" s="571" t="s">
        <v>617</v>
      </c>
      <c r="E389" s="588">
        <v>2</v>
      </c>
      <c r="F389" s="571" t="s">
        <v>629</v>
      </c>
      <c r="G389" s="571" t="s">
        <v>1605</v>
      </c>
      <c r="H389" s="571" t="s">
        <v>62</v>
      </c>
      <c r="I389" s="646" t="s">
        <v>1291</v>
      </c>
      <c r="J389" s="804"/>
      <c r="K389" s="804"/>
      <c r="L389" s="804"/>
      <c r="M389" s="804"/>
      <c r="N389" s="571" t="s">
        <v>1703</v>
      </c>
      <c r="O389" s="603" t="s">
        <v>1704</v>
      </c>
      <c r="P389" s="804"/>
      <c r="Q389" s="804"/>
      <c r="R389" s="805"/>
    </row>
    <row r="390" spans="1:18" s="687" customFormat="1">
      <c r="A390" s="662" t="s">
        <v>1112</v>
      </c>
      <c r="B390" s="587">
        <v>11</v>
      </c>
      <c r="C390" s="574" t="s">
        <v>1606</v>
      </c>
      <c r="D390" s="571" t="s">
        <v>615</v>
      </c>
      <c r="E390" s="588">
        <v>16</v>
      </c>
      <c r="F390" s="571" t="s">
        <v>55</v>
      </c>
      <c r="G390" s="571" t="s">
        <v>631</v>
      </c>
      <c r="H390" s="571" t="s">
        <v>62</v>
      </c>
      <c r="I390" s="646"/>
      <c r="J390" s="804"/>
      <c r="K390" s="804"/>
      <c r="L390" s="804"/>
      <c r="M390" s="804"/>
      <c r="N390" s="571" t="s">
        <v>1703</v>
      </c>
      <c r="O390" s="603" t="s">
        <v>1704</v>
      </c>
      <c r="P390" s="804"/>
      <c r="Q390" s="804"/>
      <c r="R390" s="805"/>
    </row>
    <row r="391" spans="1:18" s="687" customFormat="1">
      <c r="A391" s="662"/>
      <c r="B391" s="587">
        <v>12</v>
      </c>
      <c r="C391" s="574" t="s">
        <v>1607</v>
      </c>
      <c r="D391" s="571" t="s">
        <v>615</v>
      </c>
      <c r="E391" s="588">
        <v>1</v>
      </c>
      <c r="F391" s="571" t="s">
        <v>55</v>
      </c>
      <c r="G391" s="571" t="s">
        <v>1608</v>
      </c>
      <c r="H391" s="571" t="s">
        <v>62</v>
      </c>
      <c r="I391" s="646"/>
      <c r="J391" s="804"/>
      <c r="K391" s="804"/>
      <c r="L391" s="804"/>
      <c r="M391" s="804"/>
      <c r="N391" s="571" t="s">
        <v>1703</v>
      </c>
      <c r="O391" s="603" t="s">
        <v>1704</v>
      </c>
      <c r="P391" s="804"/>
      <c r="Q391" s="804"/>
      <c r="R391" s="805"/>
    </row>
    <row r="392" spans="1:18" s="687" customFormat="1">
      <c r="A392" s="662"/>
      <c r="B392" s="587">
        <v>13</v>
      </c>
      <c r="C392" s="574" t="s">
        <v>1609</v>
      </c>
      <c r="D392" s="571" t="s">
        <v>615</v>
      </c>
      <c r="E392" s="588">
        <v>6</v>
      </c>
      <c r="F392" s="571" t="s">
        <v>55</v>
      </c>
      <c r="G392" s="571" t="s">
        <v>1610</v>
      </c>
      <c r="H392" s="571" t="s">
        <v>62</v>
      </c>
      <c r="I392" s="646"/>
      <c r="J392" s="804"/>
      <c r="K392" s="804"/>
      <c r="L392" s="804"/>
      <c r="M392" s="804"/>
      <c r="N392" s="571" t="s">
        <v>1703</v>
      </c>
      <c r="O392" s="603" t="s">
        <v>1704</v>
      </c>
      <c r="P392" s="804"/>
      <c r="Q392" s="804"/>
      <c r="R392" s="805"/>
    </row>
    <row r="393" spans="1:18" s="687" customFormat="1">
      <c r="A393" s="662"/>
      <c r="B393" s="587">
        <v>14</v>
      </c>
      <c r="C393" s="574" t="s">
        <v>1611</v>
      </c>
      <c r="D393" s="571" t="s">
        <v>615</v>
      </c>
      <c r="E393" s="588">
        <v>1</v>
      </c>
      <c r="F393" s="571" t="s">
        <v>55</v>
      </c>
      <c r="G393" s="571" t="s">
        <v>1612</v>
      </c>
      <c r="H393" s="571" t="s">
        <v>62</v>
      </c>
      <c r="I393" s="646"/>
      <c r="J393" s="804"/>
      <c r="K393" s="804"/>
      <c r="L393" s="804"/>
      <c r="M393" s="804"/>
      <c r="N393" s="571" t="s">
        <v>1703</v>
      </c>
      <c r="O393" s="603" t="s">
        <v>1704</v>
      </c>
      <c r="P393" s="804"/>
      <c r="Q393" s="804"/>
      <c r="R393" s="805"/>
    </row>
    <row r="394" spans="1:18" s="725" customFormat="1" ht="25.5">
      <c r="A394" s="664" t="s">
        <v>1107</v>
      </c>
      <c r="B394" s="721">
        <v>15</v>
      </c>
      <c r="C394" s="728" t="s">
        <v>1613</v>
      </c>
      <c r="D394" s="729" t="s">
        <v>617</v>
      </c>
      <c r="E394" s="730">
        <v>2</v>
      </c>
      <c r="F394" s="729" t="s">
        <v>55</v>
      </c>
      <c r="G394" s="729" t="s">
        <v>625</v>
      </c>
      <c r="H394" s="711"/>
      <c r="I394" s="731"/>
      <c r="J394" s="806"/>
      <c r="K394" s="806"/>
      <c r="L394" s="806"/>
      <c r="M394" s="806"/>
      <c r="N394" s="806" t="s">
        <v>1703</v>
      </c>
      <c r="O394" s="806"/>
      <c r="P394" s="806"/>
      <c r="Q394" s="806"/>
      <c r="R394" s="807"/>
    </row>
    <row r="395" spans="1:18" s="725" customFormat="1" ht="25.5">
      <c r="A395" s="664" t="s">
        <v>1108</v>
      </c>
      <c r="B395" s="721">
        <v>16</v>
      </c>
      <c r="C395" s="728" t="s">
        <v>1613</v>
      </c>
      <c r="D395" s="729" t="s">
        <v>617</v>
      </c>
      <c r="E395" s="730">
        <v>1</v>
      </c>
      <c r="F395" s="729" t="s">
        <v>55</v>
      </c>
      <c r="G395" s="729" t="s">
        <v>626</v>
      </c>
      <c r="H395" s="711"/>
      <c r="I395" s="731"/>
      <c r="J395" s="806"/>
      <c r="K395" s="806"/>
      <c r="L395" s="806"/>
      <c r="M395" s="806"/>
      <c r="N395" s="806" t="s">
        <v>1703</v>
      </c>
      <c r="O395" s="806"/>
      <c r="P395" s="806"/>
      <c r="Q395" s="806"/>
      <c r="R395" s="807"/>
    </row>
    <row r="396" spans="1:18" s="586" customFormat="1">
      <c r="A396" s="661"/>
      <c r="B396" s="597"/>
      <c r="C396" s="598" t="s">
        <v>1276</v>
      </c>
      <c r="D396" s="597"/>
      <c r="E396" s="599"/>
      <c r="F396" s="597"/>
      <c r="G396" s="597"/>
      <c r="H396" s="597"/>
      <c r="I396" s="639"/>
      <c r="J396" s="794"/>
      <c r="K396" s="795"/>
      <c r="L396" s="795"/>
      <c r="M396" s="795"/>
      <c r="N396" s="795"/>
      <c r="O396" s="795"/>
      <c r="P396" s="795"/>
      <c r="Q396" s="795"/>
      <c r="R396" s="796"/>
    </row>
    <row r="397" spans="1:18" s="687" customFormat="1" ht="38.25">
      <c r="A397" s="662" t="s">
        <v>151</v>
      </c>
      <c r="B397" s="587">
        <v>1</v>
      </c>
      <c r="C397" s="590" t="s">
        <v>151</v>
      </c>
      <c r="D397" s="591" t="s">
        <v>6</v>
      </c>
      <c r="E397" s="591">
        <f>9+4</f>
        <v>13</v>
      </c>
      <c r="F397" s="591" t="s">
        <v>55</v>
      </c>
      <c r="G397" s="571" t="s">
        <v>180</v>
      </c>
      <c r="H397" s="571" t="s">
        <v>62</v>
      </c>
      <c r="I397" s="648"/>
      <c r="J397" s="803" t="s">
        <v>1703</v>
      </c>
      <c r="K397" s="804"/>
      <c r="L397" s="804" t="s">
        <v>1703</v>
      </c>
      <c r="M397" s="804"/>
      <c r="N397" s="804" t="s">
        <v>1703</v>
      </c>
      <c r="O397" s="804"/>
      <c r="P397" s="804"/>
      <c r="Q397" s="804"/>
      <c r="R397" s="805"/>
    </row>
    <row r="398" spans="1:18" s="687" customFormat="1" ht="25.5">
      <c r="A398" s="662" t="s">
        <v>1614</v>
      </c>
      <c r="B398" s="587">
        <v>2</v>
      </c>
      <c r="C398" s="574" t="s">
        <v>1614</v>
      </c>
      <c r="D398" s="571" t="s">
        <v>141</v>
      </c>
      <c r="E398" s="571">
        <v>16</v>
      </c>
      <c r="F398" s="571" t="s">
        <v>175</v>
      </c>
      <c r="G398" s="571"/>
      <c r="H398" s="571" t="s">
        <v>62</v>
      </c>
      <c r="I398" s="648"/>
      <c r="J398" s="803" t="s">
        <v>1703</v>
      </c>
      <c r="K398" s="804"/>
      <c r="L398" s="804" t="s">
        <v>1703</v>
      </c>
      <c r="M398" s="804"/>
      <c r="N398" s="804" t="s">
        <v>1703</v>
      </c>
      <c r="O398" s="804"/>
      <c r="P398" s="804"/>
      <c r="Q398" s="804"/>
      <c r="R398" s="805"/>
    </row>
    <row r="399" spans="1:18" s="687" customFormat="1">
      <c r="A399" s="662" t="s">
        <v>1615</v>
      </c>
      <c r="B399" s="587">
        <v>3</v>
      </c>
      <c r="C399" s="574" t="s">
        <v>1615</v>
      </c>
      <c r="D399" s="571" t="s">
        <v>141</v>
      </c>
      <c r="E399" s="571">
        <v>8</v>
      </c>
      <c r="F399" s="571" t="s">
        <v>175</v>
      </c>
      <c r="G399" s="571"/>
      <c r="H399" s="571" t="s">
        <v>62</v>
      </c>
      <c r="I399" s="648"/>
      <c r="J399" s="803" t="s">
        <v>1703</v>
      </c>
      <c r="K399" s="804"/>
      <c r="L399" s="804" t="s">
        <v>1703</v>
      </c>
      <c r="M399" s="804"/>
      <c r="N399" s="804" t="s">
        <v>1703</v>
      </c>
      <c r="O399" s="804"/>
      <c r="P399" s="804"/>
      <c r="Q399" s="804"/>
      <c r="R399" s="805"/>
    </row>
    <row r="400" spans="1:18" s="687" customFormat="1" ht="63.75">
      <c r="A400" s="662" t="s">
        <v>150</v>
      </c>
      <c r="B400" s="587">
        <v>4</v>
      </c>
      <c r="C400" s="574" t="s">
        <v>150</v>
      </c>
      <c r="D400" s="571" t="s">
        <v>1616</v>
      </c>
      <c r="E400" s="571">
        <v>480</v>
      </c>
      <c r="F400" s="571"/>
      <c r="G400" s="571"/>
      <c r="H400" s="571" t="s">
        <v>62</v>
      </c>
      <c r="I400" s="648"/>
      <c r="J400" s="803" t="s">
        <v>1703</v>
      </c>
      <c r="K400" s="804"/>
      <c r="L400" s="804" t="s">
        <v>1703</v>
      </c>
      <c r="M400" s="804"/>
      <c r="N400" s="804" t="s">
        <v>1703</v>
      </c>
      <c r="O400" s="804"/>
      <c r="P400" s="804"/>
      <c r="Q400" s="804"/>
      <c r="R400" s="805"/>
    </row>
    <row r="401" spans="1:18" s="687" customFormat="1" ht="38.25">
      <c r="A401" s="662" t="s">
        <v>146</v>
      </c>
      <c r="B401" s="587">
        <v>5</v>
      </c>
      <c r="C401" s="590" t="s">
        <v>1617</v>
      </c>
      <c r="D401" s="591" t="s">
        <v>3</v>
      </c>
      <c r="E401" s="591">
        <v>12</v>
      </c>
      <c r="F401" s="591" t="s">
        <v>1618</v>
      </c>
      <c r="G401" s="571"/>
      <c r="H401" s="571" t="s">
        <v>62</v>
      </c>
      <c r="I401" s="648"/>
      <c r="J401" s="803" t="s">
        <v>1703</v>
      </c>
      <c r="K401" s="804"/>
      <c r="L401" s="804" t="s">
        <v>1703</v>
      </c>
      <c r="M401" s="804"/>
      <c r="N401" s="804" t="s">
        <v>1703</v>
      </c>
      <c r="O401" s="804"/>
      <c r="P401" s="804"/>
      <c r="Q401" s="804"/>
      <c r="R401" s="805"/>
    </row>
    <row r="402" spans="1:18" s="687" customFormat="1" ht="38.25">
      <c r="A402" s="662" t="s">
        <v>149</v>
      </c>
      <c r="B402" s="587">
        <v>6</v>
      </c>
      <c r="C402" s="590" t="s">
        <v>149</v>
      </c>
      <c r="D402" s="591" t="s">
        <v>3</v>
      </c>
      <c r="E402" s="591">
        <v>1</v>
      </c>
      <c r="F402" s="591" t="s">
        <v>1618</v>
      </c>
      <c r="G402" s="571" t="s">
        <v>179</v>
      </c>
      <c r="H402" s="571" t="s">
        <v>62</v>
      </c>
      <c r="I402" s="648"/>
      <c r="J402" s="803" t="s">
        <v>1703</v>
      </c>
      <c r="K402" s="804"/>
      <c r="L402" s="804" t="s">
        <v>1703</v>
      </c>
      <c r="M402" s="804"/>
      <c r="N402" s="804" t="s">
        <v>1703</v>
      </c>
      <c r="O402" s="804"/>
      <c r="P402" s="804"/>
      <c r="Q402" s="804"/>
      <c r="R402" s="805"/>
    </row>
    <row r="403" spans="1:18" s="687" customFormat="1" ht="38.25">
      <c r="A403" s="662" t="s">
        <v>148</v>
      </c>
      <c r="B403" s="587">
        <v>7</v>
      </c>
      <c r="C403" s="590" t="s">
        <v>148</v>
      </c>
      <c r="D403" s="591" t="s">
        <v>3</v>
      </c>
      <c r="E403" s="591">
        <v>1</v>
      </c>
      <c r="F403" s="591" t="s">
        <v>1618</v>
      </c>
      <c r="G403" s="571" t="s">
        <v>178</v>
      </c>
      <c r="H403" s="571" t="s">
        <v>62</v>
      </c>
      <c r="I403" s="648"/>
      <c r="J403" s="803" t="s">
        <v>1703</v>
      </c>
      <c r="K403" s="804"/>
      <c r="L403" s="804" t="s">
        <v>1703</v>
      </c>
      <c r="M403" s="804"/>
      <c r="N403" s="804" t="s">
        <v>1703</v>
      </c>
      <c r="O403" s="804"/>
      <c r="P403" s="804"/>
      <c r="Q403" s="804"/>
      <c r="R403" s="805"/>
    </row>
    <row r="404" spans="1:18" s="687" customFormat="1" ht="25.5">
      <c r="A404" s="662" t="s">
        <v>147</v>
      </c>
      <c r="B404" s="634">
        <v>8</v>
      </c>
      <c r="C404" s="635" t="s">
        <v>147</v>
      </c>
      <c r="D404" s="636" t="s">
        <v>3</v>
      </c>
      <c r="E404" s="636">
        <v>2</v>
      </c>
      <c r="F404" s="636" t="s">
        <v>1619</v>
      </c>
      <c r="G404" s="637" t="s">
        <v>177</v>
      </c>
      <c r="H404" s="637" t="s">
        <v>62</v>
      </c>
      <c r="I404" s="649"/>
      <c r="J404" s="803" t="s">
        <v>1703</v>
      </c>
      <c r="K404" s="804"/>
      <c r="L404" s="804" t="s">
        <v>1703</v>
      </c>
      <c r="M404" s="804"/>
      <c r="N404" s="804" t="s">
        <v>1703</v>
      </c>
      <c r="O404" s="804"/>
      <c r="P404" s="804"/>
      <c r="Q404" s="804"/>
      <c r="R404" s="805"/>
    </row>
    <row r="405" spans="1:18">
      <c r="B405" s="592"/>
      <c r="C405" s="565"/>
      <c r="D405" s="581"/>
      <c r="E405" s="582"/>
      <c r="F405" s="581"/>
      <c r="G405" s="581"/>
      <c r="H405" s="581"/>
      <c r="I405" s="581"/>
    </row>
    <row r="406" spans="1:18">
      <c r="B406" s="581"/>
      <c r="C406" s="565"/>
      <c r="D406" s="581"/>
      <c r="E406" s="582"/>
      <c r="F406" s="581"/>
      <c r="G406" s="581"/>
      <c r="H406" s="581"/>
      <c r="I406" s="581"/>
    </row>
    <row r="407" spans="1:18" ht="15.75">
      <c r="C407" s="732" t="s">
        <v>1749</v>
      </c>
      <c r="D407" s="586"/>
      <c r="E407" s="733"/>
    </row>
    <row r="408" spans="1:18">
      <c r="A408" s="734" t="s">
        <v>1748</v>
      </c>
      <c r="B408" s="650">
        <v>1</v>
      </c>
      <c r="C408" s="718" t="s">
        <v>1082</v>
      </c>
      <c r="D408" s="718" t="s">
        <v>187</v>
      </c>
      <c r="E408" s="743">
        <f t="shared" ref="E408:E440" si="1">SUMIF($A$15:$A$404,C408,$E$15:$E$404)</f>
        <v>4527.8899999999994</v>
      </c>
    </row>
    <row r="409" spans="1:18">
      <c r="B409" s="650">
        <f>B408+1</f>
        <v>2</v>
      </c>
      <c r="C409" s="718" t="s">
        <v>1126</v>
      </c>
      <c r="D409" s="718" t="s">
        <v>967</v>
      </c>
      <c r="E409" s="743">
        <f t="shared" si="1"/>
        <v>15000</v>
      </c>
    </row>
    <row r="410" spans="1:18">
      <c r="B410" s="650">
        <f t="shared" ref="B410:B477" si="2">B409+1</f>
        <v>3</v>
      </c>
      <c r="C410" s="718" t="s">
        <v>1130</v>
      </c>
      <c r="D410" s="718" t="s">
        <v>967</v>
      </c>
      <c r="E410" s="743">
        <f t="shared" si="1"/>
        <v>4000</v>
      </c>
    </row>
    <row r="411" spans="1:18">
      <c r="B411" s="650">
        <f t="shared" si="2"/>
        <v>4</v>
      </c>
      <c r="C411" s="718" t="s">
        <v>966</v>
      </c>
      <c r="D411" s="718" t="s">
        <v>0</v>
      </c>
      <c r="E411" s="743">
        <f t="shared" si="1"/>
        <v>98.5</v>
      </c>
    </row>
    <row r="412" spans="1:18">
      <c r="B412" s="650">
        <f t="shared" si="2"/>
        <v>5</v>
      </c>
      <c r="C412" s="718" t="s">
        <v>422</v>
      </c>
      <c r="D412" s="718" t="s">
        <v>324</v>
      </c>
      <c r="E412" s="743">
        <f t="shared" si="1"/>
        <v>500</v>
      </c>
    </row>
    <row r="413" spans="1:18">
      <c r="B413" s="650">
        <f t="shared" si="2"/>
        <v>6</v>
      </c>
      <c r="C413" s="718" t="s">
        <v>968</v>
      </c>
      <c r="D413" s="718" t="s">
        <v>324</v>
      </c>
      <c r="E413" s="743">
        <f t="shared" si="1"/>
        <v>111</v>
      </c>
    </row>
    <row r="414" spans="1:18">
      <c r="B414" s="650">
        <f t="shared" si="2"/>
        <v>7</v>
      </c>
      <c r="C414" s="718" t="s">
        <v>1102</v>
      </c>
      <c r="D414" s="718" t="s">
        <v>324</v>
      </c>
      <c r="E414" s="743">
        <f t="shared" si="1"/>
        <v>40</v>
      </c>
    </row>
    <row r="415" spans="1:18">
      <c r="B415" s="650">
        <f t="shared" si="2"/>
        <v>8</v>
      </c>
      <c r="C415" s="718" t="s">
        <v>969</v>
      </c>
      <c r="D415" s="718" t="s">
        <v>1646</v>
      </c>
      <c r="E415" s="743">
        <f t="shared" si="1"/>
        <v>20</v>
      </c>
    </row>
    <row r="416" spans="1:18">
      <c r="B416" s="650">
        <f t="shared" si="2"/>
        <v>9</v>
      </c>
      <c r="C416" s="718" t="s">
        <v>1103</v>
      </c>
      <c r="D416" s="718" t="s">
        <v>1646</v>
      </c>
      <c r="E416" s="743">
        <f t="shared" si="1"/>
        <v>10</v>
      </c>
    </row>
    <row r="417" spans="2:5">
      <c r="B417" s="650">
        <f t="shared" si="2"/>
        <v>10</v>
      </c>
      <c r="C417" s="718" t="s">
        <v>1070</v>
      </c>
      <c r="D417" s="718" t="s">
        <v>187</v>
      </c>
      <c r="E417" s="743">
        <f t="shared" si="1"/>
        <v>6637</v>
      </c>
    </row>
    <row r="418" spans="2:5">
      <c r="B418" s="650">
        <f t="shared" si="2"/>
        <v>11</v>
      </c>
      <c r="C418" s="718" t="s">
        <v>1629</v>
      </c>
      <c r="D418" s="718" t="s">
        <v>0</v>
      </c>
      <c r="E418" s="743">
        <f t="shared" si="1"/>
        <v>46</v>
      </c>
    </row>
    <row r="419" spans="2:5">
      <c r="B419" s="650">
        <f t="shared" si="2"/>
        <v>12</v>
      </c>
      <c r="C419" s="718" t="s">
        <v>997</v>
      </c>
      <c r="D419" s="718" t="s">
        <v>1</v>
      </c>
      <c r="E419" s="744">
        <f t="shared" si="1"/>
        <v>1160.952</v>
      </c>
    </row>
    <row r="420" spans="2:5">
      <c r="B420" s="650">
        <f t="shared" si="2"/>
        <v>13</v>
      </c>
      <c r="C420" s="718" t="s">
        <v>979</v>
      </c>
      <c r="D420" s="718" t="s">
        <v>1</v>
      </c>
      <c r="E420" s="744">
        <f t="shared" si="1"/>
        <v>729.12179999999989</v>
      </c>
    </row>
    <row r="421" spans="2:5">
      <c r="B421" s="650">
        <f t="shared" si="2"/>
        <v>14</v>
      </c>
      <c r="C421" s="718" t="s">
        <v>1071</v>
      </c>
      <c r="D421" s="718" t="s">
        <v>187</v>
      </c>
      <c r="E421" s="743">
        <f t="shared" si="1"/>
        <v>14742</v>
      </c>
    </row>
    <row r="422" spans="2:5">
      <c r="B422" s="650">
        <f t="shared" si="2"/>
        <v>15</v>
      </c>
      <c r="C422" s="718" t="s">
        <v>1072</v>
      </c>
      <c r="D422" s="718" t="s">
        <v>187</v>
      </c>
      <c r="E422" s="743">
        <f t="shared" si="1"/>
        <v>1150</v>
      </c>
    </row>
    <row r="423" spans="2:5">
      <c r="B423" s="650">
        <f t="shared" si="2"/>
        <v>16</v>
      </c>
      <c r="C423" s="718" t="s">
        <v>1073</v>
      </c>
      <c r="D423" s="718" t="s">
        <v>187</v>
      </c>
      <c r="E423" s="743">
        <f t="shared" si="1"/>
        <v>5094.8</v>
      </c>
    </row>
    <row r="424" spans="2:5">
      <c r="B424" s="650">
        <f t="shared" si="2"/>
        <v>17</v>
      </c>
      <c r="C424" s="718" t="s">
        <v>1656</v>
      </c>
      <c r="D424" s="718" t="s">
        <v>1</v>
      </c>
      <c r="E424" s="743">
        <f t="shared" si="1"/>
        <v>28</v>
      </c>
    </row>
    <row r="425" spans="2:5">
      <c r="B425" s="650">
        <f t="shared" si="2"/>
        <v>18</v>
      </c>
      <c r="C425" s="718" t="s">
        <v>1737</v>
      </c>
      <c r="D425" s="718" t="s">
        <v>1</v>
      </c>
      <c r="E425" s="743">
        <f t="shared" si="1"/>
        <v>500</v>
      </c>
    </row>
    <row r="426" spans="2:5">
      <c r="B426" s="650">
        <f t="shared" si="2"/>
        <v>19</v>
      </c>
      <c r="C426" s="718" t="s">
        <v>1631</v>
      </c>
      <c r="D426" s="718" t="s">
        <v>1</v>
      </c>
      <c r="E426" s="743">
        <f t="shared" si="1"/>
        <v>1424.64</v>
      </c>
    </row>
    <row r="427" spans="2:5">
      <c r="B427" s="650">
        <f t="shared" si="2"/>
        <v>20</v>
      </c>
      <c r="C427" s="718" t="s">
        <v>1630</v>
      </c>
      <c r="D427" s="718" t="s">
        <v>1</v>
      </c>
      <c r="E427" s="743">
        <f t="shared" si="1"/>
        <v>46.08</v>
      </c>
    </row>
    <row r="428" spans="2:5">
      <c r="B428" s="650">
        <f t="shared" si="2"/>
        <v>21</v>
      </c>
      <c r="C428" s="718" t="s">
        <v>1647</v>
      </c>
      <c r="D428" s="718" t="s">
        <v>617</v>
      </c>
      <c r="E428" s="743">
        <f t="shared" si="1"/>
        <v>165</v>
      </c>
    </row>
    <row r="429" spans="2:5">
      <c r="B429" s="650">
        <f t="shared" si="2"/>
        <v>22</v>
      </c>
      <c r="C429" s="718" t="s">
        <v>1648</v>
      </c>
      <c r="D429" s="718" t="s">
        <v>617</v>
      </c>
      <c r="E429" s="743">
        <f t="shared" si="1"/>
        <v>400</v>
      </c>
    </row>
    <row r="430" spans="2:5">
      <c r="B430" s="650">
        <f t="shared" si="2"/>
        <v>23</v>
      </c>
      <c r="C430" s="718" t="s">
        <v>1751</v>
      </c>
      <c r="D430" s="718" t="s">
        <v>617</v>
      </c>
      <c r="E430" s="743">
        <f t="shared" si="1"/>
        <v>1200</v>
      </c>
    </row>
    <row r="431" spans="2:5">
      <c r="B431" s="650">
        <f t="shared" si="2"/>
        <v>24</v>
      </c>
      <c r="C431" s="718" t="s">
        <v>978</v>
      </c>
      <c r="D431" s="718" t="s">
        <v>1</v>
      </c>
      <c r="E431" s="743">
        <f t="shared" si="1"/>
        <v>385.92</v>
      </c>
    </row>
    <row r="432" spans="2:5">
      <c r="B432" s="650">
        <f t="shared" si="2"/>
        <v>25</v>
      </c>
      <c r="C432" s="718" t="s">
        <v>977</v>
      </c>
      <c r="D432" s="718" t="s">
        <v>1</v>
      </c>
      <c r="E432" s="743">
        <f t="shared" si="1"/>
        <v>105.12</v>
      </c>
    </row>
    <row r="433" spans="2:5">
      <c r="B433" s="650">
        <f t="shared" si="2"/>
        <v>26</v>
      </c>
      <c r="C433" s="718" t="s">
        <v>971</v>
      </c>
      <c r="D433" s="718" t="s">
        <v>617</v>
      </c>
      <c r="E433" s="743">
        <f t="shared" si="1"/>
        <v>31</v>
      </c>
    </row>
    <row r="434" spans="2:5">
      <c r="B434" s="650">
        <f t="shared" si="2"/>
        <v>27</v>
      </c>
      <c r="C434" s="718" t="s">
        <v>1632</v>
      </c>
      <c r="D434" s="718" t="s">
        <v>617</v>
      </c>
      <c r="E434" s="743">
        <f t="shared" si="1"/>
        <v>6</v>
      </c>
    </row>
    <row r="435" spans="2:5">
      <c r="B435" s="650">
        <f t="shared" si="2"/>
        <v>28</v>
      </c>
      <c r="C435" s="718" t="s">
        <v>1649</v>
      </c>
      <c r="D435" s="718" t="s">
        <v>1468</v>
      </c>
      <c r="E435" s="743">
        <f t="shared" si="1"/>
        <v>1</v>
      </c>
    </row>
    <row r="436" spans="2:5">
      <c r="B436" s="650">
        <f t="shared" si="2"/>
        <v>29</v>
      </c>
      <c r="C436" s="718" t="s">
        <v>1650</v>
      </c>
      <c r="D436" s="718" t="s">
        <v>0</v>
      </c>
      <c r="E436" s="743">
        <f t="shared" si="1"/>
        <v>57.5</v>
      </c>
    </row>
    <row r="437" spans="2:5">
      <c r="B437" s="650">
        <f t="shared" si="2"/>
        <v>30</v>
      </c>
      <c r="C437" s="718" t="s">
        <v>1104</v>
      </c>
      <c r="D437" s="718" t="s">
        <v>1646</v>
      </c>
      <c r="E437" s="743">
        <f t="shared" si="1"/>
        <v>38</v>
      </c>
    </row>
    <row r="438" spans="2:5">
      <c r="B438" s="650">
        <f t="shared" si="2"/>
        <v>31</v>
      </c>
      <c r="C438" s="718" t="s">
        <v>970</v>
      </c>
      <c r="D438" s="718" t="s">
        <v>1646</v>
      </c>
      <c r="E438" s="743">
        <f t="shared" si="1"/>
        <v>35</v>
      </c>
    </row>
    <row r="439" spans="2:5" ht="25.5">
      <c r="B439" s="650">
        <f t="shared" si="2"/>
        <v>32</v>
      </c>
      <c r="C439" s="718" t="s">
        <v>1105</v>
      </c>
      <c r="D439" s="718" t="s">
        <v>1</v>
      </c>
      <c r="E439" s="743">
        <f t="shared" si="1"/>
        <v>5.94</v>
      </c>
    </row>
    <row r="440" spans="2:5" ht="25.5">
      <c r="B440" s="650">
        <f t="shared" si="2"/>
        <v>33</v>
      </c>
      <c r="C440" s="718" t="s">
        <v>999</v>
      </c>
      <c r="D440" s="718" t="s">
        <v>1</v>
      </c>
      <c r="E440" s="743">
        <f t="shared" si="1"/>
        <v>111.42</v>
      </c>
    </row>
    <row r="441" spans="2:5">
      <c r="B441" s="650">
        <f t="shared" si="2"/>
        <v>34</v>
      </c>
      <c r="C441" s="718" t="s">
        <v>998</v>
      </c>
      <c r="D441" s="718" t="s">
        <v>1</v>
      </c>
      <c r="E441" s="743">
        <f t="shared" ref="E441:E475" si="3">SUMIF($A$15:$A$404,C441,$E$15:$E$404)</f>
        <v>38.94</v>
      </c>
    </row>
    <row r="442" spans="2:5">
      <c r="B442" s="650">
        <f t="shared" si="2"/>
        <v>35</v>
      </c>
      <c r="C442" s="718" t="s">
        <v>1081</v>
      </c>
      <c r="D442" s="718" t="s">
        <v>1</v>
      </c>
      <c r="E442" s="743">
        <f t="shared" si="3"/>
        <v>15</v>
      </c>
    </row>
    <row r="443" spans="2:5">
      <c r="B443" s="650">
        <f t="shared" si="2"/>
        <v>36</v>
      </c>
      <c r="C443" s="718" t="s">
        <v>1074</v>
      </c>
      <c r="D443" s="718" t="s">
        <v>1228</v>
      </c>
      <c r="E443" s="743">
        <f t="shared" si="3"/>
        <v>30</v>
      </c>
    </row>
    <row r="444" spans="2:5">
      <c r="B444" s="650">
        <f t="shared" si="2"/>
        <v>37</v>
      </c>
      <c r="C444" s="718" t="s">
        <v>1075</v>
      </c>
      <c r="D444" s="718" t="s">
        <v>4</v>
      </c>
      <c r="E444" s="743">
        <f t="shared" si="3"/>
        <v>68</v>
      </c>
    </row>
    <row r="445" spans="2:5">
      <c r="B445" s="650">
        <f t="shared" si="2"/>
        <v>38</v>
      </c>
      <c r="C445" s="718" t="s">
        <v>1076</v>
      </c>
      <c r="D445" s="718" t="s">
        <v>4</v>
      </c>
      <c r="E445" s="743">
        <f t="shared" si="3"/>
        <v>40</v>
      </c>
    </row>
    <row r="446" spans="2:5" ht="25.5">
      <c r="B446" s="650">
        <f t="shared" si="2"/>
        <v>39</v>
      </c>
      <c r="C446" s="718" t="s">
        <v>1741</v>
      </c>
      <c r="D446" s="718" t="s">
        <v>990</v>
      </c>
      <c r="E446" s="743">
        <f t="shared" si="3"/>
        <v>16</v>
      </c>
    </row>
    <row r="447" spans="2:5" ht="25.5">
      <c r="B447" s="650">
        <f t="shared" si="2"/>
        <v>40</v>
      </c>
      <c r="C447" s="718" t="s">
        <v>1740</v>
      </c>
      <c r="D447" s="718" t="s">
        <v>990</v>
      </c>
      <c r="E447" s="743">
        <f t="shared" si="3"/>
        <v>12</v>
      </c>
    </row>
    <row r="448" spans="2:5">
      <c r="B448" s="650">
        <f t="shared" si="2"/>
        <v>41</v>
      </c>
      <c r="C448" s="718" t="s">
        <v>1633</v>
      </c>
      <c r="D448" s="718" t="s">
        <v>367</v>
      </c>
      <c r="E448" s="743">
        <f t="shared" si="3"/>
        <v>6</v>
      </c>
    </row>
    <row r="449" spans="1:5">
      <c r="B449" s="650">
        <f t="shared" si="2"/>
        <v>42</v>
      </c>
      <c r="C449" s="718" t="s">
        <v>1002</v>
      </c>
      <c r="D449" s="718" t="s">
        <v>1</v>
      </c>
      <c r="E449" s="743">
        <f t="shared" si="3"/>
        <v>20</v>
      </c>
    </row>
    <row r="450" spans="1:5">
      <c r="B450" s="650">
        <f t="shared" si="2"/>
        <v>43</v>
      </c>
      <c r="C450" s="718" t="s">
        <v>1003</v>
      </c>
      <c r="D450" s="718" t="s">
        <v>1</v>
      </c>
      <c r="E450" s="743">
        <f t="shared" si="3"/>
        <v>32</v>
      </c>
    </row>
    <row r="451" spans="1:5">
      <c r="B451" s="650">
        <f t="shared" si="2"/>
        <v>44</v>
      </c>
      <c r="C451" s="718" t="s">
        <v>1004</v>
      </c>
      <c r="D451" s="718" t="s">
        <v>4</v>
      </c>
      <c r="E451" s="743">
        <f t="shared" si="3"/>
        <v>1</v>
      </c>
    </row>
    <row r="452" spans="1:5">
      <c r="B452" s="650">
        <f t="shared" si="2"/>
        <v>45</v>
      </c>
      <c r="C452" s="718" t="s">
        <v>1005</v>
      </c>
      <c r="D452" s="718" t="s">
        <v>4</v>
      </c>
      <c r="E452" s="743">
        <f t="shared" si="3"/>
        <v>1</v>
      </c>
    </row>
    <row r="453" spans="1:5">
      <c r="B453" s="650">
        <f t="shared" si="2"/>
        <v>46</v>
      </c>
      <c r="C453" s="718" t="s">
        <v>1742</v>
      </c>
      <c r="D453" s="718" t="s">
        <v>4</v>
      </c>
      <c r="E453" s="743">
        <f t="shared" si="3"/>
        <v>1</v>
      </c>
    </row>
    <row r="454" spans="1:5" ht="25.5">
      <c r="B454" s="650">
        <f t="shared" si="2"/>
        <v>47</v>
      </c>
      <c r="C454" s="718" t="s">
        <v>1000</v>
      </c>
      <c r="D454" s="718" t="s">
        <v>1</v>
      </c>
      <c r="E454" s="743">
        <f t="shared" si="3"/>
        <v>13.914999999999999</v>
      </c>
    </row>
    <row r="455" spans="1:5">
      <c r="B455" s="650">
        <f t="shared" si="2"/>
        <v>48</v>
      </c>
      <c r="C455" s="718" t="s">
        <v>1001</v>
      </c>
      <c r="D455" s="718" t="s">
        <v>4</v>
      </c>
      <c r="E455" s="743">
        <f t="shared" si="3"/>
        <v>1</v>
      </c>
    </row>
    <row r="456" spans="1:5">
      <c r="B456" s="650">
        <f t="shared" si="2"/>
        <v>49</v>
      </c>
      <c r="C456" s="718" t="s">
        <v>1744</v>
      </c>
      <c r="D456" s="718" t="s">
        <v>4</v>
      </c>
      <c r="E456" s="743">
        <f t="shared" si="3"/>
        <v>14</v>
      </c>
    </row>
    <row r="457" spans="1:5">
      <c r="B457" s="650">
        <f t="shared" si="2"/>
        <v>50</v>
      </c>
      <c r="C457" s="718" t="s">
        <v>1106</v>
      </c>
      <c r="D457" s="718" t="s">
        <v>1</v>
      </c>
      <c r="E457" s="743">
        <f t="shared" si="3"/>
        <v>3</v>
      </c>
    </row>
    <row r="458" spans="1:5">
      <c r="B458" s="650">
        <f t="shared" si="2"/>
        <v>51</v>
      </c>
      <c r="C458" s="718" t="s">
        <v>1738</v>
      </c>
      <c r="D458" s="718" t="s">
        <v>2</v>
      </c>
      <c r="E458" s="743">
        <f t="shared" si="3"/>
        <v>42.7</v>
      </c>
    </row>
    <row r="459" spans="1:5">
      <c r="A459" s="734" t="s">
        <v>1750</v>
      </c>
      <c r="B459" s="650">
        <f t="shared" si="2"/>
        <v>52</v>
      </c>
      <c r="C459" s="718" t="s">
        <v>18</v>
      </c>
      <c r="D459" s="718" t="s">
        <v>303</v>
      </c>
      <c r="E459" s="743">
        <f t="shared" si="3"/>
        <v>1380</v>
      </c>
    </row>
    <row r="460" spans="1:5">
      <c r="B460" s="650">
        <f t="shared" si="2"/>
        <v>53</v>
      </c>
      <c r="C460" s="718" t="s">
        <v>53</v>
      </c>
      <c r="D460" s="718" t="s">
        <v>303</v>
      </c>
      <c r="E460" s="743">
        <f t="shared" si="3"/>
        <v>340</v>
      </c>
    </row>
    <row r="461" spans="1:5">
      <c r="B461" s="650">
        <f t="shared" si="2"/>
        <v>54</v>
      </c>
      <c r="C461" s="718" t="s">
        <v>17</v>
      </c>
      <c r="D461" s="718" t="s">
        <v>2</v>
      </c>
      <c r="E461" s="743">
        <f t="shared" si="3"/>
        <v>750</v>
      </c>
    </row>
    <row r="462" spans="1:5">
      <c r="B462" s="650">
        <f t="shared" si="2"/>
        <v>55</v>
      </c>
      <c r="C462" s="718" t="s">
        <v>1067</v>
      </c>
      <c r="D462" s="718" t="s">
        <v>2</v>
      </c>
      <c r="E462" s="743">
        <f t="shared" si="3"/>
        <v>36</v>
      </c>
    </row>
    <row r="463" spans="1:5">
      <c r="B463" s="650">
        <f t="shared" si="2"/>
        <v>56</v>
      </c>
      <c r="C463" s="718" t="s">
        <v>1068</v>
      </c>
      <c r="D463" s="718" t="s">
        <v>2</v>
      </c>
      <c r="E463" s="743">
        <f t="shared" si="3"/>
        <v>60</v>
      </c>
    </row>
    <row r="464" spans="1:5">
      <c r="B464" s="650">
        <f t="shared" si="2"/>
        <v>57</v>
      </c>
      <c r="C464" s="718" t="s">
        <v>1080</v>
      </c>
      <c r="D464" s="718" t="s">
        <v>2</v>
      </c>
      <c r="E464" s="743">
        <f t="shared" si="3"/>
        <v>28</v>
      </c>
    </row>
    <row r="465" spans="2:5">
      <c r="B465" s="650">
        <f t="shared" si="2"/>
        <v>58</v>
      </c>
      <c r="C465" s="718" t="s">
        <v>1634</v>
      </c>
      <c r="D465" s="718" t="s">
        <v>2</v>
      </c>
      <c r="E465" s="743">
        <f t="shared" si="3"/>
        <v>48</v>
      </c>
    </row>
    <row r="466" spans="2:5">
      <c r="B466" s="650">
        <f t="shared" si="2"/>
        <v>59</v>
      </c>
      <c r="C466" s="718" t="s">
        <v>1635</v>
      </c>
      <c r="D466" s="718" t="s">
        <v>2</v>
      </c>
      <c r="E466" s="743">
        <f t="shared" si="3"/>
        <v>24</v>
      </c>
    </row>
    <row r="467" spans="2:5">
      <c r="B467" s="650">
        <f t="shared" si="2"/>
        <v>60</v>
      </c>
      <c r="C467" s="718" t="s">
        <v>1636</v>
      </c>
      <c r="D467" s="718" t="s">
        <v>2</v>
      </c>
      <c r="E467" s="743">
        <f t="shared" si="3"/>
        <v>72</v>
      </c>
    </row>
    <row r="468" spans="2:5">
      <c r="B468" s="650">
        <f t="shared" si="2"/>
        <v>61</v>
      </c>
      <c r="C468" s="718" t="s">
        <v>1637</v>
      </c>
      <c r="D468" s="718" t="s">
        <v>2</v>
      </c>
      <c r="E468" s="743">
        <f t="shared" si="3"/>
        <v>172</v>
      </c>
    </row>
    <row r="469" spans="2:5">
      <c r="B469" s="650">
        <f t="shared" si="2"/>
        <v>62</v>
      </c>
      <c r="C469" s="718" t="s">
        <v>1638</v>
      </c>
      <c r="D469" s="718" t="s">
        <v>2</v>
      </c>
      <c r="E469" s="743">
        <f t="shared" si="3"/>
        <v>242</v>
      </c>
    </row>
    <row r="470" spans="2:5">
      <c r="B470" s="650">
        <f t="shared" si="2"/>
        <v>63</v>
      </c>
      <c r="C470" s="718" t="s">
        <v>1079</v>
      </c>
      <c r="D470" s="718" t="s">
        <v>2</v>
      </c>
      <c r="E470" s="743">
        <f t="shared" si="3"/>
        <v>60</v>
      </c>
    </row>
    <row r="471" spans="2:5">
      <c r="B471" s="650">
        <f t="shared" si="2"/>
        <v>64</v>
      </c>
      <c r="C471" s="718" t="s">
        <v>220</v>
      </c>
      <c r="D471" s="718" t="s">
        <v>6</v>
      </c>
      <c r="E471" s="743">
        <f t="shared" si="3"/>
        <v>2</v>
      </c>
    </row>
    <row r="472" spans="2:5">
      <c r="B472" s="650">
        <f t="shared" si="2"/>
        <v>65</v>
      </c>
      <c r="C472" s="718" t="s">
        <v>145</v>
      </c>
      <c r="D472" s="718" t="s">
        <v>6</v>
      </c>
      <c r="E472" s="743">
        <f t="shared" si="3"/>
        <v>10</v>
      </c>
    </row>
    <row r="473" spans="2:5">
      <c r="B473" s="650">
        <f t="shared" si="2"/>
        <v>66</v>
      </c>
      <c r="C473" s="718" t="s">
        <v>221</v>
      </c>
      <c r="D473" s="718" t="s">
        <v>6</v>
      </c>
      <c r="E473" s="743">
        <f t="shared" si="3"/>
        <v>15</v>
      </c>
    </row>
    <row r="474" spans="2:5">
      <c r="B474" s="650">
        <f t="shared" si="2"/>
        <v>67</v>
      </c>
      <c r="C474" s="718" t="s">
        <v>222</v>
      </c>
      <c r="D474" s="718" t="s">
        <v>6</v>
      </c>
      <c r="E474" s="743">
        <f t="shared" si="3"/>
        <v>38</v>
      </c>
    </row>
    <row r="475" spans="2:5">
      <c r="B475" s="650">
        <f t="shared" si="2"/>
        <v>68</v>
      </c>
      <c r="C475" s="718" t="s">
        <v>223</v>
      </c>
      <c r="D475" s="718" t="s">
        <v>6</v>
      </c>
      <c r="E475" s="743">
        <f t="shared" si="3"/>
        <v>11</v>
      </c>
    </row>
    <row r="476" spans="2:5">
      <c r="B476" s="650">
        <f t="shared" si="2"/>
        <v>69</v>
      </c>
      <c r="C476" s="718" t="s">
        <v>1069</v>
      </c>
      <c r="D476" s="718" t="s">
        <v>6</v>
      </c>
      <c r="E476" s="743">
        <f t="shared" ref="E476:E507" si="4">SUMIF($A$15:$A$404,C476,$E$15:$E$404)</f>
        <v>17</v>
      </c>
    </row>
    <row r="477" spans="2:5">
      <c r="B477" s="650">
        <f t="shared" si="2"/>
        <v>70</v>
      </c>
      <c r="C477" s="718" t="s">
        <v>224</v>
      </c>
      <c r="D477" s="718" t="s">
        <v>6</v>
      </c>
      <c r="E477" s="743">
        <f t="shared" si="4"/>
        <v>3</v>
      </c>
    </row>
    <row r="478" spans="2:5">
      <c r="B478" s="650">
        <f t="shared" ref="B478:B541" si="5">B477+1</f>
        <v>71</v>
      </c>
      <c r="C478" s="718" t="s">
        <v>232</v>
      </c>
      <c r="D478" s="718" t="s">
        <v>6</v>
      </c>
      <c r="E478" s="743">
        <f t="shared" si="4"/>
        <v>16</v>
      </c>
    </row>
    <row r="479" spans="2:5">
      <c r="B479" s="650">
        <f t="shared" si="5"/>
        <v>72</v>
      </c>
      <c r="C479" s="718" t="s">
        <v>225</v>
      </c>
      <c r="D479" s="718" t="s">
        <v>6</v>
      </c>
      <c r="E479" s="743">
        <f t="shared" si="4"/>
        <v>7</v>
      </c>
    </row>
    <row r="480" spans="2:5">
      <c r="B480" s="650">
        <f t="shared" si="5"/>
        <v>73</v>
      </c>
      <c r="C480" s="718" t="s">
        <v>226</v>
      </c>
      <c r="D480" s="718" t="s">
        <v>6</v>
      </c>
      <c r="E480" s="743">
        <f t="shared" si="4"/>
        <v>1</v>
      </c>
    </row>
    <row r="481" spans="2:5">
      <c r="B481" s="650">
        <f t="shared" si="5"/>
        <v>74</v>
      </c>
      <c r="C481" s="718" t="s">
        <v>227</v>
      </c>
      <c r="D481" s="718" t="s">
        <v>6</v>
      </c>
      <c r="E481" s="743">
        <f t="shared" si="4"/>
        <v>3</v>
      </c>
    </row>
    <row r="482" spans="2:5">
      <c r="B482" s="650">
        <f t="shared" si="5"/>
        <v>75</v>
      </c>
      <c r="C482" s="718" t="s">
        <v>228</v>
      </c>
      <c r="D482" s="718" t="s">
        <v>6</v>
      </c>
      <c r="E482" s="743">
        <f t="shared" si="4"/>
        <v>6</v>
      </c>
    </row>
    <row r="483" spans="2:5">
      <c r="B483" s="650">
        <f t="shared" si="5"/>
        <v>76</v>
      </c>
      <c r="C483" s="718" t="s">
        <v>229</v>
      </c>
      <c r="D483" s="718" t="s">
        <v>6</v>
      </c>
      <c r="E483" s="743">
        <f t="shared" si="4"/>
        <v>6</v>
      </c>
    </row>
    <row r="484" spans="2:5">
      <c r="B484" s="650">
        <f t="shared" si="5"/>
        <v>77</v>
      </c>
      <c r="C484" s="718" t="s">
        <v>230</v>
      </c>
      <c r="D484" s="718" t="s">
        <v>6</v>
      </c>
      <c r="E484" s="743">
        <f t="shared" si="4"/>
        <v>6</v>
      </c>
    </row>
    <row r="485" spans="2:5">
      <c r="B485" s="650">
        <f t="shared" si="5"/>
        <v>78</v>
      </c>
      <c r="C485" s="718" t="s">
        <v>231</v>
      </c>
      <c r="D485" s="718" t="s">
        <v>6</v>
      </c>
      <c r="E485" s="743">
        <f t="shared" si="4"/>
        <v>20</v>
      </c>
    </row>
    <row r="486" spans="2:5">
      <c r="B486" s="650">
        <f t="shared" si="5"/>
        <v>79</v>
      </c>
      <c r="C486" s="718" t="s">
        <v>232</v>
      </c>
      <c r="D486" s="718" t="s">
        <v>6</v>
      </c>
      <c r="E486" s="743">
        <f t="shared" si="4"/>
        <v>16</v>
      </c>
    </row>
    <row r="487" spans="2:5">
      <c r="B487" s="650">
        <f t="shared" si="5"/>
        <v>80</v>
      </c>
      <c r="C487" s="718" t="s">
        <v>233</v>
      </c>
      <c r="D487" s="718" t="s">
        <v>6</v>
      </c>
      <c r="E487" s="743">
        <f t="shared" si="4"/>
        <v>1</v>
      </c>
    </row>
    <row r="488" spans="2:5">
      <c r="B488" s="650">
        <f t="shared" si="5"/>
        <v>81</v>
      </c>
      <c r="C488" s="718" t="s">
        <v>234</v>
      </c>
      <c r="D488" s="718" t="s">
        <v>6</v>
      </c>
      <c r="E488" s="743">
        <f t="shared" si="4"/>
        <v>1</v>
      </c>
    </row>
    <row r="489" spans="2:5">
      <c r="B489" s="650">
        <f t="shared" si="5"/>
        <v>82</v>
      </c>
      <c r="C489" s="718" t="s">
        <v>235</v>
      </c>
      <c r="D489" s="718" t="s">
        <v>6</v>
      </c>
      <c r="E489" s="743">
        <f t="shared" si="4"/>
        <v>7</v>
      </c>
    </row>
    <row r="490" spans="2:5">
      <c r="B490" s="650">
        <f t="shared" si="5"/>
        <v>83</v>
      </c>
      <c r="C490" s="718" t="s">
        <v>236</v>
      </c>
      <c r="D490" s="718" t="s">
        <v>6</v>
      </c>
      <c r="E490" s="743">
        <f t="shared" si="4"/>
        <v>4</v>
      </c>
    </row>
    <row r="491" spans="2:5">
      <c r="B491" s="650">
        <f t="shared" si="5"/>
        <v>84</v>
      </c>
      <c r="C491" s="718" t="s">
        <v>237</v>
      </c>
      <c r="D491" s="718" t="s">
        <v>6</v>
      </c>
      <c r="E491" s="743">
        <f t="shared" si="4"/>
        <v>12</v>
      </c>
    </row>
    <row r="492" spans="2:5">
      <c r="B492" s="650">
        <f t="shared" si="5"/>
        <v>85</v>
      </c>
      <c r="C492" s="718" t="s">
        <v>238</v>
      </c>
      <c r="D492" s="718" t="s">
        <v>6</v>
      </c>
      <c r="E492" s="743">
        <f t="shared" si="4"/>
        <v>2</v>
      </c>
    </row>
    <row r="493" spans="2:5">
      <c r="B493" s="650">
        <f t="shared" si="5"/>
        <v>86</v>
      </c>
      <c r="C493" s="718" t="s">
        <v>239</v>
      </c>
      <c r="D493" s="718" t="s">
        <v>6</v>
      </c>
      <c r="E493" s="743">
        <f t="shared" si="4"/>
        <v>6</v>
      </c>
    </row>
    <row r="494" spans="2:5">
      <c r="B494" s="650">
        <f t="shared" si="5"/>
        <v>87</v>
      </c>
      <c r="C494" s="718" t="s">
        <v>240</v>
      </c>
      <c r="D494" s="718" t="s">
        <v>6</v>
      </c>
      <c r="E494" s="743">
        <f t="shared" si="4"/>
        <v>6</v>
      </c>
    </row>
    <row r="495" spans="2:5">
      <c r="B495" s="650">
        <f t="shared" si="5"/>
        <v>88</v>
      </c>
      <c r="C495" s="718" t="s">
        <v>241</v>
      </c>
      <c r="D495" s="718" t="s">
        <v>6</v>
      </c>
      <c r="E495" s="743">
        <f t="shared" si="4"/>
        <v>6</v>
      </c>
    </row>
    <row r="496" spans="2:5">
      <c r="B496" s="650">
        <f t="shared" si="5"/>
        <v>89</v>
      </c>
      <c r="C496" s="718" t="s">
        <v>218</v>
      </c>
      <c r="D496" s="718" t="s">
        <v>6</v>
      </c>
      <c r="E496" s="743">
        <f t="shared" si="4"/>
        <v>1</v>
      </c>
    </row>
    <row r="497" spans="2:5">
      <c r="B497" s="650">
        <f t="shared" si="5"/>
        <v>90</v>
      </c>
      <c r="C497" s="718" t="s">
        <v>219</v>
      </c>
      <c r="D497" s="718" t="s">
        <v>6</v>
      </c>
      <c r="E497" s="743">
        <f t="shared" si="4"/>
        <v>3</v>
      </c>
    </row>
    <row r="498" spans="2:5">
      <c r="B498" s="650">
        <f t="shared" si="5"/>
        <v>91</v>
      </c>
      <c r="C498" s="718" t="s">
        <v>140</v>
      </c>
      <c r="D498" s="718" t="s">
        <v>2</v>
      </c>
      <c r="E498" s="743">
        <f t="shared" si="4"/>
        <v>14200</v>
      </c>
    </row>
    <row r="499" spans="2:5">
      <c r="B499" s="650">
        <f t="shared" si="5"/>
        <v>92</v>
      </c>
      <c r="C499" s="718" t="s">
        <v>139</v>
      </c>
      <c r="D499" s="718" t="s">
        <v>2</v>
      </c>
      <c r="E499" s="743">
        <f t="shared" si="4"/>
        <v>16975</v>
      </c>
    </row>
    <row r="500" spans="2:5" ht="25.5">
      <c r="B500" s="650">
        <f t="shared" si="5"/>
        <v>93</v>
      </c>
      <c r="C500" s="718" t="s">
        <v>217</v>
      </c>
      <c r="D500" s="718" t="s">
        <v>2</v>
      </c>
      <c r="E500" s="743">
        <f t="shared" si="4"/>
        <v>500</v>
      </c>
    </row>
    <row r="501" spans="2:5">
      <c r="B501" s="650">
        <f t="shared" si="5"/>
        <v>94</v>
      </c>
      <c r="C501" s="718" t="s">
        <v>1095</v>
      </c>
      <c r="D501" s="718" t="s">
        <v>2</v>
      </c>
      <c r="E501" s="743">
        <f t="shared" si="4"/>
        <v>260</v>
      </c>
    </row>
    <row r="502" spans="2:5">
      <c r="B502" s="650">
        <f t="shared" si="5"/>
        <v>95</v>
      </c>
      <c r="C502" s="718" t="s">
        <v>1093</v>
      </c>
      <c r="D502" s="718" t="s">
        <v>2</v>
      </c>
      <c r="E502" s="743">
        <f t="shared" si="4"/>
        <v>130</v>
      </c>
    </row>
    <row r="503" spans="2:5">
      <c r="B503" s="650">
        <f t="shared" si="5"/>
        <v>96</v>
      </c>
      <c r="C503" s="718" t="s">
        <v>1094</v>
      </c>
      <c r="D503" s="718" t="s">
        <v>2</v>
      </c>
      <c r="E503" s="743">
        <f t="shared" si="4"/>
        <v>110</v>
      </c>
    </row>
    <row r="504" spans="2:5">
      <c r="B504" s="650">
        <f t="shared" si="5"/>
        <v>97</v>
      </c>
      <c r="C504" s="718" t="s">
        <v>1096</v>
      </c>
      <c r="D504" s="718" t="s">
        <v>2</v>
      </c>
      <c r="E504" s="743">
        <f t="shared" si="4"/>
        <v>60</v>
      </c>
    </row>
    <row r="505" spans="2:5">
      <c r="B505" s="650">
        <f t="shared" si="5"/>
        <v>98</v>
      </c>
      <c r="C505" s="718" t="s">
        <v>1097</v>
      </c>
      <c r="D505" s="718" t="s">
        <v>2</v>
      </c>
      <c r="E505" s="743">
        <f t="shared" si="4"/>
        <v>260</v>
      </c>
    </row>
    <row r="506" spans="2:5">
      <c r="B506" s="650">
        <f t="shared" si="5"/>
        <v>99</v>
      </c>
      <c r="C506" s="718" t="s">
        <v>213</v>
      </c>
      <c r="D506" s="718" t="s">
        <v>617</v>
      </c>
      <c r="E506" s="743">
        <f t="shared" si="4"/>
        <v>6</v>
      </c>
    </row>
    <row r="507" spans="2:5">
      <c r="B507" s="650">
        <f t="shared" si="5"/>
        <v>100</v>
      </c>
      <c r="C507" s="718" t="s">
        <v>214</v>
      </c>
      <c r="D507" s="718" t="s">
        <v>617</v>
      </c>
      <c r="E507" s="743">
        <f t="shared" si="4"/>
        <v>7</v>
      </c>
    </row>
    <row r="508" spans="2:5">
      <c r="B508" s="650">
        <f t="shared" si="5"/>
        <v>101</v>
      </c>
      <c r="C508" s="718" t="s">
        <v>215</v>
      </c>
      <c r="D508" s="718" t="s">
        <v>617</v>
      </c>
      <c r="E508" s="743">
        <f t="shared" ref="E508:E539" si="6">SUMIF($A$15:$A$404,C508,$E$15:$E$404)</f>
        <v>18</v>
      </c>
    </row>
    <row r="509" spans="2:5">
      <c r="B509" s="650">
        <f t="shared" si="5"/>
        <v>102</v>
      </c>
      <c r="C509" s="718" t="s">
        <v>216</v>
      </c>
      <c r="D509" s="718" t="s">
        <v>617</v>
      </c>
      <c r="E509" s="743">
        <f t="shared" si="6"/>
        <v>6</v>
      </c>
    </row>
    <row r="510" spans="2:5">
      <c r="B510" s="650">
        <f t="shared" si="5"/>
        <v>103</v>
      </c>
      <c r="C510" s="718" t="s">
        <v>138</v>
      </c>
      <c r="D510" s="718" t="s">
        <v>2</v>
      </c>
      <c r="E510" s="743">
        <f t="shared" si="6"/>
        <v>280</v>
      </c>
    </row>
    <row r="511" spans="2:5">
      <c r="B511" s="650">
        <f t="shared" si="5"/>
        <v>104</v>
      </c>
      <c r="C511" s="718" t="s">
        <v>203</v>
      </c>
      <c r="D511" s="718" t="s">
        <v>2</v>
      </c>
      <c r="E511" s="743">
        <f t="shared" si="6"/>
        <v>92</v>
      </c>
    </row>
    <row r="512" spans="2:5">
      <c r="B512" s="650">
        <f t="shared" si="5"/>
        <v>105</v>
      </c>
      <c r="C512" s="718" t="s">
        <v>16</v>
      </c>
      <c r="D512" s="718" t="s">
        <v>2</v>
      </c>
      <c r="E512" s="743">
        <f t="shared" si="6"/>
        <v>160</v>
      </c>
    </row>
    <row r="513" spans="2:5">
      <c r="B513" s="650">
        <f t="shared" si="5"/>
        <v>106</v>
      </c>
      <c r="C513" s="718" t="s">
        <v>93</v>
      </c>
      <c r="D513" s="718" t="s">
        <v>2</v>
      </c>
      <c r="E513" s="743">
        <f t="shared" si="6"/>
        <v>1000</v>
      </c>
    </row>
    <row r="514" spans="2:5">
      <c r="B514" s="650">
        <f t="shared" si="5"/>
        <v>107</v>
      </c>
      <c r="C514" s="718" t="s">
        <v>23</v>
      </c>
      <c r="D514" s="718" t="s">
        <v>2</v>
      </c>
      <c r="E514" s="743">
        <f t="shared" si="6"/>
        <v>210</v>
      </c>
    </row>
    <row r="515" spans="2:5">
      <c r="B515" s="650">
        <f t="shared" si="5"/>
        <v>108</v>
      </c>
      <c r="C515" s="718" t="s">
        <v>1640</v>
      </c>
      <c r="D515" s="718" t="s">
        <v>2</v>
      </c>
      <c r="E515" s="743">
        <f t="shared" si="6"/>
        <v>179</v>
      </c>
    </row>
    <row r="516" spans="2:5">
      <c r="B516" s="650">
        <f t="shared" si="5"/>
        <v>109</v>
      </c>
      <c r="C516" s="718" t="s">
        <v>137</v>
      </c>
      <c r="D516" s="718" t="s">
        <v>2</v>
      </c>
      <c r="E516" s="743">
        <f t="shared" si="6"/>
        <v>70</v>
      </c>
    </row>
    <row r="517" spans="2:5">
      <c r="B517" s="650">
        <f t="shared" si="5"/>
        <v>110</v>
      </c>
      <c r="C517" s="718" t="s">
        <v>204</v>
      </c>
      <c r="D517" s="718" t="s">
        <v>2</v>
      </c>
      <c r="E517" s="743">
        <f t="shared" si="6"/>
        <v>23</v>
      </c>
    </row>
    <row r="518" spans="2:5">
      <c r="B518" s="650">
        <f t="shared" si="5"/>
        <v>111</v>
      </c>
      <c r="C518" s="718" t="s">
        <v>15</v>
      </c>
      <c r="D518" s="718" t="s">
        <v>2</v>
      </c>
      <c r="E518" s="743">
        <f t="shared" si="6"/>
        <v>6600</v>
      </c>
    </row>
    <row r="519" spans="2:5">
      <c r="B519" s="650">
        <f t="shared" si="5"/>
        <v>112</v>
      </c>
      <c r="C519" s="718" t="s">
        <v>14</v>
      </c>
      <c r="D519" s="718" t="s">
        <v>2</v>
      </c>
      <c r="E519" s="743">
        <f t="shared" si="6"/>
        <v>7100</v>
      </c>
    </row>
    <row r="520" spans="2:5">
      <c r="B520" s="650">
        <f t="shared" si="5"/>
        <v>113</v>
      </c>
      <c r="C520" s="718" t="s">
        <v>13</v>
      </c>
      <c r="D520" s="718" t="s">
        <v>2</v>
      </c>
      <c r="E520" s="743">
        <f t="shared" si="6"/>
        <v>2300</v>
      </c>
    </row>
    <row r="521" spans="2:5">
      <c r="B521" s="650">
        <f t="shared" si="5"/>
        <v>114</v>
      </c>
      <c r="C521" s="718" t="s">
        <v>1008</v>
      </c>
      <c r="D521" s="718" t="s">
        <v>615</v>
      </c>
      <c r="E521" s="743">
        <f t="shared" si="6"/>
        <v>12</v>
      </c>
    </row>
    <row r="522" spans="2:5">
      <c r="B522" s="650">
        <f t="shared" si="5"/>
        <v>115</v>
      </c>
      <c r="C522" s="718" t="s">
        <v>1641</v>
      </c>
      <c r="D522" s="718" t="s">
        <v>615</v>
      </c>
      <c r="E522" s="743">
        <f t="shared" si="6"/>
        <v>12</v>
      </c>
    </row>
    <row r="523" spans="2:5">
      <c r="B523" s="650">
        <f t="shared" si="5"/>
        <v>116</v>
      </c>
      <c r="C523" s="718" t="s">
        <v>1009</v>
      </c>
      <c r="D523" s="718" t="s">
        <v>615</v>
      </c>
      <c r="E523" s="743">
        <f t="shared" si="6"/>
        <v>9</v>
      </c>
    </row>
    <row r="524" spans="2:5">
      <c r="B524" s="650">
        <f t="shared" si="5"/>
        <v>117</v>
      </c>
      <c r="C524" s="718" t="s">
        <v>144</v>
      </c>
      <c r="D524" s="718" t="s">
        <v>615</v>
      </c>
      <c r="E524" s="743">
        <f t="shared" si="6"/>
        <v>6</v>
      </c>
    </row>
    <row r="525" spans="2:5">
      <c r="B525" s="650">
        <f t="shared" si="5"/>
        <v>118</v>
      </c>
      <c r="C525" s="718" t="s">
        <v>1007</v>
      </c>
      <c r="D525" s="718" t="s">
        <v>615</v>
      </c>
      <c r="E525" s="743">
        <f t="shared" si="6"/>
        <v>18</v>
      </c>
    </row>
    <row r="526" spans="2:5">
      <c r="B526" s="650">
        <f t="shared" si="5"/>
        <v>119</v>
      </c>
      <c r="C526" s="718" t="s">
        <v>1110</v>
      </c>
      <c r="D526" s="718" t="s">
        <v>615</v>
      </c>
      <c r="E526" s="743">
        <f t="shared" si="6"/>
        <v>1</v>
      </c>
    </row>
    <row r="527" spans="2:5">
      <c r="B527" s="650">
        <f t="shared" si="5"/>
        <v>120</v>
      </c>
      <c r="C527" s="718" t="s">
        <v>1642</v>
      </c>
      <c r="D527" s="718" t="s">
        <v>615</v>
      </c>
      <c r="E527" s="743">
        <f t="shared" si="6"/>
        <v>1</v>
      </c>
    </row>
    <row r="528" spans="2:5">
      <c r="B528" s="650">
        <f t="shared" si="5"/>
        <v>121</v>
      </c>
      <c r="C528" s="718" t="s">
        <v>1459</v>
      </c>
      <c r="D528" s="718" t="s">
        <v>303</v>
      </c>
      <c r="E528" s="743">
        <f t="shared" si="6"/>
        <v>9</v>
      </c>
    </row>
    <row r="529" spans="2:5">
      <c r="B529" s="650">
        <f t="shared" si="5"/>
        <v>122</v>
      </c>
      <c r="C529" s="718" t="s">
        <v>1462</v>
      </c>
      <c r="D529" s="718" t="s">
        <v>303</v>
      </c>
      <c r="E529" s="743">
        <f t="shared" si="6"/>
        <v>5</v>
      </c>
    </row>
    <row r="530" spans="2:5">
      <c r="B530" s="650">
        <f t="shared" si="5"/>
        <v>123</v>
      </c>
      <c r="C530" s="718" t="s">
        <v>1463</v>
      </c>
      <c r="D530" s="718" t="s">
        <v>303</v>
      </c>
      <c r="E530" s="743">
        <f t="shared" si="6"/>
        <v>3</v>
      </c>
    </row>
    <row r="531" spans="2:5">
      <c r="B531" s="650">
        <f t="shared" si="5"/>
        <v>124</v>
      </c>
      <c r="C531" s="718" t="s">
        <v>1464</v>
      </c>
      <c r="D531" s="718" t="s">
        <v>303</v>
      </c>
      <c r="E531" s="743">
        <f t="shared" si="6"/>
        <v>22</v>
      </c>
    </row>
    <row r="532" spans="2:5">
      <c r="B532" s="650">
        <f t="shared" si="5"/>
        <v>125</v>
      </c>
      <c r="C532" s="718" t="s">
        <v>1465</v>
      </c>
      <c r="D532" s="718" t="s">
        <v>303</v>
      </c>
      <c r="E532" s="743">
        <f t="shared" si="6"/>
        <v>7</v>
      </c>
    </row>
    <row r="533" spans="2:5">
      <c r="B533" s="650">
        <f t="shared" si="5"/>
        <v>126</v>
      </c>
      <c r="C533" s="718" t="s">
        <v>1466</v>
      </c>
      <c r="D533" s="718" t="s">
        <v>303</v>
      </c>
      <c r="E533" s="743">
        <f t="shared" si="6"/>
        <v>10</v>
      </c>
    </row>
    <row r="534" spans="2:5">
      <c r="B534" s="650">
        <f t="shared" si="5"/>
        <v>127</v>
      </c>
      <c r="C534" s="718" t="s">
        <v>1643</v>
      </c>
      <c r="D534" s="718" t="s">
        <v>1468</v>
      </c>
      <c r="E534" s="743">
        <f t="shared" si="6"/>
        <v>6</v>
      </c>
    </row>
    <row r="535" spans="2:5">
      <c r="B535" s="650">
        <f t="shared" si="5"/>
        <v>128</v>
      </c>
      <c r="C535" s="718" t="s">
        <v>1644</v>
      </c>
      <c r="D535" s="718" t="s">
        <v>1468</v>
      </c>
      <c r="E535" s="743">
        <f t="shared" si="6"/>
        <v>15</v>
      </c>
    </row>
    <row r="536" spans="2:5">
      <c r="B536" s="650">
        <f t="shared" si="5"/>
        <v>129</v>
      </c>
      <c r="C536" s="718" t="s">
        <v>1471</v>
      </c>
      <c r="D536" s="718" t="s">
        <v>1468</v>
      </c>
      <c r="E536" s="743">
        <f t="shared" si="6"/>
        <v>3</v>
      </c>
    </row>
    <row r="537" spans="2:5">
      <c r="B537" s="650">
        <f t="shared" si="5"/>
        <v>130</v>
      </c>
      <c r="C537" s="718" t="s">
        <v>1472</v>
      </c>
      <c r="D537" s="718" t="s">
        <v>1468</v>
      </c>
      <c r="E537" s="743">
        <f t="shared" si="6"/>
        <v>13</v>
      </c>
    </row>
    <row r="538" spans="2:5">
      <c r="B538" s="650">
        <f t="shared" si="5"/>
        <v>131</v>
      </c>
      <c r="C538" s="718" t="s">
        <v>1473</v>
      </c>
      <c r="D538" s="718" t="s">
        <v>1468</v>
      </c>
      <c r="E538" s="743">
        <f t="shared" si="6"/>
        <v>3</v>
      </c>
    </row>
    <row r="539" spans="2:5">
      <c r="B539" s="650">
        <f t="shared" si="5"/>
        <v>132</v>
      </c>
      <c r="C539" s="718" t="s">
        <v>142</v>
      </c>
      <c r="D539" s="718" t="s">
        <v>2</v>
      </c>
      <c r="E539" s="743">
        <f t="shared" si="6"/>
        <v>50</v>
      </c>
    </row>
    <row r="540" spans="2:5">
      <c r="B540" s="650">
        <f t="shared" si="5"/>
        <v>133</v>
      </c>
      <c r="C540" s="718" t="s">
        <v>612</v>
      </c>
      <c r="D540" s="718" t="s">
        <v>2</v>
      </c>
      <c r="E540" s="743">
        <f t="shared" ref="E540:E571" si="7">SUMIF($A$15:$A$404,C540,$E$15:$E$404)</f>
        <v>80</v>
      </c>
    </row>
    <row r="541" spans="2:5">
      <c r="B541" s="650">
        <f t="shared" si="5"/>
        <v>134</v>
      </c>
      <c r="C541" s="718" t="s">
        <v>613</v>
      </c>
      <c r="D541" s="718" t="s">
        <v>2</v>
      </c>
      <c r="E541" s="743">
        <f t="shared" si="7"/>
        <v>70</v>
      </c>
    </row>
    <row r="542" spans="2:5">
      <c r="B542" s="650">
        <f t="shared" ref="B542:B585" si="8">B541+1</f>
        <v>135</v>
      </c>
      <c r="C542" s="718" t="s">
        <v>1645</v>
      </c>
      <c r="D542" s="718" t="s">
        <v>615</v>
      </c>
      <c r="E542" s="743">
        <f t="shared" si="7"/>
        <v>53</v>
      </c>
    </row>
    <row r="543" spans="2:5">
      <c r="B543" s="650">
        <f t="shared" si="8"/>
        <v>136</v>
      </c>
      <c r="C543" s="718" t="s">
        <v>52</v>
      </c>
      <c r="D543" s="718" t="s">
        <v>615</v>
      </c>
      <c r="E543" s="743">
        <f t="shared" si="7"/>
        <v>198</v>
      </c>
    </row>
    <row r="544" spans="2:5">
      <c r="B544" s="650">
        <f t="shared" si="8"/>
        <v>137</v>
      </c>
      <c r="C544" s="718" t="s">
        <v>124</v>
      </c>
      <c r="D544" s="718" t="s">
        <v>615</v>
      </c>
      <c r="E544" s="743">
        <f t="shared" si="7"/>
        <v>47</v>
      </c>
    </row>
    <row r="545" spans="2:5">
      <c r="B545" s="650">
        <f t="shared" si="8"/>
        <v>138</v>
      </c>
      <c r="C545" s="718" t="s">
        <v>125</v>
      </c>
      <c r="D545" s="718" t="s">
        <v>2</v>
      </c>
      <c r="E545" s="743">
        <f t="shared" si="7"/>
        <v>152</v>
      </c>
    </row>
    <row r="546" spans="2:5">
      <c r="B546" s="650">
        <f t="shared" si="8"/>
        <v>139</v>
      </c>
      <c r="C546" s="718" t="s">
        <v>1098</v>
      </c>
      <c r="D546" s="718" t="s">
        <v>615</v>
      </c>
      <c r="E546" s="743">
        <f t="shared" si="7"/>
        <v>8</v>
      </c>
    </row>
    <row r="547" spans="2:5">
      <c r="B547" s="650">
        <f t="shared" si="8"/>
        <v>140</v>
      </c>
      <c r="C547" s="718" t="s">
        <v>1099</v>
      </c>
      <c r="D547" s="718" t="s">
        <v>615</v>
      </c>
      <c r="E547" s="743">
        <f t="shared" si="7"/>
        <v>11</v>
      </c>
    </row>
    <row r="548" spans="2:5" ht="25.5">
      <c r="B548" s="650">
        <f t="shared" si="8"/>
        <v>141</v>
      </c>
      <c r="C548" s="718" t="s">
        <v>1100</v>
      </c>
      <c r="D548" s="718" t="s">
        <v>615</v>
      </c>
      <c r="E548" s="743">
        <f t="shared" si="7"/>
        <v>60</v>
      </c>
    </row>
    <row r="549" spans="2:5">
      <c r="B549" s="650">
        <f t="shared" si="8"/>
        <v>142</v>
      </c>
      <c r="C549" s="718" t="s">
        <v>1101</v>
      </c>
      <c r="D549" s="718" t="s">
        <v>615</v>
      </c>
      <c r="E549" s="743">
        <f t="shared" si="7"/>
        <v>34</v>
      </c>
    </row>
    <row r="550" spans="2:5" ht="25.5">
      <c r="B550" s="650">
        <f t="shared" si="8"/>
        <v>143</v>
      </c>
      <c r="C550" s="718" t="s">
        <v>1530</v>
      </c>
      <c r="D550" s="718" t="s">
        <v>615</v>
      </c>
      <c r="E550" s="743">
        <f t="shared" si="7"/>
        <v>13</v>
      </c>
    </row>
    <row r="551" spans="2:5" ht="25.5">
      <c r="B551" s="650">
        <f t="shared" si="8"/>
        <v>144</v>
      </c>
      <c r="C551" s="718" t="s">
        <v>1532</v>
      </c>
      <c r="D551" s="718" t="s">
        <v>615</v>
      </c>
      <c r="E551" s="743">
        <f t="shared" si="7"/>
        <v>14</v>
      </c>
    </row>
    <row r="552" spans="2:5" ht="25.5">
      <c r="B552" s="650">
        <f t="shared" si="8"/>
        <v>145</v>
      </c>
      <c r="C552" s="718" t="s">
        <v>619</v>
      </c>
      <c r="D552" s="718" t="s">
        <v>615</v>
      </c>
      <c r="E552" s="743">
        <f t="shared" si="7"/>
        <v>2</v>
      </c>
    </row>
    <row r="553" spans="2:5">
      <c r="B553" s="650">
        <f t="shared" si="8"/>
        <v>146</v>
      </c>
      <c r="C553" s="718" t="s">
        <v>143</v>
      </c>
      <c r="D553" s="718" t="s">
        <v>2</v>
      </c>
      <c r="E553" s="743">
        <f t="shared" si="7"/>
        <v>11</v>
      </c>
    </row>
    <row r="554" spans="2:5" ht="25.5">
      <c r="B554" s="650">
        <f t="shared" si="8"/>
        <v>147</v>
      </c>
      <c r="C554" s="718" t="s">
        <v>211</v>
      </c>
      <c r="D554" s="718" t="s">
        <v>617</v>
      </c>
      <c r="E554" s="743">
        <f t="shared" si="7"/>
        <v>2</v>
      </c>
    </row>
    <row r="555" spans="2:5">
      <c r="B555" s="650">
        <f t="shared" si="8"/>
        <v>148</v>
      </c>
      <c r="C555" s="718" t="s">
        <v>205</v>
      </c>
      <c r="D555" s="718" t="s">
        <v>617</v>
      </c>
      <c r="E555" s="743">
        <f t="shared" si="7"/>
        <v>2</v>
      </c>
    </row>
    <row r="556" spans="2:5">
      <c r="B556" s="650">
        <f t="shared" si="8"/>
        <v>149</v>
      </c>
      <c r="C556" s="718" t="s">
        <v>209</v>
      </c>
      <c r="D556" s="718" t="s">
        <v>617</v>
      </c>
      <c r="E556" s="743">
        <f t="shared" si="7"/>
        <v>13</v>
      </c>
    </row>
    <row r="557" spans="2:5">
      <c r="B557" s="650">
        <f t="shared" si="8"/>
        <v>150</v>
      </c>
      <c r="C557" s="718" t="s">
        <v>208</v>
      </c>
      <c r="D557" s="718" t="s">
        <v>617</v>
      </c>
      <c r="E557" s="743">
        <f t="shared" si="7"/>
        <v>19</v>
      </c>
    </row>
    <row r="558" spans="2:5" ht="25.5">
      <c r="B558" s="650">
        <f t="shared" si="8"/>
        <v>151</v>
      </c>
      <c r="C558" s="718" t="s">
        <v>210</v>
      </c>
      <c r="D558" s="718" t="s">
        <v>617</v>
      </c>
      <c r="E558" s="743">
        <f t="shared" si="7"/>
        <v>1</v>
      </c>
    </row>
    <row r="559" spans="2:5">
      <c r="B559" s="650">
        <f t="shared" si="8"/>
        <v>152</v>
      </c>
      <c r="C559" s="718" t="s">
        <v>206</v>
      </c>
      <c r="D559" s="718" t="s">
        <v>617</v>
      </c>
      <c r="E559" s="743">
        <f t="shared" si="7"/>
        <v>33</v>
      </c>
    </row>
    <row r="560" spans="2:5">
      <c r="B560" s="650">
        <f t="shared" si="8"/>
        <v>153</v>
      </c>
      <c r="C560" s="718" t="s">
        <v>212</v>
      </c>
      <c r="D560" s="718" t="s">
        <v>617</v>
      </c>
      <c r="E560" s="743">
        <f t="shared" si="7"/>
        <v>32</v>
      </c>
    </row>
    <row r="561" spans="2:5">
      <c r="B561" s="650">
        <f t="shared" si="8"/>
        <v>154</v>
      </c>
      <c r="C561" s="718" t="s">
        <v>207</v>
      </c>
      <c r="D561" s="718" t="s">
        <v>617</v>
      </c>
      <c r="E561" s="743">
        <f t="shared" si="7"/>
        <v>1</v>
      </c>
    </row>
    <row r="562" spans="2:5">
      <c r="B562" s="650">
        <f t="shared" si="8"/>
        <v>155</v>
      </c>
      <c r="C562" s="718" t="s">
        <v>128</v>
      </c>
      <c r="D562" s="718" t="s">
        <v>618</v>
      </c>
      <c r="E562" s="743">
        <f t="shared" si="7"/>
        <v>1</v>
      </c>
    </row>
    <row r="563" spans="2:5">
      <c r="B563" s="650">
        <f t="shared" si="8"/>
        <v>156</v>
      </c>
      <c r="C563" s="718" t="s">
        <v>131</v>
      </c>
      <c r="D563" s="718" t="s">
        <v>618</v>
      </c>
      <c r="E563" s="743">
        <f t="shared" si="7"/>
        <v>1</v>
      </c>
    </row>
    <row r="564" spans="2:5">
      <c r="B564" s="650">
        <f t="shared" si="8"/>
        <v>157</v>
      </c>
      <c r="C564" s="718" t="s">
        <v>134</v>
      </c>
      <c r="D564" s="718" t="s">
        <v>618</v>
      </c>
      <c r="E564" s="743">
        <f t="shared" si="7"/>
        <v>1</v>
      </c>
    </row>
    <row r="565" spans="2:5">
      <c r="B565" s="650">
        <f t="shared" si="8"/>
        <v>158</v>
      </c>
      <c r="C565" s="718" t="s">
        <v>135</v>
      </c>
      <c r="D565" s="718" t="s">
        <v>618</v>
      </c>
      <c r="E565" s="743">
        <f t="shared" si="7"/>
        <v>1</v>
      </c>
    </row>
    <row r="566" spans="2:5">
      <c r="B566" s="650">
        <f t="shared" si="8"/>
        <v>159</v>
      </c>
      <c r="C566" s="718" t="s">
        <v>136</v>
      </c>
      <c r="D566" s="718" t="s">
        <v>618</v>
      </c>
      <c r="E566" s="743">
        <f t="shared" si="7"/>
        <v>1</v>
      </c>
    </row>
    <row r="567" spans="2:5">
      <c r="B567" s="650">
        <f t="shared" si="8"/>
        <v>160</v>
      </c>
      <c r="C567" s="718" t="s">
        <v>202</v>
      </c>
      <c r="D567" s="718" t="s">
        <v>618</v>
      </c>
      <c r="E567" s="743">
        <f t="shared" si="7"/>
        <v>1</v>
      </c>
    </row>
    <row r="568" spans="2:5">
      <c r="B568" s="650">
        <f t="shared" si="8"/>
        <v>161</v>
      </c>
      <c r="C568" s="718" t="s">
        <v>1109</v>
      </c>
      <c r="D568" s="718" t="s">
        <v>618</v>
      </c>
      <c r="E568" s="743">
        <f t="shared" si="7"/>
        <v>1</v>
      </c>
    </row>
    <row r="569" spans="2:5">
      <c r="B569" s="650">
        <f t="shared" si="8"/>
        <v>162</v>
      </c>
      <c r="C569" s="718" t="s">
        <v>127</v>
      </c>
      <c r="D569" s="718" t="s">
        <v>615</v>
      </c>
      <c r="E569" s="743">
        <f t="shared" si="7"/>
        <v>86</v>
      </c>
    </row>
    <row r="570" spans="2:5">
      <c r="B570" s="650">
        <f t="shared" si="8"/>
        <v>163</v>
      </c>
      <c r="C570" s="718" t="s">
        <v>126</v>
      </c>
      <c r="D570" s="718" t="s">
        <v>615</v>
      </c>
      <c r="E570" s="743">
        <f t="shared" si="7"/>
        <v>10</v>
      </c>
    </row>
    <row r="571" spans="2:5">
      <c r="B571" s="650">
        <f t="shared" si="8"/>
        <v>164</v>
      </c>
      <c r="C571" s="718" t="s">
        <v>12</v>
      </c>
      <c r="D571" s="718" t="s">
        <v>615</v>
      </c>
      <c r="E571" s="743">
        <f t="shared" si="7"/>
        <v>490</v>
      </c>
    </row>
    <row r="572" spans="2:5">
      <c r="B572" s="650">
        <f t="shared" si="8"/>
        <v>165</v>
      </c>
      <c r="C572" s="718" t="s">
        <v>19</v>
      </c>
      <c r="D572" s="718" t="s">
        <v>615</v>
      </c>
      <c r="E572" s="743">
        <f t="shared" ref="E572:E585" si="9">SUMIF($A$15:$A$404,C572,$E$15:$E$404)</f>
        <v>760</v>
      </c>
    </row>
    <row r="573" spans="2:5">
      <c r="B573" s="650">
        <f t="shared" si="8"/>
        <v>166</v>
      </c>
      <c r="C573" s="718" t="s">
        <v>1111</v>
      </c>
      <c r="D573" s="718" t="s">
        <v>615</v>
      </c>
      <c r="E573" s="743">
        <f t="shared" si="9"/>
        <v>12</v>
      </c>
    </row>
    <row r="574" spans="2:5" ht="25.5">
      <c r="B574" s="650">
        <f t="shared" si="8"/>
        <v>167</v>
      </c>
      <c r="C574" s="718" t="s">
        <v>1604</v>
      </c>
      <c r="D574" s="718" t="s">
        <v>615</v>
      </c>
      <c r="E574" s="743">
        <f t="shared" si="9"/>
        <v>2</v>
      </c>
    </row>
    <row r="575" spans="2:5">
      <c r="B575" s="650">
        <f t="shared" si="8"/>
        <v>168</v>
      </c>
      <c r="C575" s="718" t="s">
        <v>1112</v>
      </c>
      <c r="D575" s="718" t="s">
        <v>615</v>
      </c>
      <c r="E575" s="743">
        <f t="shared" si="9"/>
        <v>16</v>
      </c>
    </row>
    <row r="576" spans="2:5">
      <c r="B576" s="650">
        <f t="shared" si="8"/>
        <v>169</v>
      </c>
      <c r="C576" s="718" t="s">
        <v>1107</v>
      </c>
      <c r="D576" s="718" t="s">
        <v>615</v>
      </c>
      <c r="E576" s="743">
        <f t="shared" si="9"/>
        <v>2</v>
      </c>
    </row>
    <row r="577" spans="2:5">
      <c r="B577" s="650">
        <f t="shared" si="8"/>
        <v>170</v>
      </c>
      <c r="C577" s="718" t="s">
        <v>1108</v>
      </c>
      <c r="D577" s="718" t="s">
        <v>615</v>
      </c>
      <c r="E577" s="743">
        <f t="shared" si="9"/>
        <v>1</v>
      </c>
    </row>
    <row r="578" spans="2:5" ht="25.5">
      <c r="B578" s="650">
        <f t="shared" si="8"/>
        <v>171</v>
      </c>
      <c r="C578" s="718" t="s">
        <v>151</v>
      </c>
      <c r="D578" s="718" t="s">
        <v>6</v>
      </c>
      <c r="E578" s="743">
        <f t="shared" si="9"/>
        <v>13</v>
      </c>
    </row>
    <row r="579" spans="2:5">
      <c r="B579" s="650">
        <f t="shared" si="8"/>
        <v>172</v>
      </c>
      <c r="C579" s="718" t="s">
        <v>1614</v>
      </c>
      <c r="D579" s="718" t="s">
        <v>141</v>
      </c>
      <c r="E579" s="743">
        <f t="shared" si="9"/>
        <v>16</v>
      </c>
    </row>
    <row r="580" spans="2:5">
      <c r="B580" s="650">
        <f t="shared" si="8"/>
        <v>173</v>
      </c>
      <c r="C580" s="718" t="s">
        <v>1615</v>
      </c>
      <c r="D580" s="718" t="s">
        <v>141</v>
      </c>
      <c r="E580" s="743">
        <f t="shared" si="9"/>
        <v>8</v>
      </c>
    </row>
    <row r="581" spans="2:5" ht="38.25">
      <c r="B581" s="650">
        <f t="shared" si="8"/>
        <v>174</v>
      </c>
      <c r="C581" s="718" t="s">
        <v>150</v>
      </c>
      <c r="D581" s="718" t="s">
        <v>1616</v>
      </c>
      <c r="E581" s="743">
        <f t="shared" si="9"/>
        <v>480</v>
      </c>
    </row>
    <row r="582" spans="2:5" ht="25.5">
      <c r="B582" s="650">
        <f t="shared" si="8"/>
        <v>175</v>
      </c>
      <c r="C582" s="718" t="s">
        <v>146</v>
      </c>
      <c r="D582" s="718" t="s">
        <v>3</v>
      </c>
      <c r="E582" s="743">
        <f t="shared" si="9"/>
        <v>12</v>
      </c>
    </row>
    <row r="583" spans="2:5" ht="25.5">
      <c r="B583" s="650">
        <f t="shared" si="8"/>
        <v>176</v>
      </c>
      <c r="C583" s="718" t="s">
        <v>149</v>
      </c>
      <c r="D583" s="718" t="s">
        <v>3</v>
      </c>
      <c r="E583" s="743">
        <f t="shared" si="9"/>
        <v>1</v>
      </c>
    </row>
    <row r="584" spans="2:5" ht="25.5">
      <c r="B584" s="650">
        <f t="shared" si="8"/>
        <v>177</v>
      </c>
      <c r="C584" s="718" t="s">
        <v>148</v>
      </c>
      <c r="D584" s="718" t="s">
        <v>3</v>
      </c>
      <c r="E584" s="743">
        <f t="shared" si="9"/>
        <v>1</v>
      </c>
    </row>
    <row r="585" spans="2:5">
      <c r="B585" s="650">
        <f t="shared" si="8"/>
        <v>178</v>
      </c>
      <c r="C585" s="718" t="s">
        <v>147</v>
      </c>
      <c r="D585" s="718" t="s">
        <v>3</v>
      </c>
      <c r="E585" s="743">
        <f t="shared" si="9"/>
        <v>2</v>
      </c>
    </row>
  </sheetData>
  <mergeCells count="10">
    <mergeCell ref="B1:I1"/>
    <mergeCell ref="B2:I2"/>
    <mergeCell ref="B3:I3"/>
    <mergeCell ref="B6:I6"/>
    <mergeCell ref="R11:R12"/>
    <mergeCell ref="J11:K11"/>
    <mergeCell ref="L11:M11"/>
    <mergeCell ref="N11:N12"/>
    <mergeCell ref="O11:O12"/>
    <mergeCell ref="P11:Q11"/>
  </mergeCells>
  <dataValidations disablePrompts="1" count="1">
    <dataValidation allowBlank="1" showErrorMessage="1" sqref="C77 C96 C98:C99 C101:C104 C106:C117 C119:C124 C126:C129 C139:C141 C148:C149 C184:C204 C214 C235 C221:C222 C224 C229:C233 C243:C244 C247 C249:C253 C87:C90"/>
  </dataValidations>
  <pageMargins left="0.7" right="0.7" top="0.75" bottom="0.75" header="0.3" footer="0.3"/>
  <pageSetup scale="45"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W492"/>
  <sheetViews>
    <sheetView view="pageBreakPreview" topLeftCell="B3" zoomScale="98" zoomScaleNormal="100" zoomScaleSheetLayoutView="98" workbookViewId="0">
      <pane ySplit="1" topLeftCell="A4" activePane="bottomLeft" state="frozen"/>
      <selection activeCell="G15" sqref="G15"/>
      <selection pane="bottomLeft" activeCell="G15" sqref="G15"/>
    </sheetView>
  </sheetViews>
  <sheetFormatPr defaultRowHeight="12.75"/>
  <cols>
    <col min="1" max="1" width="4.42578125" customWidth="1"/>
    <col min="2" max="2" width="38.5703125" customWidth="1"/>
    <col min="3" max="3" width="7.42578125" customWidth="1"/>
    <col min="4" max="4" width="10.7109375" customWidth="1"/>
    <col min="5" max="5" width="10.7109375" style="402" customWidth="1"/>
    <col min="6" max="6" width="11" customWidth="1"/>
    <col min="7" max="7" width="16.140625" customWidth="1"/>
    <col min="8" max="8" width="15.7109375" style="190" customWidth="1"/>
    <col min="9" max="9" width="26" style="191" customWidth="1"/>
    <col min="10" max="10" width="13" style="265" customWidth="1"/>
    <col min="11" max="11" width="22.42578125" customWidth="1"/>
  </cols>
  <sheetData>
    <row r="1" spans="1:11" ht="25.5" customHeight="1">
      <c r="A1" s="867" t="s">
        <v>267</v>
      </c>
      <c r="B1" s="868"/>
      <c r="C1" s="868"/>
      <c r="D1" s="868"/>
      <c r="E1" s="868"/>
      <c r="F1" s="868"/>
      <c r="G1" s="868"/>
      <c r="H1" s="868"/>
      <c r="I1" s="868"/>
      <c r="J1" s="868"/>
    </row>
    <row r="2" spans="1:11" ht="15" customHeight="1">
      <c r="A2" s="869" t="s">
        <v>268</v>
      </c>
      <c r="B2" s="870"/>
      <c r="C2" s="870"/>
      <c r="D2" s="870"/>
      <c r="E2" s="870"/>
      <c r="F2" s="870"/>
      <c r="G2" s="870"/>
      <c r="H2" s="870"/>
      <c r="I2" s="870"/>
      <c r="J2" s="870"/>
    </row>
    <row r="3" spans="1:11" ht="25.5">
      <c r="A3" s="157" t="s">
        <v>11</v>
      </c>
      <c r="B3" s="157" t="s">
        <v>242</v>
      </c>
      <c r="C3" s="157" t="s">
        <v>243</v>
      </c>
      <c r="D3" s="157" t="s">
        <v>975</v>
      </c>
      <c r="E3" s="538" t="s">
        <v>976</v>
      </c>
      <c r="F3" s="157" t="s">
        <v>244</v>
      </c>
      <c r="G3" s="157" t="s">
        <v>245</v>
      </c>
      <c r="H3" s="157" t="s">
        <v>246</v>
      </c>
      <c r="I3" s="157" t="s">
        <v>247</v>
      </c>
      <c r="J3" s="157" t="s">
        <v>248</v>
      </c>
    </row>
    <row r="4" spans="1:11" s="158" customFormat="1">
      <c r="A4" s="160" t="s">
        <v>66</v>
      </c>
      <c r="B4" s="161" t="s">
        <v>1084</v>
      </c>
      <c r="C4" s="162"/>
      <c r="D4" s="162"/>
      <c r="E4" s="539"/>
      <c r="F4" s="162"/>
      <c r="G4" s="162"/>
      <c r="H4" s="163"/>
      <c r="I4" s="164"/>
      <c r="J4" s="546"/>
    </row>
    <row r="5" spans="1:11" ht="22.5" customHeight="1">
      <c r="A5" s="168">
        <v>1</v>
      </c>
      <c r="B5" s="169" t="s">
        <v>269</v>
      </c>
      <c r="C5" s="193" t="s">
        <v>187</v>
      </c>
      <c r="D5" s="208">
        <v>6637</v>
      </c>
      <c r="E5" s="400">
        <f>D5</f>
        <v>6637</v>
      </c>
      <c r="F5" s="170">
        <v>17870</v>
      </c>
      <c r="G5" s="170">
        <f t="shared" ref="G5:G6" si="0">D5*F5</f>
        <v>118603190</v>
      </c>
      <c r="H5" s="171" t="s">
        <v>270</v>
      </c>
      <c r="I5" s="178"/>
      <c r="J5" s="547"/>
    </row>
    <row r="6" spans="1:11" ht="24">
      <c r="A6" s="168">
        <v>2</v>
      </c>
      <c r="B6" s="169" t="s">
        <v>271</v>
      </c>
      <c r="C6" s="193" t="s">
        <v>187</v>
      </c>
      <c r="D6" s="208">
        <v>4262.3999999999996</v>
      </c>
      <c r="E6" s="400">
        <f>SUM(D6:D8)</f>
        <v>14741.999999999998</v>
      </c>
      <c r="F6" s="170">
        <v>22640</v>
      </c>
      <c r="G6" s="170">
        <f t="shared" si="0"/>
        <v>96500735.999999985</v>
      </c>
      <c r="H6" s="861" t="s">
        <v>272</v>
      </c>
      <c r="I6" s="223"/>
      <c r="J6" s="547"/>
    </row>
    <row r="7" spans="1:11" ht="24.75" customHeight="1">
      <c r="A7" s="168">
        <v>3</v>
      </c>
      <c r="B7" s="169" t="s">
        <v>249</v>
      </c>
      <c r="C7" s="193" t="s">
        <v>187</v>
      </c>
      <c r="D7" s="208">
        <v>8434.7999999999993</v>
      </c>
      <c r="E7" s="400"/>
      <c r="F7" s="170">
        <v>22640</v>
      </c>
      <c r="G7" s="170">
        <f>D7*F7</f>
        <v>190963871.99999997</v>
      </c>
      <c r="H7" s="863"/>
      <c r="I7" s="223"/>
      <c r="J7" s="547"/>
    </row>
    <row r="8" spans="1:11" ht="24.75" customHeight="1">
      <c r="A8" s="168">
        <v>4</v>
      </c>
      <c r="B8" s="169" t="s">
        <v>273</v>
      </c>
      <c r="C8" s="193" t="s">
        <v>187</v>
      </c>
      <c r="D8" s="208">
        <v>2044.8</v>
      </c>
      <c r="E8" s="400"/>
      <c r="F8" s="170">
        <v>23510</v>
      </c>
      <c r="G8" s="170">
        <f>D8*F8</f>
        <v>48073248</v>
      </c>
      <c r="H8" s="171" t="s">
        <v>274</v>
      </c>
      <c r="I8" s="223"/>
      <c r="J8" s="547"/>
    </row>
    <row r="9" spans="1:11" s="158" customFormat="1">
      <c r="A9" s="160" t="s">
        <v>66</v>
      </c>
      <c r="B9" s="161" t="s">
        <v>1083</v>
      </c>
      <c r="C9" s="162"/>
      <c r="D9" s="162"/>
      <c r="E9" s="539"/>
      <c r="F9" s="162"/>
      <c r="G9" s="162"/>
      <c r="H9" s="163"/>
      <c r="I9" s="164"/>
      <c r="J9" s="546"/>
    </row>
    <row r="10" spans="1:11" s="408" customFormat="1" ht="24.75" customHeight="1">
      <c r="A10" s="552">
        <v>1</v>
      </c>
      <c r="B10" s="553" t="s">
        <v>1090</v>
      </c>
      <c r="C10" s="562" t="s">
        <v>187</v>
      </c>
      <c r="D10" s="555">
        <v>151.65</v>
      </c>
      <c r="E10" s="556">
        <f>D10</f>
        <v>151.65</v>
      </c>
      <c r="F10" s="557">
        <v>27190</v>
      </c>
      <c r="G10" s="557">
        <f t="shared" ref="G10:G13" si="1">D10*F10</f>
        <v>4123363.5</v>
      </c>
      <c r="H10" s="864" t="s">
        <v>1092</v>
      </c>
      <c r="I10" s="223"/>
      <c r="J10" s="559"/>
    </row>
    <row r="11" spans="1:11" s="408" customFormat="1" ht="24.75" customHeight="1">
      <c r="A11" s="552">
        <v>2</v>
      </c>
      <c r="B11" s="553" t="s">
        <v>1091</v>
      </c>
      <c r="C11" s="562" t="s">
        <v>187</v>
      </c>
      <c r="D11" s="555">
        <v>155.04</v>
      </c>
      <c r="E11" s="556">
        <f>D11</f>
        <v>155.04</v>
      </c>
      <c r="F11" s="557">
        <v>27190</v>
      </c>
      <c r="G11" s="557">
        <f t="shared" si="1"/>
        <v>4215537.5999999996</v>
      </c>
      <c r="H11" s="866"/>
      <c r="I11" s="223"/>
      <c r="J11" s="559"/>
    </row>
    <row r="12" spans="1:11" s="408" customFormat="1" ht="22.5" customHeight="1">
      <c r="A12" s="552">
        <v>3</v>
      </c>
      <c r="B12" s="553" t="s">
        <v>1085</v>
      </c>
      <c r="C12" s="562" t="s">
        <v>187</v>
      </c>
      <c r="D12" s="555">
        <v>3609.2</v>
      </c>
      <c r="E12" s="556">
        <f>D12</f>
        <v>3609.2</v>
      </c>
      <c r="F12" s="557">
        <v>23320</v>
      </c>
      <c r="G12" s="557">
        <f t="shared" si="1"/>
        <v>84166544</v>
      </c>
      <c r="H12" s="563" t="s">
        <v>1087</v>
      </c>
      <c r="I12" s="178"/>
      <c r="J12" s="559"/>
    </row>
    <row r="13" spans="1:11" s="408" customFormat="1" ht="15">
      <c r="A13" s="552">
        <v>4</v>
      </c>
      <c r="B13" s="553" t="s">
        <v>1086</v>
      </c>
      <c r="C13" s="562" t="s">
        <v>187</v>
      </c>
      <c r="D13" s="555">
        <v>612</v>
      </c>
      <c r="E13" s="556"/>
      <c r="F13" s="557">
        <v>23320</v>
      </c>
      <c r="G13" s="557">
        <f t="shared" si="1"/>
        <v>14271840</v>
      </c>
      <c r="H13" s="563" t="s">
        <v>1088</v>
      </c>
      <c r="I13" s="223"/>
      <c r="J13" s="559"/>
    </row>
    <row r="14" spans="1:11" s="158" customFormat="1">
      <c r="A14" s="160" t="s">
        <v>65</v>
      </c>
      <c r="B14" s="161" t="s">
        <v>275</v>
      </c>
      <c r="C14" s="165"/>
      <c r="D14" s="203"/>
      <c r="E14" s="540"/>
      <c r="F14" s="201"/>
      <c r="G14" s="201"/>
      <c r="H14" s="166"/>
      <c r="I14" s="167"/>
      <c r="J14" s="548"/>
    </row>
    <row r="15" spans="1:11" ht="42.75" customHeight="1">
      <c r="A15" s="168">
        <v>1</v>
      </c>
      <c r="B15" s="169" t="s">
        <v>276</v>
      </c>
      <c r="C15" s="168" t="s">
        <v>187</v>
      </c>
      <c r="D15" s="208">
        <v>4070</v>
      </c>
      <c r="E15" s="400">
        <f>SUM(D15:D17)</f>
        <v>4956.1000000000004</v>
      </c>
      <c r="F15" s="170">
        <v>26140</v>
      </c>
      <c r="G15" s="170">
        <f t="shared" ref="G15:G16" si="2">D15*F15</f>
        <v>106389800</v>
      </c>
      <c r="H15" s="861" t="s">
        <v>279</v>
      </c>
      <c r="I15" s="224"/>
      <c r="J15" s="547"/>
      <c r="K15" s="189"/>
    </row>
    <row r="16" spans="1:11" ht="24">
      <c r="A16" s="168">
        <v>2</v>
      </c>
      <c r="B16" s="169" t="s">
        <v>277</v>
      </c>
      <c r="C16" s="168" t="s">
        <v>187</v>
      </c>
      <c r="D16" s="206">
        <v>535.1</v>
      </c>
      <c r="E16" s="541"/>
      <c r="F16" s="170">
        <v>26140</v>
      </c>
      <c r="G16" s="170">
        <f t="shared" si="2"/>
        <v>13987514</v>
      </c>
      <c r="H16" s="862"/>
      <c r="I16" s="224"/>
      <c r="J16" s="547"/>
    </row>
    <row r="17" spans="1:10" ht="24">
      <c r="A17" s="168">
        <v>3</v>
      </c>
      <c r="B17" s="169" t="s">
        <v>277</v>
      </c>
      <c r="C17" s="168" t="s">
        <v>187</v>
      </c>
      <c r="D17" s="206">
        <v>351</v>
      </c>
      <c r="E17" s="541"/>
      <c r="F17" s="170">
        <v>25955</v>
      </c>
      <c r="G17" s="170">
        <f>D17*F17</f>
        <v>9110205</v>
      </c>
      <c r="H17" s="862"/>
      <c r="I17" s="224"/>
      <c r="J17" s="547"/>
    </row>
    <row r="18" spans="1:10" ht="42.75" customHeight="1">
      <c r="A18" s="168">
        <v>4</v>
      </c>
      <c r="B18" s="169" t="s">
        <v>278</v>
      </c>
      <c r="C18" s="168" t="s">
        <v>187</v>
      </c>
      <c r="D18" s="208">
        <v>138.69999999999999</v>
      </c>
      <c r="E18" s="400">
        <f>D18</f>
        <v>138.69999999999999</v>
      </c>
      <c r="F18" s="170">
        <v>29275.0036</v>
      </c>
      <c r="G18" s="170">
        <f>D18*F18</f>
        <v>4060442.9993199995</v>
      </c>
      <c r="H18" s="863"/>
      <c r="I18" s="224"/>
      <c r="J18" s="547"/>
    </row>
    <row r="19" spans="1:10" s="158" customFormat="1">
      <c r="A19" s="160" t="s">
        <v>64</v>
      </c>
      <c r="B19" s="161" t="s">
        <v>280</v>
      </c>
      <c r="C19" s="162"/>
      <c r="D19" s="204"/>
      <c r="E19" s="542"/>
      <c r="F19" s="202"/>
      <c r="G19" s="202"/>
      <c r="H19" s="163"/>
      <c r="I19" s="164"/>
      <c r="J19" s="546"/>
    </row>
    <row r="20" spans="1:10" ht="24">
      <c r="A20" s="168">
        <v>1</v>
      </c>
      <c r="B20" s="169" t="s">
        <v>343</v>
      </c>
      <c r="C20" s="193" t="s">
        <v>1</v>
      </c>
      <c r="D20" s="208">
        <v>1424.64</v>
      </c>
      <c r="E20" s="400">
        <f>D20</f>
        <v>1424.64</v>
      </c>
      <c r="F20" s="170">
        <v>291666.67229999998</v>
      </c>
      <c r="G20" s="170">
        <f t="shared" ref="G20:G29" si="3">D20*F20</f>
        <v>415520008.02547199</v>
      </c>
      <c r="H20" s="861" t="s">
        <v>344</v>
      </c>
      <c r="I20" s="159"/>
      <c r="J20" s="547"/>
    </row>
    <row r="21" spans="1:10" ht="24">
      <c r="A21" s="168">
        <v>2</v>
      </c>
      <c r="B21" s="169" t="s">
        <v>345</v>
      </c>
      <c r="C21" s="193" t="s">
        <v>1</v>
      </c>
      <c r="D21" s="208">
        <v>42.24</v>
      </c>
      <c r="E21" s="400">
        <f>D21+D24</f>
        <v>46.08</v>
      </c>
      <c r="F21" s="170">
        <v>291666.6667</v>
      </c>
      <c r="G21" s="170">
        <f t="shared" si="3"/>
        <v>12320000.001408001</v>
      </c>
      <c r="H21" s="863"/>
      <c r="I21" s="159"/>
      <c r="J21" s="547"/>
    </row>
    <row r="22" spans="1:10" ht="24">
      <c r="A22" s="168">
        <v>3</v>
      </c>
      <c r="B22" s="169" t="s">
        <v>346</v>
      </c>
      <c r="C22" s="193" t="s">
        <v>1</v>
      </c>
      <c r="D22" s="208">
        <v>374.4</v>
      </c>
      <c r="E22" s="400">
        <f>D22+D24+D25</f>
        <v>382.55999999999995</v>
      </c>
      <c r="F22" s="170">
        <v>240740.73989999999</v>
      </c>
      <c r="G22" s="170">
        <f t="shared" si="3"/>
        <v>90133333.018559992</v>
      </c>
      <c r="H22" s="220" t="s">
        <v>347</v>
      </c>
      <c r="I22" s="159"/>
      <c r="J22" s="547"/>
    </row>
    <row r="23" spans="1:10" ht="24">
      <c r="A23" s="168">
        <v>4</v>
      </c>
      <c r="B23" s="169" t="s">
        <v>348</v>
      </c>
      <c r="C23" s="193" t="s">
        <v>1</v>
      </c>
      <c r="D23" s="208">
        <v>105.12</v>
      </c>
      <c r="E23" s="400">
        <f>D23</f>
        <v>105.12</v>
      </c>
      <c r="F23" s="170">
        <v>227777.77780000001</v>
      </c>
      <c r="G23" s="170">
        <f t="shared" si="3"/>
        <v>23944000.002336003</v>
      </c>
      <c r="H23" s="220" t="s">
        <v>349</v>
      </c>
      <c r="I23" s="159"/>
      <c r="J23" s="547"/>
    </row>
    <row r="24" spans="1:10" ht="24">
      <c r="A24" s="168">
        <v>5</v>
      </c>
      <c r="B24" s="169" t="s">
        <v>350</v>
      </c>
      <c r="C24" s="193" t="s">
        <v>1</v>
      </c>
      <c r="D24" s="208">
        <v>3.84</v>
      </c>
      <c r="E24" s="400"/>
      <c r="F24" s="170">
        <v>291666.6667</v>
      </c>
      <c r="G24" s="170">
        <f t="shared" si="3"/>
        <v>1120000.000128</v>
      </c>
      <c r="H24" s="171" t="s">
        <v>351</v>
      </c>
      <c r="I24" s="159"/>
      <c r="J24" s="547"/>
    </row>
    <row r="25" spans="1:10" s="409" customFormat="1" ht="24">
      <c r="A25" s="168">
        <v>6</v>
      </c>
      <c r="B25" s="176" t="s">
        <v>933</v>
      </c>
      <c r="C25" s="535" t="s">
        <v>1</v>
      </c>
      <c r="D25" s="536">
        <v>4.32</v>
      </c>
      <c r="E25" s="400"/>
      <c r="F25" s="177">
        <v>240740.74069999999</v>
      </c>
      <c r="G25" s="177">
        <f t="shared" si="3"/>
        <v>1039999.9998240001</v>
      </c>
      <c r="H25" s="171" t="s">
        <v>934</v>
      </c>
      <c r="I25" s="537"/>
      <c r="J25" s="547"/>
    </row>
    <row r="26" spans="1:10" ht="24">
      <c r="A26" s="168">
        <v>7</v>
      </c>
      <c r="B26" s="169" t="s">
        <v>352</v>
      </c>
      <c r="C26" s="193" t="s">
        <v>88</v>
      </c>
      <c r="D26" s="208">
        <v>250</v>
      </c>
      <c r="E26" s="400"/>
      <c r="F26" s="170">
        <v>254545.45600000001</v>
      </c>
      <c r="G26" s="170">
        <f t="shared" si="3"/>
        <v>63636364</v>
      </c>
      <c r="H26" s="171" t="s">
        <v>353</v>
      </c>
      <c r="I26" s="159"/>
      <c r="J26" s="547"/>
    </row>
    <row r="27" spans="1:10" ht="24">
      <c r="A27" s="168">
        <v>8</v>
      </c>
      <c r="B27" s="169" t="s">
        <v>352</v>
      </c>
      <c r="C27" s="193" t="s">
        <v>88</v>
      </c>
      <c r="D27" s="208">
        <v>50</v>
      </c>
      <c r="E27" s="400"/>
      <c r="F27" s="170">
        <v>254545.45600000001</v>
      </c>
      <c r="G27" s="170">
        <f t="shared" si="3"/>
        <v>12727272.800000001</v>
      </c>
      <c r="H27" s="171" t="s">
        <v>354</v>
      </c>
      <c r="I27" s="159"/>
      <c r="J27" s="547"/>
    </row>
    <row r="28" spans="1:10" ht="24">
      <c r="A28" s="168">
        <v>9</v>
      </c>
      <c r="B28" s="169" t="s">
        <v>352</v>
      </c>
      <c r="C28" s="193" t="s">
        <v>88</v>
      </c>
      <c r="D28" s="208">
        <v>322</v>
      </c>
      <c r="E28" s="400"/>
      <c r="F28" s="170">
        <v>254545.4534</v>
      </c>
      <c r="G28" s="170">
        <f t="shared" si="3"/>
        <v>81963635.994800001</v>
      </c>
      <c r="H28" s="861" t="s">
        <v>376</v>
      </c>
      <c r="I28" s="159"/>
      <c r="J28" s="547"/>
    </row>
    <row r="29" spans="1:10" ht="24">
      <c r="A29" s="168">
        <v>10</v>
      </c>
      <c r="B29" s="169" t="s">
        <v>377</v>
      </c>
      <c r="C29" s="193" t="s">
        <v>88</v>
      </c>
      <c r="D29" s="208">
        <v>28</v>
      </c>
      <c r="E29" s="400"/>
      <c r="F29" s="170">
        <v>300000</v>
      </c>
      <c r="G29" s="170">
        <f t="shared" si="3"/>
        <v>8400000</v>
      </c>
      <c r="H29" s="863"/>
      <c r="I29" s="159"/>
      <c r="J29" s="547"/>
    </row>
    <row r="30" spans="1:10" ht="24">
      <c r="A30" s="168">
        <v>11</v>
      </c>
      <c r="B30" s="169" t="s">
        <v>378</v>
      </c>
      <c r="C30" s="193" t="s">
        <v>88</v>
      </c>
      <c r="D30" s="208">
        <v>150</v>
      </c>
      <c r="E30" s="400"/>
      <c r="F30" s="170">
        <v>25454.546699999999</v>
      </c>
      <c r="G30" s="170">
        <f t="shared" ref="G30" si="4">D30*F30</f>
        <v>3818182.0049999999</v>
      </c>
      <c r="H30" s="171" t="s">
        <v>423</v>
      </c>
      <c r="I30" s="159"/>
      <c r="J30" s="547"/>
    </row>
    <row r="31" spans="1:10" s="158" customFormat="1">
      <c r="A31" s="160" t="s">
        <v>78</v>
      </c>
      <c r="B31" s="161" t="s">
        <v>250</v>
      </c>
      <c r="C31" s="162"/>
      <c r="D31" s="204"/>
      <c r="E31" s="542"/>
      <c r="F31" s="202"/>
      <c r="G31" s="202"/>
      <c r="H31" s="163"/>
      <c r="I31" s="164"/>
      <c r="J31" s="546"/>
    </row>
    <row r="32" spans="1:10" ht="24">
      <c r="A32" s="168">
        <v>1</v>
      </c>
      <c r="B32" s="169" t="s">
        <v>251</v>
      </c>
      <c r="C32" s="193" t="s">
        <v>324</v>
      </c>
      <c r="D32" s="208">
        <v>1</v>
      </c>
      <c r="E32" s="400"/>
      <c r="F32" s="170">
        <v>176400</v>
      </c>
      <c r="G32" s="170">
        <f>D32*F32</f>
        <v>176400</v>
      </c>
      <c r="H32" s="220" t="s">
        <v>325</v>
      </c>
      <c r="I32" s="159"/>
      <c r="J32" s="547"/>
    </row>
    <row r="33" spans="1:10" ht="24">
      <c r="A33" s="168"/>
      <c r="B33" s="169" t="s">
        <v>251</v>
      </c>
      <c r="C33" s="193" t="s">
        <v>324</v>
      </c>
      <c r="D33" s="208">
        <v>60</v>
      </c>
      <c r="E33" s="400"/>
      <c r="F33" s="170">
        <v>176400.0667</v>
      </c>
      <c r="G33" s="170">
        <f t="shared" ref="G33:G38" si="5">D33*F33</f>
        <v>10584004.002</v>
      </c>
      <c r="H33" s="220" t="s">
        <v>330</v>
      </c>
      <c r="I33" s="159"/>
      <c r="J33" s="547"/>
    </row>
    <row r="34" spans="1:10" ht="24">
      <c r="A34" s="168"/>
      <c r="B34" s="169" t="s">
        <v>251</v>
      </c>
      <c r="C34" s="193" t="s">
        <v>324</v>
      </c>
      <c r="D34" s="208">
        <v>20</v>
      </c>
      <c r="E34" s="400"/>
      <c r="F34" s="170">
        <v>176500</v>
      </c>
      <c r="G34" s="170">
        <f t="shared" si="5"/>
        <v>3530000</v>
      </c>
      <c r="H34" s="220" t="s">
        <v>331</v>
      </c>
      <c r="I34" s="159"/>
      <c r="J34" s="547"/>
    </row>
    <row r="35" spans="1:10" ht="24">
      <c r="A35" s="168"/>
      <c r="B35" s="169" t="s">
        <v>251</v>
      </c>
      <c r="C35" s="193" t="s">
        <v>324</v>
      </c>
      <c r="D35" s="208">
        <v>25</v>
      </c>
      <c r="E35" s="400"/>
      <c r="F35" s="170">
        <v>176500</v>
      </c>
      <c r="G35" s="170">
        <f t="shared" si="5"/>
        <v>4412500</v>
      </c>
      <c r="H35" s="220" t="s">
        <v>332</v>
      </c>
      <c r="I35" s="159"/>
      <c r="J35" s="547"/>
    </row>
    <row r="36" spans="1:10" ht="24">
      <c r="A36" s="168"/>
      <c r="B36" s="169" t="s">
        <v>251</v>
      </c>
      <c r="C36" s="193" t="s">
        <v>324</v>
      </c>
      <c r="D36" s="208">
        <v>5</v>
      </c>
      <c r="E36" s="400"/>
      <c r="F36" s="170">
        <v>176500</v>
      </c>
      <c r="G36" s="170">
        <f t="shared" si="5"/>
        <v>882500</v>
      </c>
      <c r="H36" s="220" t="s">
        <v>333</v>
      </c>
      <c r="I36" s="159"/>
      <c r="J36" s="547"/>
    </row>
    <row r="37" spans="1:10" ht="36">
      <c r="A37" s="168">
        <v>2</v>
      </c>
      <c r="B37" s="169" t="s">
        <v>252</v>
      </c>
      <c r="C37" s="193" t="s">
        <v>324</v>
      </c>
      <c r="D37" s="208">
        <v>1</v>
      </c>
      <c r="E37" s="400"/>
      <c r="F37" s="170">
        <v>210000</v>
      </c>
      <c r="G37" s="170">
        <f t="shared" si="5"/>
        <v>210000</v>
      </c>
      <c r="H37" s="220" t="s">
        <v>325</v>
      </c>
      <c r="I37" s="159"/>
      <c r="J37" s="547"/>
    </row>
    <row r="38" spans="1:10" ht="24">
      <c r="A38" s="168">
        <v>3</v>
      </c>
      <c r="B38" s="169" t="s">
        <v>329</v>
      </c>
      <c r="C38" s="193" t="s">
        <v>324</v>
      </c>
      <c r="D38" s="208">
        <v>35</v>
      </c>
      <c r="E38" s="400"/>
      <c r="F38" s="170">
        <v>454091.25709999999</v>
      </c>
      <c r="G38" s="170">
        <f t="shared" si="5"/>
        <v>15893193.998499999</v>
      </c>
      <c r="H38" s="220" t="s">
        <v>330</v>
      </c>
      <c r="I38" s="159"/>
      <c r="J38" s="547"/>
    </row>
    <row r="39" spans="1:10" ht="15">
      <c r="A39" s="168">
        <v>4</v>
      </c>
      <c r="B39" s="169" t="s">
        <v>334</v>
      </c>
      <c r="C39" s="193" t="s">
        <v>327</v>
      </c>
      <c r="D39" s="208">
        <v>20</v>
      </c>
      <c r="E39" s="400"/>
      <c r="F39" s="170">
        <v>786136.5</v>
      </c>
      <c r="G39" s="170">
        <f t="shared" ref="G39:G47" si="6">D39*F39</f>
        <v>15722730</v>
      </c>
      <c r="H39" s="861" t="s">
        <v>336</v>
      </c>
      <c r="I39" s="159"/>
      <c r="J39" s="547"/>
    </row>
    <row r="40" spans="1:10" ht="36">
      <c r="A40" s="168">
        <v>5</v>
      </c>
      <c r="B40" s="169" t="s">
        <v>335</v>
      </c>
      <c r="C40" s="193" t="s">
        <v>327</v>
      </c>
      <c r="D40" s="208">
        <v>9</v>
      </c>
      <c r="E40" s="400"/>
      <c r="F40" s="170">
        <v>2414454.2222000002</v>
      </c>
      <c r="G40" s="170">
        <f t="shared" si="6"/>
        <v>21730087.9998</v>
      </c>
      <c r="H40" s="863"/>
      <c r="I40" s="159"/>
      <c r="J40" s="547"/>
    </row>
    <row r="41" spans="1:10" ht="36">
      <c r="A41" s="168">
        <v>6</v>
      </c>
      <c r="B41" s="169" t="s">
        <v>326</v>
      </c>
      <c r="C41" s="193" t="s">
        <v>327</v>
      </c>
      <c r="D41" s="208">
        <v>1</v>
      </c>
      <c r="E41" s="400"/>
      <c r="F41" s="170">
        <v>2414454</v>
      </c>
      <c r="G41" s="170">
        <f t="shared" si="6"/>
        <v>2414454</v>
      </c>
      <c r="H41" s="171" t="s">
        <v>328</v>
      </c>
      <c r="I41" s="159"/>
      <c r="J41" s="547"/>
    </row>
    <row r="42" spans="1:10" ht="24">
      <c r="A42" s="168">
        <v>7</v>
      </c>
      <c r="B42" s="169" t="s">
        <v>355</v>
      </c>
      <c r="C42" s="193" t="s">
        <v>327</v>
      </c>
      <c r="D42" s="208">
        <v>14</v>
      </c>
      <c r="E42" s="400"/>
      <c r="F42" s="170">
        <v>1298863.5</v>
      </c>
      <c r="G42" s="170">
        <f t="shared" si="6"/>
        <v>18184089</v>
      </c>
      <c r="H42" s="861" t="s">
        <v>357</v>
      </c>
      <c r="I42" s="159"/>
      <c r="J42" s="547"/>
    </row>
    <row r="43" spans="1:10" ht="24">
      <c r="A43" s="168">
        <v>8</v>
      </c>
      <c r="B43" s="169" t="s">
        <v>356</v>
      </c>
      <c r="C43" s="193" t="s">
        <v>327</v>
      </c>
      <c r="D43" s="208">
        <v>21</v>
      </c>
      <c r="E43" s="400"/>
      <c r="F43" s="170">
        <v>1298863.5238000001</v>
      </c>
      <c r="G43" s="170">
        <f t="shared" si="6"/>
        <v>27276133.9998</v>
      </c>
      <c r="H43" s="863"/>
      <c r="I43" s="159"/>
      <c r="J43" s="547"/>
    </row>
    <row r="44" spans="1:10" ht="24">
      <c r="A44" s="168">
        <v>9</v>
      </c>
      <c r="B44" s="169" t="s">
        <v>358</v>
      </c>
      <c r="C44" s="193" t="s">
        <v>327</v>
      </c>
      <c r="D44" s="208">
        <v>15</v>
      </c>
      <c r="E44" s="400"/>
      <c r="F44" s="170">
        <v>3838363.8</v>
      </c>
      <c r="G44" s="170">
        <f t="shared" si="6"/>
        <v>57575457</v>
      </c>
      <c r="H44" s="861" t="s">
        <v>360</v>
      </c>
      <c r="I44" s="159"/>
      <c r="J44" s="547"/>
    </row>
    <row r="45" spans="1:10" ht="24">
      <c r="A45" s="168">
        <v>10</v>
      </c>
      <c r="B45" s="169" t="s">
        <v>359</v>
      </c>
      <c r="C45" s="193" t="s">
        <v>327</v>
      </c>
      <c r="D45" s="208">
        <v>5</v>
      </c>
      <c r="E45" s="400"/>
      <c r="F45" s="170">
        <v>3838363.8</v>
      </c>
      <c r="G45" s="170">
        <f t="shared" si="6"/>
        <v>19191819</v>
      </c>
      <c r="H45" s="863"/>
      <c r="I45" s="159"/>
      <c r="J45" s="547"/>
    </row>
    <row r="46" spans="1:10" ht="24">
      <c r="A46" s="168">
        <v>11</v>
      </c>
      <c r="B46" s="169" t="s">
        <v>400</v>
      </c>
      <c r="C46" s="193" t="s">
        <v>327</v>
      </c>
      <c r="D46" s="208">
        <v>2</v>
      </c>
      <c r="E46" s="400"/>
      <c r="F46" s="170">
        <v>3838364</v>
      </c>
      <c r="G46" s="170">
        <f t="shared" ref="G46" si="7">D46*F46</f>
        <v>7676728</v>
      </c>
      <c r="H46" s="219" t="s">
        <v>401</v>
      </c>
      <c r="I46" s="159"/>
      <c r="J46" s="547"/>
    </row>
    <row r="47" spans="1:10" ht="24">
      <c r="A47" s="168">
        <v>12</v>
      </c>
      <c r="B47" s="169" t="s">
        <v>361</v>
      </c>
      <c r="C47" s="193" t="s">
        <v>362</v>
      </c>
      <c r="D47" s="208">
        <v>21</v>
      </c>
      <c r="E47" s="400"/>
      <c r="F47" s="170">
        <v>1279454.6189999999</v>
      </c>
      <c r="G47" s="170">
        <f t="shared" si="6"/>
        <v>26868546.998999998</v>
      </c>
      <c r="H47" s="225" t="s">
        <v>363</v>
      </c>
      <c r="I47" s="159"/>
      <c r="J47" s="547"/>
    </row>
    <row r="48" spans="1:10" s="158" customFormat="1">
      <c r="A48" s="160" t="s">
        <v>79</v>
      </c>
      <c r="B48" s="161" t="s">
        <v>253</v>
      </c>
      <c r="C48" s="162"/>
      <c r="D48" s="204"/>
      <c r="E48" s="542"/>
      <c r="F48" s="202"/>
      <c r="G48" s="202"/>
      <c r="H48" s="163"/>
      <c r="I48" s="164"/>
      <c r="J48" s="546"/>
    </row>
    <row r="49" spans="1:10" ht="24">
      <c r="A49" s="168">
        <v>1</v>
      </c>
      <c r="B49" s="169" t="s">
        <v>337</v>
      </c>
      <c r="C49" s="193" t="s">
        <v>327</v>
      </c>
      <c r="D49" s="208">
        <v>5</v>
      </c>
      <c r="E49" s="400"/>
      <c r="F49" s="170">
        <v>1363636.4</v>
      </c>
      <c r="G49" s="170">
        <f t="shared" ref="G49:G50" si="8">D49*F49</f>
        <v>6818182</v>
      </c>
      <c r="H49" s="861" t="s">
        <v>338</v>
      </c>
      <c r="I49" s="159"/>
      <c r="J49" s="547"/>
    </row>
    <row r="50" spans="1:10" ht="36">
      <c r="A50" s="168">
        <v>2</v>
      </c>
      <c r="B50" s="169" t="s">
        <v>339</v>
      </c>
      <c r="C50" s="193" t="s">
        <v>327</v>
      </c>
      <c r="D50" s="208">
        <v>3</v>
      </c>
      <c r="E50" s="400"/>
      <c r="F50" s="170">
        <v>972727.33330000006</v>
      </c>
      <c r="G50" s="170">
        <f t="shared" si="8"/>
        <v>2918181.9999000002</v>
      </c>
      <c r="H50" s="863"/>
      <c r="I50" s="159"/>
      <c r="J50" s="547"/>
    </row>
    <row r="51" spans="1:10" ht="24">
      <c r="A51" s="168">
        <v>3</v>
      </c>
      <c r="B51" s="169" t="s">
        <v>337</v>
      </c>
      <c r="C51" s="193" t="s">
        <v>327</v>
      </c>
      <c r="D51" s="208">
        <v>2</v>
      </c>
      <c r="E51" s="400"/>
      <c r="F51" s="170">
        <v>1280100</v>
      </c>
      <c r="G51" s="170">
        <f t="shared" ref="G51:G52" si="9">D51*F51</f>
        <v>2560200</v>
      </c>
      <c r="H51" s="861" t="s">
        <v>340</v>
      </c>
      <c r="I51" s="159"/>
      <c r="J51" s="547"/>
    </row>
    <row r="52" spans="1:10" ht="36">
      <c r="A52" s="168">
        <v>4</v>
      </c>
      <c r="B52" s="169" t="s">
        <v>339</v>
      </c>
      <c r="C52" s="193" t="s">
        <v>327</v>
      </c>
      <c r="D52" s="208">
        <v>2</v>
      </c>
      <c r="E52" s="400"/>
      <c r="F52" s="170">
        <v>909500</v>
      </c>
      <c r="G52" s="170">
        <f t="shared" si="9"/>
        <v>1819000</v>
      </c>
      <c r="H52" s="863"/>
      <c r="I52" s="159"/>
      <c r="J52" s="547"/>
    </row>
    <row r="53" spans="1:10" s="158" customFormat="1">
      <c r="A53" s="160" t="s">
        <v>80</v>
      </c>
      <c r="B53" s="161" t="s">
        <v>364</v>
      </c>
      <c r="C53" s="162"/>
      <c r="D53" s="204"/>
      <c r="E53" s="542"/>
      <c r="F53" s="202"/>
      <c r="G53" s="202"/>
      <c r="H53" s="163"/>
      <c r="I53" s="164"/>
      <c r="J53" s="546"/>
    </row>
    <row r="54" spans="1:10" ht="24">
      <c r="A54" s="168">
        <v>1</v>
      </c>
      <c r="B54" s="169" t="s">
        <v>981</v>
      </c>
      <c r="C54" s="193" t="s">
        <v>982</v>
      </c>
      <c r="D54" s="208">
        <v>343</v>
      </c>
      <c r="E54" s="400"/>
      <c r="F54" s="170">
        <v>32850</v>
      </c>
      <c r="G54" s="170">
        <f t="shared" ref="G54:G71" si="10">D54*F54</f>
        <v>11267550</v>
      </c>
      <c r="H54" s="861" t="s">
        <v>365</v>
      </c>
      <c r="I54" s="159"/>
      <c r="J54" s="547"/>
    </row>
    <row r="55" spans="1:10" ht="24">
      <c r="A55" s="168">
        <f>A54+1</f>
        <v>2</v>
      </c>
      <c r="B55" s="169" t="s">
        <v>983</v>
      </c>
      <c r="C55" s="193" t="s">
        <v>982</v>
      </c>
      <c r="D55" s="208">
        <v>44</v>
      </c>
      <c r="E55" s="400"/>
      <c r="F55" s="170">
        <v>19350</v>
      </c>
      <c r="G55" s="170">
        <f t="shared" si="10"/>
        <v>851400</v>
      </c>
      <c r="H55" s="862"/>
      <c r="I55" s="159"/>
      <c r="J55" s="547"/>
    </row>
    <row r="56" spans="1:10" ht="15">
      <c r="A56" s="168">
        <f t="shared" ref="A56:A67" si="11">A55+1</f>
        <v>3</v>
      </c>
      <c r="B56" s="169" t="s">
        <v>984</v>
      </c>
      <c r="C56" s="193" t="s">
        <v>303</v>
      </c>
      <c r="D56" s="208">
        <v>198</v>
      </c>
      <c r="E56" s="400"/>
      <c r="F56" s="170">
        <v>6750</v>
      </c>
      <c r="G56" s="170">
        <f t="shared" si="10"/>
        <v>1336500</v>
      </c>
      <c r="H56" s="862"/>
      <c r="I56" s="159"/>
      <c r="J56" s="547"/>
    </row>
    <row r="57" spans="1:10" ht="15">
      <c r="A57" s="168">
        <f t="shared" si="11"/>
        <v>4</v>
      </c>
      <c r="B57" s="169" t="s">
        <v>985</v>
      </c>
      <c r="C57" s="193" t="s">
        <v>615</v>
      </c>
      <c r="D57" s="208">
        <v>652</v>
      </c>
      <c r="E57" s="400"/>
      <c r="F57" s="170">
        <v>1800</v>
      </c>
      <c r="G57" s="170">
        <f t="shared" si="10"/>
        <v>1173600</v>
      </c>
      <c r="H57" s="862"/>
      <c r="I57" s="159"/>
      <c r="J57" s="547"/>
    </row>
    <row r="58" spans="1:10" ht="15">
      <c r="A58" s="168">
        <f t="shared" si="11"/>
        <v>5</v>
      </c>
      <c r="B58" s="169" t="s">
        <v>986</v>
      </c>
      <c r="C58" s="193" t="s">
        <v>615</v>
      </c>
      <c r="D58" s="208">
        <v>1800</v>
      </c>
      <c r="E58" s="400"/>
      <c r="F58" s="170">
        <v>540</v>
      </c>
      <c r="G58" s="170">
        <f t="shared" si="10"/>
        <v>972000</v>
      </c>
      <c r="H58" s="862"/>
      <c r="I58" s="159"/>
      <c r="J58" s="547"/>
    </row>
    <row r="59" spans="1:10" ht="15">
      <c r="A59" s="168">
        <f t="shared" si="11"/>
        <v>6</v>
      </c>
      <c r="B59" s="169" t="s">
        <v>987</v>
      </c>
      <c r="C59" s="193" t="s">
        <v>615</v>
      </c>
      <c r="D59" s="208">
        <v>1800</v>
      </c>
      <c r="E59" s="400"/>
      <c r="F59" s="170">
        <v>450</v>
      </c>
      <c r="G59" s="170">
        <f t="shared" si="10"/>
        <v>810000</v>
      </c>
      <c r="H59" s="862"/>
      <c r="I59" s="159"/>
      <c r="J59" s="547"/>
    </row>
    <row r="60" spans="1:10" ht="15">
      <c r="A60" s="168">
        <f t="shared" si="11"/>
        <v>7</v>
      </c>
      <c r="B60" s="169" t="s">
        <v>988</v>
      </c>
      <c r="C60" s="193" t="s">
        <v>187</v>
      </c>
      <c r="D60" s="208">
        <v>9</v>
      </c>
      <c r="E60" s="400"/>
      <c r="F60" s="170">
        <v>54000</v>
      </c>
      <c r="G60" s="170">
        <f t="shared" si="10"/>
        <v>486000</v>
      </c>
      <c r="H60" s="862"/>
      <c r="I60" s="159"/>
      <c r="J60" s="547"/>
    </row>
    <row r="61" spans="1:10" ht="24">
      <c r="A61" s="168">
        <f t="shared" si="11"/>
        <v>8</v>
      </c>
      <c r="B61" s="169" t="s">
        <v>989</v>
      </c>
      <c r="C61" s="193" t="s">
        <v>990</v>
      </c>
      <c r="D61" s="208">
        <v>176</v>
      </c>
      <c r="E61" s="400"/>
      <c r="F61" s="170">
        <v>44100</v>
      </c>
      <c r="G61" s="170">
        <f t="shared" si="10"/>
        <v>7761600</v>
      </c>
      <c r="H61" s="862"/>
      <c r="I61" s="159"/>
      <c r="J61" s="547" t="s">
        <v>980</v>
      </c>
    </row>
    <row r="62" spans="1:10" ht="24">
      <c r="A62" s="168">
        <f t="shared" si="11"/>
        <v>9</v>
      </c>
      <c r="B62" s="169" t="s">
        <v>991</v>
      </c>
      <c r="C62" s="193" t="s">
        <v>982</v>
      </c>
      <c r="D62" s="208">
        <v>325</v>
      </c>
      <c r="E62" s="400"/>
      <c r="F62" s="170">
        <v>38340</v>
      </c>
      <c r="G62" s="170">
        <f t="shared" si="10"/>
        <v>12460500</v>
      </c>
      <c r="H62" s="862"/>
      <c r="I62" s="159"/>
      <c r="J62" s="547"/>
    </row>
    <row r="63" spans="1:10" ht="24">
      <c r="A63" s="168">
        <f t="shared" si="11"/>
        <v>10</v>
      </c>
      <c r="B63" s="169" t="s">
        <v>992</v>
      </c>
      <c r="C63" s="193" t="s">
        <v>982</v>
      </c>
      <c r="D63" s="208">
        <v>1725</v>
      </c>
      <c r="E63" s="400"/>
      <c r="F63" s="170">
        <v>12330</v>
      </c>
      <c r="G63" s="170">
        <f t="shared" si="10"/>
        <v>21269250</v>
      </c>
      <c r="H63" s="862"/>
      <c r="I63" s="159"/>
      <c r="J63" s="547"/>
    </row>
    <row r="64" spans="1:10" ht="24">
      <c r="A64" s="168">
        <f t="shared" si="11"/>
        <v>11</v>
      </c>
      <c r="B64" s="169" t="s">
        <v>993</v>
      </c>
      <c r="C64" s="193" t="s">
        <v>982</v>
      </c>
      <c r="D64" s="208">
        <v>1725</v>
      </c>
      <c r="E64" s="400"/>
      <c r="F64" s="170">
        <v>6300</v>
      </c>
      <c r="G64" s="170">
        <f t="shared" si="10"/>
        <v>10867500</v>
      </c>
      <c r="H64" s="862"/>
      <c r="I64" s="159"/>
      <c r="J64" s="547"/>
    </row>
    <row r="65" spans="1:10" ht="24">
      <c r="A65" s="168">
        <f t="shared" si="11"/>
        <v>12</v>
      </c>
      <c r="B65" s="169" t="s">
        <v>994</v>
      </c>
      <c r="C65" s="193" t="s">
        <v>982</v>
      </c>
      <c r="D65" s="208">
        <v>244</v>
      </c>
      <c r="E65" s="400"/>
      <c r="F65" s="170">
        <v>16020</v>
      </c>
      <c r="G65" s="170">
        <f t="shared" si="10"/>
        <v>3908880</v>
      </c>
      <c r="H65" s="862"/>
      <c r="I65" s="159"/>
      <c r="J65" s="547"/>
    </row>
    <row r="66" spans="1:10" ht="15">
      <c r="A66" s="168">
        <f t="shared" si="11"/>
        <v>13</v>
      </c>
      <c r="B66" s="169" t="s">
        <v>995</v>
      </c>
      <c r="C66" s="193" t="s">
        <v>303</v>
      </c>
      <c r="D66" s="208">
        <v>245</v>
      </c>
      <c r="E66" s="400"/>
      <c r="F66" s="170">
        <v>6750</v>
      </c>
      <c r="G66" s="170">
        <f t="shared" si="10"/>
        <v>1653750</v>
      </c>
      <c r="H66" s="862"/>
      <c r="I66" s="159"/>
      <c r="J66" s="547"/>
    </row>
    <row r="67" spans="1:10" ht="15">
      <c r="A67" s="168">
        <f t="shared" si="11"/>
        <v>14</v>
      </c>
      <c r="B67" s="169" t="s">
        <v>996</v>
      </c>
      <c r="C67" s="193" t="s">
        <v>615</v>
      </c>
      <c r="D67" s="208">
        <v>1083</v>
      </c>
      <c r="E67" s="400"/>
      <c r="F67" s="170">
        <v>1800</v>
      </c>
      <c r="G67" s="170">
        <f t="shared" si="10"/>
        <v>1949400</v>
      </c>
      <c r="H67" s="863"/>
      <c r="I67" s="159"/>
      <c r="J67" s="547"/>
    </row>
    <row r="68" spans="1:10" ht="24">
      <c r="A68" s="168">
        <v>15</v>
      </c>
      <c r="B68" s="169" t="s">
        <v>370</v>
      </c>
      <c r="C68" s="193" t="s">
        <v>367</v>
      </c>
      <c r="D68" s="208">
        <v>152</v>
      </c>
      <c r="E68" s="400"/>
      <c r="F68" s="170">
        <v>112500</v>
      </c>
      <c r="G68" s="170">
        <f>D68*F68</f>
        <v>17100000</v>
      </c>
      <c r="H68" s="861" t="s">
        <v>372</v>
      </c>
      <c r="I68" s="159"/>
      <c r="J68" s="547"/>
    </row>
    <row r="69" spans="1:10" ht="24">
      <c r="A69" s="168">
        <v>16</v>
      </c>
      <c r="B69" s="169" t="s">
        <v>371</v>
      </c>
      <c r="C69" s="193" t="s">
        <v>367</v>
      </c>
      <c r="D69" s="208">
        <v>1555</v>
      </c>
      <c r="E69" s="400">
        <f>(D69+D71)*0.61*1.22</f>
        <v>1160.952</v>
      </c>
      <c r="F69" s="170">
        <v>110000</v>
      </c>
      <c r="G69" s="170">
        <f t="shared" ref="G69" si="12">D69*F69</f>
        <v>171050000</v>
      </c>
      <c r="H69" s="863"/>
      <c r="I69" s="159"/>
      <c r="J69" s="547"/>
    </row>
    <row r="70" spans="1:10" ht="24">
      <c r="A70" s="168">
        <v>17</v>
      </c>
      <c r="B70" s="169" t="s">
        <v>366</v>
      </c>
      <c r="C70" s="193" t="s">
        <v>367</v>
      </c>
      <c r="D70" s="208">
        <v>8</v>
      </c>
      <c r="E70" s="400"/>
      <c r="F70" s="170">
        <v>112500</v>
      </c>
      <c r="G70" s="170">
        <f t="shared" si="10"/>
        <v>900000</v>
      </c>
      <c r="H70" s="861" t="s">
        <v>369</v>
      </c>
      <c r="I70" s="159"/>
      <c r="J70" s="547"/>
    </row>
    <row r="71" spans="1:10" ht="24">
      <c r="A71" s="168">
        <v>18</v>
      </c>
      <c r="B71" s="169" t="s">
        <v>368</v>
      </c>
      <c r="C71" s="193" t="s">
        <v>367</v>
      </c>
      <c r="D71" s="208">
        <v>5</v>
      </c>
      <c r="E71" s="400"/>
      <c r="F71" s="170">
        <v>110000</v>
      </c>
      <c r="G71" s="170">
        <f t="shared" si="10"/>
        <v>550000</v>
      </c>
      <c r="H71" s="863"/>
      <c r="I71" s="159"/>
      <c r="J71" s="547"/>
    </row>
    <row r="72" spans="1:10" s="158" customFormat="1">
      <c r="A72" s="160" t="s">
        <v>101</v>
      </c>
      <c r="B72" s="161" t="s">
        <v>291</v>
      </c>
      <c r="C72" s="162"/>
      <c r="D72" s="204"/>
      <c r="E72" s="542"/>
      <c r="F72" s="202"/>
      <c r="G72" s="202"/>
      <c r="H72" s="163"/>
      <c r="I72" s="164"/>
      <c r="J72" s="546"/>
    </row>
    <row r="73" spans="1:10" s="198" customFormat="1">
      <c r="A73" s="194">
        <v>1</v>
      </c>
      <c r="B73" s="195" t="s">
        <v>13</v>
      </c>
      <c r="C73" s="194" t="s">
        <v>2</v>
      </c>
      <c r="D73" s="205"/>
      <c r="E73" s="543">
        <f>SUM(D74:D76)</f>
        <v>1500</v>
      </c>
      <c r="F73" s="209"/>
      <c r="G73" s="209"/>
      <c r="H73" s="196"/>
      <c r="I73" s="197"/>
      <c r="J73" s="549"/>
    </row>
    <row r="74" spans="1:10">
      <c r="A74" s="168"/>
      <c r="B74" s="169" t="s">
        <v>255</v>
      </c>
      <c r="C74" s="168"/>
      <c r="D74" s="206">
        <v>500</v>
      </c>
      <c r="E74" s="541"/>
      <c r="F74" s="170">
        <v>4112</v>
      </c>
      <c r="G74" s="170">
        <f t="shared" ref="G74:G75" si="13">D74*F74</f>
        <v>2056000</v>
      </c>
      <c r="H74" s="861" t="s">
        <v>283</v>
      </c>
      <c r="I74" s="174"/>
      <c r="J74" s="547"/>
    </row>
    <row r="75" spans="1:10">
      <c r="A75" s="168"/>
      <c r="B75" s="169" t="s">
        <v>254</v>
      </c>
      <c r="C75" s="168"/>
      <c r="D75" s="206">
        <v>500</v>
      </c>
      <c r="E75" s="541"/>
      <c r="F75" s="170">
        <v>4112</v>
      </c>
      <c r="G75" s="170">
        <f t="shared" si="13"/>
        <v>2056000</v>
      </c>
      <c r="H75" s="862"/>
      <c r="I75" s="174"/>
      <c r="J75" s="547"/>
    </row>
    <row r="76" spans="1:10" ht="23.25" customHeight="1">
      <c r="A76" s="168"/>
      <c r="B76" s="176" t="s">
        <v>256</v>
      </c>
      <c r="C76" s="168"/>
      <c r="D76" s="206">
        <v>500</v>
      </c>
      <c r="E76" s="541"/>
      <c r="F76" s="170">
        <v>4112</v>
      </c>
      <c r="G76" s="177">
        <f>D76*F76</f>
        <v>2056000</v>
      </c>
      <c r="H76" s="863"/>
      <c r="I76" s="178"/>
      <c r="J76" s="179"/>
    </row>
    <row r="77" spans="1:10" s="198" customFormat="1">
      <c r="A77" s="194">
        <v>2</v>
      </c>
      <c r="B77" s="195" t="s">
        <v>14</v>
      </c>
      <c r="C77" s="194" t="s">
        <v>2</v>
      </c>
      <c r="D77" s="205"/>
      <c r="E77" s="543">
        <f>SUM(D78:D86)</f>
        <v>7100</v>
      </c>
      <c r="F77" s="209"/>
      <c r="G77" s="209"/>
      <c r="H77" s="196"/>
      <c r="I77" s="414"/>
      <c r="J77" s="549"/>
    </row>
    <row r="78" spans="1:10" ht="19.5" customHeight="1">
      <c r="A78" s="168"/>
      <c r="B78" s="176" t="s">
        <v>259</v>
      </c>
      <c r="C78" s="168"/>
      <c r="D78" s="207">
        <v>1400</v>
      </c>
      <c r="E78" s="541"/>
      <c r="F78" s="177">
        <v>6709</v>
      </c>
      <c r="G78" s="177">
        <f>D78*F78</f>
        <v>9392600</v>
      </c>
      <c r="H78" s="861" t="s">
        <v>283</v>
      </c>
      <c r="I78" s="178"/>
      <c r="J78" s="179"/>
    </row>
    <row r="79" spans="1:10" ht="19.5" customHeight="1">
      <c r="A79" s="168"/>
      <c r="B79" s="176" t="s">
        <v>257</v>
      </c>
      <c r="C79" s="168"/>
      <c r="D79" s="207">
        <v>1000</v>
      </c>
      <c r="E79" s="541"/>
      <c r="F79" s="177">
        <v>6709</v>
      </c>
      <c r="G79" s="177">
        <f>D79*F79</f>
        <v>6709000</v>
      </c>
      <c r="H79" s="862"/>
      <c r="I79" s="178"/>
      <c r="J79" s="179"/>
    </row>
    <row r="80" spans="1:10">
      <c r="A80" s="168"/>
      <c r="B80" s="169" t="s">
        <v>258</v>
      </c>
      <c r="C80" s="168"/>
      <c r="D80" s="207">
        <v>1000</v>
      </c>
      <c r="E80" s="541"/>
      <c r="F80" s="177">
        <v>6709</v>
      </c>
      <c r="G80" s="170">
        <f t="shared" ref="G80:G88" si="14">D80*F80</f>
        <v>6709000</v>
      </c>
      <c r="H80" s="863"/>
      <c r="I80" s="174"/>
      <c r="J80" s="547"/>
    </row>
    <row r="81" spans="1:10" ht="19.5" customHeight="1">
      <c r="A81" s="168"/>
      <c r="B81" s="176" t="s">
        <v>259</v>
      </c>
      <c r="C81" s="168"/>
      <c r="D81" s="207">
        <v>1000</v>
      </c>
      <c r="E81" s="541"/>
      <c r="F81" s="177">
        <v>6261.5</v>
      </c>
      <c r="G81" s="177">
        <f>D81*F81</f>
        <v>6261500</v>
      </c>
      <c r="H81" s="861" t="s">
        <v>284</v>
      </c>
      <c r="I81" s="178"/>
      <c r="J81" s="179"/>
    </row>
    <row r="82" spans="1:10" ht="19.5" customHeight="1">
      <c r="A82" s="168"/>
      <c r="B82" s="176" t="s">
        <v>257</v>
      </c>
      <c r="C82" s="168"/>
      <c r="D82" s="207">
        <v>1100</v>
      </c>
      <c r="E82" s="541"/>
      <c r="F82" s="177">
        <v>6261.5</v>
      </c>
      <c r="G82" s="177">
        <f>D82*F82</f>
        <v>6887650</v>
      </c>
      <c r="H82" s="862"/>
      <c r="I82" s="178"/>
      <c r="J82" s="179"/>
    </row>
    <row r="83" spans="1:10">
      <c r="A83" s="168"/>
      <c r="B83" s="169" t="s">
        <v>258</v>
      </c>
      <c r="C83" s="168"/>
      <c r="D83" s="207">
        <v>1000</v>
      </c>
      <c r="E83" s="541"/>
      <c r="F83" s="177">
        <v>6261.5</v>
      </c>
      <c r="G83" s="170">
        <f t="shared" ref="G83" si="15">D83*F83</f>
        <v>6261500</v>
      </c>
      <c r="H83" s="863"/>
      <c r="I83" s="174"/>
      <c r="J83" s="547"/>
    </row>
    <row r="84" spans="1:10" ht="19.5" customHeight="1">
      <c r="A84" s="168"/>
      <c r="B84" s="176" t="s">
        <v>257</v>
      </c>
      <c r="C84" s="168"/>
      <c r="D84" s="207">
        <v>200</v>
      </c>
      <c r="E84" s="541"/>
      <c r="F84" s="177">
        <v>6261.5</v>
      </c>
      <c r="G84" s="177">
        <f>D84*F84</f>
        <v>1252300</v>
      </c>
      <c r="H84" s="861" t="s">
        <v>375</v>
      </c>
      <c r="I84" s="178"/>
      <c r="J84" s="179"/>
    </row>
    <row r="85" spans="1:10" ht="19.5" customHeight="1">
      <c r="A85" s="168"/>
      <c r="B85" s="176" t="s">
        <v>373</v>
      </c>
      <c r="C85" s="168"/>
      <c r="D85" s="207">
        <v>200</v>
      </c>
      <c r="E85" s="541"/>
      <c r="F85" s="177">
        <v>6261.5</v>
      </c>
      <c r="G85" s="177">
        <f>D85*F85</f>
        <v>1252300</v>
      </c>
      <c r="H85" s="862"/>
      <c r="I85" s="178"/>
      <c r="J85" s="179"/>
    </row>
    <row r="86" spans="1:10">
      <c r="A86" s="168"/>
      <c r="B86" s="169" t="s">
        <v>374</v>
      </c>
      <c r="C86" s="168"/>
      <c r="D86" s="207">
        <v>200</v>
      </c>
      <c r="E86" s="541"/>
      <c r="F86" s="177">
        <v>6261.5</v>
      </c>
      <c r="G86" s="170">
        <f t="shared" ref="G86" si="16">D86*F86</f>
        <v>1252300</v>
      </c>
      <c r="H86" s="863"/>
      <c r="I86" s="174"/>
      <c r="J86" s="547"/>
    </row>
    <row r="87" spans="1:10" s="198" customFormat="1">
      <c r="A87" s="194">
        <v>3</v>
      </c>
      <c r="B87" s="195" t="s">
        <v>15</v>
      </c>
      <c r="C87" s="194" t="s">
        <v>2</v>
      </c>
      <c r="D87" s="205"/>
      <c r="E87" s="543">
        <f>SUM(D88:D93)</f>
        <v>6600</v>
      </c>
      <c r="F87" s="209"/>
      <c r="G87" s="209"/>
      <c r="H87" s="196"/>
      <c r="I87" s="197"/>
      <c r="J87" s="549"/>
    </row>
    <row r="88" spans="1:10">
      <c r="A88" s="168"/>
      <c r="B88" s="169" t="s">
        <v>281</v>
      </c>
      <c r="C88" s="168"/>
      <c r="D88" s="208">
        <v>1500</v>
      </c>
      <c r="E88" s="400"/>
      <c r="F88" s="170">
        <v>10159</v>
      </c>
      <c r="G88" s="170">
        <f t="shared" si="14"/>
        <v>15238500</v>
      </c>
      <c r="H88" s="861" t="s">
        <v>283</v>
      </c>
      <c r="I88" s="174"/>
      <c r="J88" s="547"/>
    </row>
    <row r="89" spans="1:10" ht="23.25" customHeight="1">
      <c r="A89" s="168"/>
      <c r="B89" s="176" t="s">
        <v>282</v>
      </c>
      <c r="C89" s="168"/>
      <c r="D89" s="208">
        <v>1500</v>
      </c>
      <c r="E89" s="400"/>
      <c r="F89" s="170">
        <v>10159</v>
      </c>
      <c r="G89" s="177">
        <f>D89*F89</f>
        <v>15238500</v>
      </c>
      <c r="H89" s="862"/>
      <c r="I89" s="178"/>
      <c r="J89" s="179"/>
    </row>
    <row r="90" spans="1:10" ht="19.5" customHeight="1">
      <c r="A90" s="168"/>
      <c r="B90" s="176" t="s">
        <v>260</v>
      </c>
      <c r="C90" s="168"/>
      <c r="D90" s="208">
        <v>1500</v>
      </c>
      <c r="E90" s="400"/>
      <c r="F90" s="170">
        <v>10159</v>
      </c>
      <c r="G90" s="177">
        <f>D90*F90</f>
        <v>15238500</v>
      </c>
      <c r="H90" s="863"/>
      <c r="I90" s="178"/>
      <c r="J90" s="179"/>
    </row>
    <row r="91" spans="1:10">
      <c r="A91" s="168"/>
      <c r="B91" s="169" t="s">
        <v>281</v>
      </c>
      <c r="C91" s="168"/>
      <c r="D91" s="208">
        <v>700</v>
      </c>
      <c r="E91" s="400"/>
      <c r="F91" s="170">
        <v>9481.5</v>
      </c>
      <c r="G91" s="170">
        <f t="shared" ref="G91" si="17">D91*F91</f>
        <v>6637050</v>
      </c>
      <c r="H91" s="861" t="s">
        <v>284</v>
      </c>
      <c r="I91" s="174"/>
      <c r="J91" s="547"/>
    </row>
    <row r="92" spans="1:10" ht="23.25" customHeight="1">
      <c r="A92" s="168"/>
      <c r="B92" s="176" t="s">
        <v>282</v>
      </c>
      <c r="C92" s="168"/>
      <c r="D92" s="208">
        <v>700</v>
      </c>
      <c r="E92" s="400"/>
      <c r="F92" s="170">
        <v>9481.5</v>
      </c>
      <c r="G92" s="177">
        <f>D92*F92</f>
        <v>6637050</v>
      </c>
      <c r="H92" s="862"/>
      <c r="I92" s="178"/>
      <c r="J92" s="179"/>
    </row>
    <row r="93" spans="1:10" ht="19.5" customHeight="1">
      <c r="A93" s="168"/>
      <c r="B93" s="176" t="s">
        <v>260</v>
      </c>
      <c r="C93" s="168"/>
      <c r="D93" s="208">
        <v>700</v>
      </c>
      <c r="E93" s="400"/>
      <c r="F93" s="170">
        <v>9481.5</v>
      </c>
      <c r="G93" s="177">
        <f>D93*F93</f>
        <v>6637050</v>
      </c>
      <c r="H93" s="863"/>
      <c r="I93" s="178"/>
      <c r="J93" s="179"/>
    </row>
    <row r="94" spans="1:10" s="198" customFormat="1">
      <c r="A94" s="194">
        <v>4</v>
      </c>
      <c r="B94" s="195" t="s">
        <v>204</v>
      </c>
      <c r="C94" s="194" t="s">
        <v>2</v>
      </c>
      <c r="D94" s="205"/>
      <c r="E94" s="543">
        <f>D95</f>
        <v>23</v>
      </c>
      <c r="F94" s="209"/>
      <c r="G94" s="209"/>
      <c r="H94" s="196"/>
      <c r="I94" s="197"/>
      <c r="J94" s="549"/>
    </row>
    <row r="95" spans="1:10">
      <c r="A95" s="168"/>
      <c r="B95" s="169" t="s">
        <v>285</v>
      </c>
      <c r="C95" s="168"/>
      <c r="D95" s="208">
        <v>23</v>
      </c>
      <c r="E95" s="400"/>
      <c r="F95" s="170">
        <v>85050</v>
      </c>
      <c r="G95" s="170">
        <f t="shared" ref="G95" si="18">D95*F95</f>
        <v>1956150</v>
      </c>
      <c r="H95" s="861" t="s">
        <v>284</v>
      </c>
      <c r="I95" s="174"/>
      <c r="J95" s="547"/>
    </row>
    <row r="96" spans="1:10" s="198" customFormat="1">
      <c r="A96" s="194">
        <v>5</v>
      </c>
      <c r="B96" s="195" t="s">
        <v>137</v>
      </c>
      <c r="C96" s="194" t="s">
        <v>2</v>
      </c>
      <c r="D96" s="205"/>
      <c r="E96" s="543">
        <f>D97</f>
        <v>70</v>
      </c>
      <c r="F96" s="209"/>
      <c r="G96" s="209"/>
      <c r="H96" s="862"/>
      <c r="I96" s="197"/>
      <c r="J96" s="549"/>
    </row>
    <row r="97" spans="1:10">
      <c r="A97" s="168"/>
      <c r="B97" s="169" t="s">
        <v>286</v>
      </c>
      <c r="C97" s="168"/>
      <c r="D97" s="208">
        <v>70</v>
      </c>
      <c r="E97" s="400"/>
      <c r="F97" s="170">
        <v>280108.5</v>
      </c>
      <c r="G97" s="170">
        <f t="shared" ref="G97" si="19">D97*F97</f>
        <v>19607595</v>
      </c>
      <c r="H97" s="862"/>
      <c r="I97" s="174"/>
      <c r="J97" s="547"/>
    </row>
    <row r="98" spans="1:10" s="198" customFormat="1">
      <c r="A98" s="194">
        <v>6</v>
      </c>
      <c r="B98" s="195" t="s">
        <v>23</v>
      </c>
      <c r="C98" s="194" t="s">
        <v>2</v>
      </c>
      <c r="D98" s="205"/>
      <c r="E98" s="543">
        <f>D99</f>
        <v>210</v>
      </c>
      <c r="F98" s="209"/>
      <c r="G98" s="209"/>
      <c r="H98" s="862"/>
      <c r="I98" s="197"/>
      <c r="J98" s="549"/>
    </row>
    <row r="99" spans="1:10">
      <c r="A99" s="168"/>
      <c r="B99" s="169" t="s">
        <v>261</v>
      </c>
      <c r="C99" s="168"/>
      <c r="D99" s="208">
        <v>210</v>
      </c>
      <c r="E99" s="400"/>
      <c r="F99" s="170">
        <v>27573.7</v>
      </c>
      <c r="G99" s="170">
        <f t="shared" ref="G99" si="20">D99*F99</f>
        <v>5790477</v>
      </c>
      <c r="H99" s="862"/>
      <c r="I99" s="174"/>
      <c r="J99" s="547"/>
    </row>
    <row r="100" spans="1:10" s="198" customFormat="1">
      <c r="A100" s="194">
        <v>7</v>
      </c>
      <c r="B100" s="195" t="s">
        <v>93</v>
      </c>
      <c r="C100" s="194" t="s">
        <v>2</v>
      </c>
      <c r="D100" s="205"/>
      <c r="E100" s="543">
        <f>D101</f>
        <v>750</v>
      </c>
      <c r="F100" s="209"/>
      <c r="G100" s="209"/>
      <c r="H100" s="862"/>
      <c r="I100" s="197"/>
      <c r="J100" s="549"/>
    </row>
    <row r="101" spans="1:10">
      <c r="A101" s="168"/>
      <c r="B101" s="169" t="s">
        <v>287</v>
      </c>
      <c r="C101" s="168"/>
      <c r="D101" s="208">
        <v>750</v>
      </c>
      <c r="E101" s="400"/>
      <c r="F101" s="170">
        <v>41357.4</v>
      </c>
      <c r="G101" s="170">
        <f t="shared" ref="G101" si="21">D101*F101</f>
        <v>31018050</v>
      </c>
      <c r="H101" s="862"/>
      <c r="I101" s="174"/>
      <c r="J101" s="547"/>
    </row>
    <row r="102" spans="1:10" s="198" customFormat="1">
      <c r="A102" s="194">
        <v>8</v>
      </c>
      <c r="B102" s="195" t="s">
        <v>16</v>
      </c>
      <c r="C102" s="194" t="s">
        <v>2</v>
      </c>
      <c r="D102" s="205"/>
      <c r="E102" s="543">
        <f>D103</f>
        <v>160</v>
      </c>
      <c r="F102" s="209"/>
      <c r="G102" s="209"/>
      <c r="H102" s="862"/>
      <c r="I102" s="197"/>
      <c r="J102" s="549"/>
    </row>
    <row r="103" spans="1:10">
      <c r="A103" s="168"/>
      <c r="B103" s="169" t="s">
        <v>288</v>
      </c>
      <c r="C103" s="168"/>
      <c r="D103" s="208">
        <v>160</v>
      </c>
      <c r="E103" s="400"/>
      <c r="F103" s="170">
        <v>61052.6</v>
      </c>
      <c r="G103" s="170">
        <f t="shared" ref="G103" si="22">D103*F103</f>
        <v>9768416</v>
      </c>
      <c r="H103" s="862"/>
      <c r="I103" s="174"/>
      <c r="J103" s="547"/>
    </row>
    <row r="104" spans="1:10" s="198" customFormat="1">
      <c r="A104" s="194">
        <v>9</v>
      </c>
      <c r="B104" s="195" t="s">
        <v>203</v>
      </c>
      <c r="C104" s="194" t="s">
        <v>2</v>
      </c>
      <c r="D104" s="205"/>
      <c r="E104" s="543">
        <f>D105</f>
        <v>92</v>
      </c>
      <c r="F104" s="209"/>
      <c r="G104" s="209"/>
      <c r="H104" s="862"/>
      <c r="I104" s="197"/>
      <c r="J104" s="549"/>
    </row>
    <row r="105" spans="1:10">
      <c r="A105" s="168"/>
      <c r="B105" s="169" t="s">
        <v>289</v>
      </c>
      <c r="C105" s="168"/>
      <c r="D105" s="208">
        <v>92</v>
      </c>
      <c r="E105" s="400"/>
      <c r="F105" s="170">
        <v>160987.40220000001</v>
      </c>
      <c r="G105" s="170">
        <f t="shared" ref="G105" si="23">D105*F105</f>
        <v>14810841.002400002</v>
      </c>
      <c r="H105" s="862"/>
      <c r="I105" s="174"/>
      <c r="J105" s="547"/>
    </row>
    <row r="106" spans="1:10" s="198" customFormat="1">
      <c r="A106" s="194">
        <v>10</v>
      </c>
      <c r="B106" s="195" t="s">
        <v>138</v>
      </c>
      <c r="C106" s="194" t="s">
        <v>2</v>
      </c>
      <c r="D106" s="205"/>
      <c r="E106" s="543">
        <f>D107</f>
        <v>280</v>
      </c>
      <c r="F106" s="209"/>
      <c r="G106" s="209"/>
      <c r="H106" s="862"/>
      <c r="I106" s="197"/>
      <c r="J106" s="549"/>
    </row>
    <row r="107" spans="1:10">
      <c r="A107" s="168"/>
      <c r="B107" s="169" t="s">
        <v>290</v>
      </c>
      <c r="C107" s="168"/>
      <c r="D107" s="208">
        <v>280</v>
      </c>
      <c r="E107" s="400"/>
      <c r="F107" s="170">
        <v>560788.9</v>
      </c>
      <c r="G107" s="170">
        <f t="shared" ref="G107" si="24">D107*F107</f>
        <v>157020892</v>
      </c>
      <c r="H107" s="863"/>
      <c r="I107" s="174"/>
      <c r="J107" s="547"/>
    </row>
    <row r="108" spans="1:10" s="158" customFormat="1">
      <c r="A108" s="160" t="s">
        <v>102</v>
      </c>
      <c r="B108" s="161" t="s">
        <v>292</v>
      </c>
      <c r="C108" s="162"/>
      <c r="D108" s="204"/>
      <c r="E108" s="542"/>
      <c r="F108" s="202"/>
      <c r="G108" s="202"/>
      <c r="H108" s="163"/>
      <c r="I108" s="164"/>
      <c r="J108" s="546"/>
    </row>
    <row r="109" spans="1:10" s="198" customFormat="1">
      <c r="A109" s="194">
        <v>1</v>
      </c>
      <c r="B109" s="195" t="s">
        <v>139</v>
      </c>
      <c r="C109" s="194" t="s">
        <v>2</v>
      </c>
      <c r="D109" s="205"/>
      <c r="E109" s="543">
        <f>SUM(D110:D112)</f>
        <v>16775</v>
      </c>
      <c r="F109" s="209"/>
      <c r="G109" s="209"/>
      <c r="H109" s="196"/>
      <c r="I109" s="197"/>
      <c r="J109" s="549"/>
    </row>
    <row r="110" spans="1:10">
      <c r="A110" s="168"/>
      <c r="B110" s="169" t="s">
        <v>293</v>
      </c>
      <c r="C110" s="168"/>
      <c r="D110" s="206">
        <v>9150</v>
      </c>
      <c r="E110" s="541"/>
      <c r="F110" s="170">
        <v>12037</v>
      </c>
      <c r="G110" s="170">
        <f t="shared" ref="G110:G111" si="25">D110*F110</f>
        <v>110138550</v>
      </c>
      <c r="H110" s="171" t="s">
        <v>294</v>
      </c>
      <c r="I110" s="174"/>
      <c r="J110" s="547"/>
    </row>
    <row r="111" spans="1:10">
      <c r="A111" s="168"/>
      <c r="B111" s="169" t="s">
        <v>293</v>
      </c>
      <c r="C111" s="168"/>
      <c r="D111" s="206">
        <v>1525</v>
      </c>
      <c r="E111" s="541"/>
      <c r="F111" s="170">
        <v>12037</v>
      </c>
      <c r="G111" s="170">
        <f t="shared" si="25"/>
        <v>18356425</v>
      </c>
      <c r="H111" s="171" t="s">
        <v>295</v>
      </c>
      <c r="I111" s="174"/>
      <c r="J111" s="547"/>
    </row>
    <row r="112" spans="1:10">
      <c r="A112" s="168"/>
      <c r="B112" s="169" t="s">
        <v>293</v>
      </c>
      <c r="C112" s="168"/>
      <c r="D112" s="206">
        <v>6100</v>
      </c>
      <c r="E112" s="541"/>
      <c r="F112" s="170">
        <v>12037</v>
      </c>
      <c r="G112" s="170">
        <f t="shared" ref="G112" si="26">D112*F112</f>
        <v>73425700</v>
      </c>
      <c r="H112" s="171" t="s">
        <v>379</v>
      </c>
      <c r="I112" s="174"/>
      <c r="J112" s="547"/>
    </row>
    <row r="113" spans="1:10" s="158" customFormat="1">
      <c r="A113" s="160" t="s">
        <v>103</v>
      </c>
      <c r="B113" s="161" t="s">
        <v>299</v>
      </c>
      <c r="C113" s="162"/>
      <c r="D113" s="204"/>
      <c r="E113" s="542"/>
      <c r="F113" s="202"/>
      <c r="G113" s="202"/>
      <c r="H113" s="163"/>
      <c r="I113" s="164"/>
      <c r="J113" s="546"/>
    </row>
    <row r="114" spans="1:10">
      <c r="A114" s="168">
        <v>1</v>
      </c>
      <c r="B114" s="169" t="s">
        <v>1089</v>
      </c>
      <c r="C114" s="168" t="s">
        <v>3</v>
      </c>
      <c r="D114" s="208">
        <v>198</v>
      </c>
      <c r="E114" s="400">
        <f>D114</f>
        <v>198</v>
      </c>
      <c r="F114" s="170">
        <v>532400</v>
      </c>
      <c r="G114" s="170">
        <f t="shared" ref="G114:G152" si="27">F114*D114</f>
        <v>105415200</v>
      </c>
      <c r="H114" s="861" t="s">
        <v>296</v>
      </c>
      <c r="I114" s="175"/>
      <c r="J114" s="547"/>
    </row>
    <row r="115" spans="1:10" ht="24">
      <c r="A115" s="168">
        <f>A114+1</f>
        <v>2</v>
      </c>
      <c r="B115" s="169" t="s">
        <v>297</v>
      </c>
      <c r="C115" s="168" t="s">
        <v>3</v>
      </c>
      <c r="D115" s="208">
        <v>33</v>
      </c>
      <c r="E115" s="400">
        <f>D115+D124</f>
        <v>47</v>
      </c>
      <c r="F115" s="170">
        <v>108000.2121</v>
      </c>
      <c r="G115" s="170">
        <f t="shared" si="27"/>
        <v>3564006.9993000003</v>
      </c>
      <c r="H115" s="862"/>
      <c r="I115" s="175"/>
      <c r="J115" s="547"/>
    </row>
    <row r="116" spans="1:10">
      <c r="A116" s="168">
        <f t="shared" ref="A116:A118" si="28">A115+1</f>
        <v>3</v>
      </c>
      <c r="B116" s="169" t="s">
        <v>298</v>
      </c>
      <c r="C116" s="168" t="s">
        <v>3</v>
      </c>
      <c r="D116" s="208">
        <v>9</v>
      </c>
      <c r="E116" s="400">
        <f>D116</f>
        <v>9</v>
      </c>
      <c r="F116" s="170">
        <v>55500</v>
      </c>
      <c r="G116" s="170">
        <f t="shared" si="27"/>
        <v>499500</v>
      </c>
      <c r="H116" s="863"/>
      <c r="I116" s="174"/>
      <c r="J116" s="547"/>
    </row>
    <row r="117" spans="1:10">
      <c r="A117" s="168">
        <f t="shared" si="28"/>
        <v>4</v>
      </c>
      <c r="B117" s="169" t="s">
        <v>312</v>
      </c>
      <c r="C117" s="168" t="s">
        <v>2</v>
      </c>
      <c r="D117" s="208">
        <v>142</v>
      </c>
      <c r="E117" s="400">
        <f>D117</f>
        <v>142</v>
      </c>
      <c r="F117" s="170">
        <v>35500</v>
      </c>
      <c r="G117" s="170">
        <f t="shared" ref="G117" si="29">F117*D117</f>
        <v>5041000</v>
      </c>
      <c r="H117" s="171" t="s">
        <v>313</v>
      </c>
      <c r="I117" s="174"/>
      <c r="J117" s="547"/>
    </row>
    <row r="118" spans="1:10" ht="24">
      <c r="A118" s="168">
        <f t="shared" si="28"/>
        <v>5</v>
      </c>
      <c r="B118" s="169" t="s">
        <v>385</v>
      </c>
      <c r="C118" s="168" t="s">
        <v>3</v>
      </c>
      <c r="D118" s="208">
        <v>24</v>
      </c>
      <c r="E118" s="400"/>
      <c r="F118" s="170">
        <v>98636.291700000002</v>
      </c>
      <c r="G118" s="170">
        <f t="shared" ref="G118:G119" si="30">F118*D118</f>
        <v>2367271.0008</v>
      </c>
      <c r="H118" s="171" t="s">
        <v>386</v>
      </c>
      <c r="I118" s="174"/>
      <c r="J118" s="547"/>
    </row>
    <row r="119" spans="1:10" ht="24">
      <c r="A119" s="168">
        <v>6</v>
      </c>
      <c r="B119" s="169" t="s">
        <v>387</v>
      </c>
      <c r="C119" s="168" t="s">
        <v>3</v>
      </c>
      <c r="D119" s="208">
        <v>22</v>
      </c>
      <c r="E119" s="400"/>
      <c r="F119" s="170">
        <v>41363.681799999998</v>
      </c>
      <c r="G119" s="170">
        <f t="shared" si="30"/>
        <v>910000.99959999998</v>
      </c>
      <c r="H119" s="861" t="s">
        <v>389</v>
      </c>
      <c r="I119" s="174"/>
      <c r="J119" s="547"/>
    </row>
    <row r="120" spans="1:10" ht="24">
      <c r="A120" s="168">
        <v>7</v>
      </c>
      <c r="B120" s="169" t="s">
        <v>388</v>
      </c>
      <c r="C120" s="168" t="s">
        <v>3</v>
      </c>
      <c r="D120" s="208">
        <v>1</v>
      </c>
      <c r="E120" s="400">
        <f>D120</f>
        <v>1</v>
      </c>
      <c r="F120" s="170">
        <v>41363.681799999998</v>
      </c>
      <c r="G120" s="170">
        <f t="shared" ref="G120:G124" si="31">F120*D120</f>
        <v>41363.681799999998</v>
      </c>
      <c r="H120" s="863"/>
      <c r="I120" s="174"/>
      <c r="J120" s="547"/>
    </row>
    <row r="121" spans="1:10" s="409" customFormat="1" ht="24">
      <c r="A121" s="168">
        <v>8</v>
      </c>
      <c r="B121" s="176" t="s">
        <v>938</v>
      </c>
      <c r="C121" s="168" t="s">
        <v>3</v>
      </c>
      <c r="D121" s="536">
        <v>60</v>
      </c>
      <c r="E121" s="400">
        <f>D121</f>
        <v>60</v>
      </c>
      <c r="F121" s="177">
        <v>124020</v>
      </c>
      <c r="G121" s="177">
        <f t="shared" si="31"/>
        <v>7441200</v>
      </c>
      <c r="H121" s="861" t="s">
        <v>942</v>
      </c>
      <c r="I121" s="551"/>
      <c r="J121" s="547"/>
    </row>
    <row r="122" spans="1:10" s="409" customFormat="1" ht="24">
      <c r="A122" s="168">
        <v>9</v>
      </c>
      <c r="B122" s="176" t="s">
        <v>939</v>
      </c>
      <c r="C122" s="168" t="s">
        <v>3</v>
      </c>
      <c r="D122" s="536">
        <v>34</v>
      </c>
      <c r="E122" s="400">
        <f>D122</f>
        <v>34</v>
      </c>
      <c r="F122" s="177">
        <v>55580</v>
      </c>
      <c r="G122" s="177">
        <f t="shared" si="31"/>
        <v>1889720</v>
      </c>
      <c r="H122" s="862"/>
      <c r="I122" s="551"/>
      <c r="J122" s="547"/>
    </row>
    <row r="123" spans="1:10" s="409" customFormat="1" ht="24">
      <c r="A123" s="168">
        <v>10</v>
      </c>
      <c r="B123" s="176" t="s">
        <v>940</v>
      </c>
      <c r="C123" s="168" t="s">
        <v>3</v>
      </c>
      <c r="D123" s="536">
        <v>13</v>
      </c>
      <c r="E123" s="400">
        <f>D123</f>
        <v>13</v>
      </c>
      <c r="F123" s="177">
        <v>254820</v>
      </c>
      <c r="G123" s="177">
        <f t="shared" si="31"/>
        <v>3312660</v>
      </c>
      <c r="H123" s="862"/>
      <c r="I123" s="551"/>
      <c r="J123" s="547"/>
    </row>
    <row r="124" spans="1:10" s="409" customFormat="1" ht="24">
      <c r="A124" s="168">
        <v>11</v>
      </c>
      <c r="B124" s="176" t="s">
        <v>941</v>
      </c>
      <c r="C124" s="168" t="s">
        <v>3</v>
      </c>
      <c r="D124" s="536">
        <v>14</v>
      </c>
      <c r="E124" s="400">
        <f>D124</f>
        <v>14</v>
      </c>
      <c r="F124" s="177">
        <v>113400</v>
      </c>
      <c r="G124" s="177">
        <f t="shared" si="31"/>
        <v>1587600</v>
      </c>
      <c r="H124" s="863"/>
      <c r="I124" s="551"/>
      <c r="J124" s="547"/>
    </row>
    <row r="125" spans="1:10" s="158" customFormat="1">
      <c r="A125" s="160" t="s">
        <v>104</v>
      </c>
      <c r="B125" s="161" t="s">
        <v>300</v>
      </c>
      <c r="C125" s="162"/>
      <c r="D125" s="204"/>
      <c r="E125" s="542"/>
      <c r="F125" s="202"/>
      <c r="G125" s="202"/>
      <c r="H125" s="163"/>
      <c r="I125" s="164"/>
      <c r="J125" s="546"/>
    </row>
    <row r="126" spans="1:10">
      <c r="A126" s="168">
        <v>1</v>
      </c>
      <c r="B126" s="169" t="s">
        <v>301</v>
      </c>
      <c r="C126" s="168" t="s">
        <v>2</v>
      </c>
      <c r="D126" s="200">
        <v>400</v>
      </c>
      <c r="E126" s="544">
        <f>D126</f>
        <v>400</v>
      </c>
      <c r="F126" s="210">
        <v>4290</v>
      </c>
      <c r="G126" s="170">
        <f t="shared" ref="G126:G128" si="32">F126*D126</f>
        <v>1716000</v>
      </c>
      <c r="H126" s="861" t="s">
        <v>311</v>
      </c>
      <c r="I126" s="174"/>
      <c r="J126" s="547"/>
    </row>
    <row r="127" spans="1:10">
      <c r="A127" s="168">
        <f>A126+1</f>
        <v>2</v>
      </c>
      <c r="B127" s="169" t="s">
        <v>302</v>
      </c>
      <c r="C127" s="168" t="s">
        <v>303</v>
      </c>
      <c r="D127" s="208">
        <v>850</v>
      </c>
      <c r="E127" s="400">
        <f>D127*2.92</f>
        <v>2482</v>
      </c>
      <c r="F127" s="210">
        <v>23459</v>
      </c>
      <c r="G127" s="170">
        <f t="shared" si="32"/>
        <v>19940150</v>
      </c>
      <c r="H127" s="862"/>
      <c r="I127" s="174"/>
      <c r="J127" s="547" t="s">
        <v>1006</v>
      </c>
    </row>
    <row r="128" spans="1:10">
      <c r="A128" s="168">
        <f t="shared" ref="A128:A134" si="33">A127+1</f>
        <v>3</v>
      </c>
      <c r="B128" s="169" t="s">
        <v>304</v>
      </c>
      <c r="C128" s="168" t="s">
        <v>303</v>
      </c>
      <c r="D128" s="200">
        <v>40</v>
      </c>
      <c r="E128" s="544">
        <f>D128*2.92</f>
        <v>116.8</v>
      </c>
      <c r="F128" s="210">
        <v>31886</v>
      </c>
      <c r="G128" s="170">
        <f t="shared" si="32"/>
        <v>1275440</v>
      </c>
      <c r="H128" s="862"/>
      <c r="I128" s="174"/>
      <c r="J128" s="547"/>
    </row>
    <row r="129" spans="1:10">
      <c r="A129" s="168">
        <f t="shared" si="33"/>
        <v>4</v>
      </c>
      <c r="B129" s="169" t="s">
        <v>305</v>
      </c>
      <c r="C129" s="173" t="s">
        <v>3</v>
      </c>
      <c r="D129" s="208">
        <v>1000</v>
      </c>
      <c r="E129" s="400"/>
      <c r="F129" s="170">
        <v>1638</v>
      </c>
      <c r="G129" s="170">
        <f t="shared" ref="G129:G139" si="34">F129*D129</f>
        <v>1638000</v>
      </c>
      <c r="H129" s="862"/>
      <c r="I129" s="174"/>
      <c r="J129" s="547"/>
    </row>
    <row r="130" spans="1:10">
      <c r="A130" s="168">
        <f t="shared" si="33"/>
        <v>5</v>
      </c>
      <c r="B130" s="169" t="s">
        <v>306</v>
      </c>
      <c r="C130" s="173" t="s">
        <v>3</v>
      </c>
      <c r="D130" s="208">
        <v>1200</v>
      </c>
      <c r="E130" s="400"/>
      <c r="F130" s="170">
        <v>1170</v>
      </c>
      <c r="G130" s="170">
        <f t="shared" si="34"/>
        <v>1404000</v>
      </c>
      <c r="H130" s="862"/>
      <c r="I130" s="174"/>
      <c r="J130" s="547"/>
    </row>
    <row r="131" spans="1:10">
      <c r="A131" s="168">
        <f t="shared" si="33"/>
        <v>6</v>
      </c>
      <c r="B131" s="169" t="s">
        <v>307</v>
      </c>
      <c r="C131" s="173" t="s">
        <v>3</v>
      </c>
      <c r="D131" s="208">
        <v>400</v>
      </c>
      <c r="E131" s="400"/>
      <c r="F131" s="170">
        <v>3042</v>
      </c>
      <c r="G131" s="170">
        <f t="shared" si="34"/>
        <v>1216800</v>
      </c>
      <c r="H131" s="862"/>
      <c r="I131" s="174"/>
      <c r="J131" s="547"/>
    </row>
    <row r="132" spans="1:10" ht="24">
      <c r="A132" s="168">
        <f t="shared" si="33"/>
        <v>7</v>
      </c>
      <c r="B132" s="169" t="s">
        <v>308</v>
      </c>
      <c r="C132" s="173" t="s">
        <v>3</v>
      </c>
      <c r="D132" s="208">
        <v>50</v>
      </c>
      <c r="E132" s="400"/>
      <c r="F132" s="170">
        <v>4914</v>
      </c>
      <c r="G132" s="170">
        <f t="shared" si="34"/>
        <v>245700</v>
      </c>
      <c r="H132" s="862"/>
      <c r="I132" s="174"/>
      <c r="J132" s="547"/>
    </row>
    <row r="133" spans="1:10">
      <c r="A133" s="168">
        <f t="shared" si="33"/>
        <v>8</v>
      </c>
      <c r="B133" s="169" t="s">
        <v>309</v>
      </c>
      <c r="C133" s="173" t="s">
        <v>4</v>
      </c>
      <c r="D133" s="208">
        <v>250</v>
      </c>
      <c r="E133" s="400"/>
      <c r="F133" s="170">
        <v>9516</v>
      </c>
      <c r="G133" s="170">
        <f t="shared" si="34"/>
        <v>2379000</v>
      </c>
      <c r="H133" s="862"/>
      <c r="I133" s="174"/>
      <c r="J133" s="547"/>
    </row>
    <row r="134" spans="1:10" ht="24">
      <c r="A134" s="168">
        <f t="shared" si="33"/>
        <v>9</v>
      </c>
      <c r="B134" s="169" t="s">
        <v>310</v>
      </c>
      <c r="C134" s="173" t="s">
        <v>4</v>
      </c>
      <c r="D134" s="208">
        <v>45</v>
      </c>
      <c r="E134" s="400"/>
      <c r="F134" s="170">
        <v>21528</v>
      </c>
      <c r="G134" s="170">
        <f t="shared" si="34"/>
        <v>968760</v>
      </c>
      <c r="H134" s="863"/>
      <c r="I134" s="174"/>
      <c r="J134" s="547"/>
    </row>
    <row r="135" spans="1:10">
      <c r="A135" s="168">
        <v>10</v>
      </c>
      <c r="B135" s="169" t="s">
        <v>390</v>
      </c>
      <c r="C135" s="173" t="s">
        <v>3</v>
      </c>
      <c r="D135" s="200">
        <v>86</v>
      </c>
      <c r="E135" s="544">
        <f>D135</f>
        <v>86</v>
      </c>
      <c r="F135" s="210">
        <v>11631.523300000001</v>
      </c>
      <c r="G135" s="170">
        <f t="shared" si="34"/>
        <v>1000311.0038000001</v>
      </c>
      <c r="H135" s="861" t="s">
        <v>396</v>
      </c>
      <c r="I135" s="174"/>
      <c r="J135" s="547"/>
    </row>
    <row r="136" spans="1:10">
      <c r="A136" s="168">
        <v>11</v>
      </c>
      <c r="B136" s="169" t="s">
        <v>391</v>
      </c>
      <c r="C136" s="173" t="s">
        <v>3</v>
      </c>
      <c r="D136" s="208">
        <v>10</v>
      </c>
      <c r="E136" s="400">
        <f>D136</f>
        <v>10</v>
      </c>
      <c r="F136" s="210">
        <v>28125</v>
      </c>
      <c r="G136" s="170">
        <f t="shared" si="34"/>
        <v>281250</v>
      </c>
      <c r="H136" s="862"/>
      <c r="I136" s="174"/>
      <c r="J136" s="547"/>
    </row>
    <row r="137" spans="1:10">
      <c r="A137" s="168">
        <v>12</v>
      </c>
      <c r="B137" s="169" t="s">
        <v>392</v>
      </c>
      <c r="C137" s="173" t="s">
        <v>3</v>
      </c>
      <c r="D137" s="200">
        <v>68</v>
      </c>
      <c r="E137" s="544"/>
      <c r="F137" s="210">
        <v>11631.5147</v>
      </c>
      <c r="G137" s="170">
        <f t="shared" si="34"/>
        <v>790942.99959999998</v>
      </c>
      <c r="H137" s="862"/>
      <c r="I137" s="174"/>
      <c r="J137" s="547"/>
    </row>
    <row r="138" spans="1:10">
      <c r="A138" s="168">
        <v>13</v>
      </c>
      <c r="B138" s="169" t="s">
        <v>393</v>
      </c>
      <c r="C138" s="173" t="s">
        <v>3</v>
      </c>
      <c r="D138" s="208">
        <v>366</v>
      </c>
      <c r="E138" s="400"/>
      <c r="F138" s="170">
        <v>11631.5191</v>
      </c>
      <c r="G138" s="170">
        <f t="shared" si="34"/>
        <v>4257135.9906000001</v>
      </c>
      <c r="H138" s="862"/>
      <c r="I138" s="174"/>
      <c r="J138" s="547"/>
    </row>
    <row r="139" spans="1:10">
      <c r="A139" s="168">
        <v>14</v>
      </c>
      <c r="B139" s="169" t="s">
        <v>394</v>
      </c>
      <c r="C139" s="173" t="s">
        <v>3</v>
      </c>
      <c r="D139" s="208">
        <v>494</v>
      </c>
      <c r="E139" s="400"/>
      <c r="F139" s="170">
        <v>11631.520200000001</v>
      </c>
      <c r="G139" s="170">
        <f t="shared" si="34"/>
        <v>5745970.9788000006</v>
      </c>
      <c r="H139" s="862"/>
      <c r="I139" s="174"/>
      <c r="J139" s="547"/>
    </row>
    <row r="140" spans="1:10">
      <c r="A140" s="168">
        <v>15</v>
      </c>
      <c r="B140" s="169" t="s">
        <v>395</v>
      </c>
      <c r="C140" s="173" t="s">
        <v>3</v>
      </c>
      <c r="D140" s="208">
        <v>80</v>
      </c>
      <c r="E140" s="400">
        <f>D140+D141</f>
        <v>760</v>
      </c>
      <c r="F140" s="170">
        <v>127650</v>
      </c>
      <c r="G140" s="170">
        <f t="shared" ref="G140:G141" si="35">F140*D140</f>
        <v>10212000</v>
      </c>
      <c r="H140" s="863"/>
      <c r="I140" s="174"/>
      <c r="J140" s="547"/>
    </row>
    <row r="141" spans="1:10">
      <c r="A141" s="168">
        <v>16</v>
      </c>
      <c r="B141" s="169" t="s">
        <v>395</v>
      </c>
      <c r="C141" s="173" t="s">
        <v>3</v>
      </c>
      <c r="D141" s="208">
        <v>680</v>
      </c>
      <c r="E141" s="400"/>
      <c r="F141" s="170">
        <v>127650</v>
      </c>
      <c r="G141" s="170">
        <f t="shared" si="35"/>
        <v>86802000</v>
      </c>
      <c r="H141" s="861" t="s">
        <v>398</v>
      </c>
      <c r="I141" s="174"/>
      <c r="J141" s="547"/>
    </row>
    <row r="142" spans="1:10">
      <c r="A142" s="168">
        <v>17</v>
      </c>
      <c r="B142" s="169" t="s">
        <v>397</v>
      </c>
      <c r="C142" s="173" t="s">
        <v>3</v>
      </c>
      <c r="D142" s="208">
        <v>480</v>
      </c>
      <c r="E142" s="400">
        <f>D142</f>
        <v>480</v>
      </c>
      <c r="F142" s="170">
        <v>57300</v>
      </c>
      <c r="G142" s="170">
        <f t="shared" ref="G142" si="36">F142*D142</f>
        <v>27504000</v>
      </c>
      <c r="H142" s="863"/>
      <c r="I142" s="174"/>
      <c r="J142" s="547"/>
    </row>
    <row r="143" spans="1:10">
      <c r="A143" s="168">
        <v>18</v>
      </c>
      <c r="B143" s="169" t="s">
        <v>394</v>
      </c>
      <c r="C143" s="173" t="s">
        <v>3</v>
      </c>
      <c r="D143" s="208">
        <v>3</v>
      </c>
      <c r="E143" s="400"/>
      <c r="F143" s="170">
        <v>11631.6667</v>
      </c>
      <c r="G143" s="170">
        <f t="shared" ref="G143:G144" si="37">F143*D143</f>
        <v>34895.000099999997</v>
      </c>
      <c r="H143" s="219" t="s">
        <v>399</v>
      </c>
      <c r="I143" s="174"/>
      <c r="J143" s="547"/>
    </row>
    <row r="144" spans="1:10" s="409" customFormat="1">
      <c r="A144" s="168">
        <v>19</v>
      </c>
      <c r="B144" s="176" t="s">
        <v>943</v>
      </c>
      <c r="C144" s="750" t="s">
        <v>3</v>
      </c>
      <c r="D144" s="536">
        <v>2</v>
      </c>
      <c r="E144" s="536">
        <f>D144</f>
        <v>2</v>
      </c>
      <c r="F144" s="177">
        <v>389450</v>
      </c>
      <c r="G144" s="177">
        <f t="shared" si="37"/>
        <v>778900</v>
      </c>
      <c r="H144" s="861" t="s">
        <v>945</v>
      </c>
      <c r="I144" s="551"/>
      <c r="J144" s="547"/>
    </row>
    <row r="145" spans="1:10" s="409" customFormat="1">
      <c r="A145" s="168">
        <v>20</v>
      </c>
      <c r="B145" s="176" t="s">
        <v>944</v>
      </c>
      <c r="C145" s="750" t="s">
        <v>3</v>
      </c>
      <c r="D145" s="536">
        <v>2</v>
      </c>
      <c r="E145" s="536"/>
      <c r="F145" s="177">
        <v>35100</v>
      </c>
      <c r="G145" s="177">
        <f t="shared" ref="G145" si="38">F145*D145</f>
        <v>70200</v>
      </c>
      <c r="H145" s="863"/>
      <c r="I145" s="551"/>
      <c r="J145" s="547"/>
    </row>
    <row r="146" spans="1:10" s="158" customFormat="1">
      <c r="A146" s="160" t="s">
        <v>262</v>
      </c>
      <c r="B146" s="161" t="s">
        <v>86</v>
      </c>
      <c r="C146" s="162"/>
      <c r="D146" s="204"/>
      <c r="E146" s="542"/>
      <c r="F146" s="202"/>
      <c r="G146" s="202"/>
      <c r="H146" s="163"/>
      <c r="I146" s="164"/>
      <c r="J146" s="546"/>
    </row>
    <row r="147" spans="1:10">
      <c r="A147" s="168">
        <v>1</v>
      </c>
      <c r="B147" s="169" t="s">
        <v>314</v>
      </c>
      <c r="C147" s="168" t="s">
        <v>315</v>
      </c>
      <c r="D147" s="208">
        <v>18</v>
      </c>
      <c r="E147" s="400">
        <f>D147</f>
        <v>18</v>
      </c>
      <c r="F147" s="170">
        <v>5888000</v>
      </c>
      <c r="G147" s="170">
        <f t="shared" si="27"/>
        <v>105984000</v>
      </c>
      <c r="H147" s="199" t="s">
        <v>316</v>
      </c>
      <c r="I147" s="174"/>
      <c r="J147" s="547"/>
    </row>
    <row r="148" spans="1:10">
      <c r="A148" s="168">
        <v>2</v>
      </c>
      <c r="B148" s="169" t="s">
        <v>317</v>
      </c>
      <c r="C148" s="168" t="s">
        <v>4</v>
      </c>
      <c r="D148" s="208">
        <v>18</v>
      </c>
      <c r="E148" s="400"/>
      <c r="F148" s="170">
        <v>230850</v>
      </c>
      <c r="G148" s="170">
        <f t="shared" si="27"/>
        <v>4155300</v>
      </c>
      <c r="H148" s="861" t="s">
        <v>319</v>
      </c>
      <c r="I148" s="174"/>
      <c r="J148" s="547"/>
    </row>
    <row r="149" spans="1:10">
      <c r="A149" s="168">
        <v>3</v>
      </c>
      <c r="B149" s="169" t="s">
        <v>318</v>
      </c>
      <c r="C149" s="173" t="s">
        <v>3</v>
      </c>
      <c r="D149" s="208">
        <v>6</v>
      </c>
      <c r="E149" s="400">
        <f>D149</f>
        <v>6</v>
      </c>
      <c r="F149" s="170">
        <v>180500</v>
      </c>
      <c r="G149" s="170">
        <f t="shared" si="27"/>
        <v>1083000</v>
      </c>
      <c r="H149" s="863"/>
      <c r="I149" s="174"/>
      <c r="J149" s="547"/>
    </row>
    <row r="150" spans="1:10">
      <c r="A150" s="168">
        <v>4</v>
      </c>
      <c r="B150" s="169" t="s">
        <v>320</v>
      </c>
      <c r="C150" s="173" t="s">
        <v>4</v>
      </c>
      <c r="D150" s="208">
        <v>12</v>
      </c>
      <c r="E150" s="400">
        <f>D150</f>
        <v>12</v>
      </c>
      <c r="F150" s="170">
        <v>1288000</v>
      </c>
      <c r="G150" s="170">
        <f t="shared" si="27"/>
        <v>15456000</v>
      </c>
      <c r="H150" s="861" t="s">
        <v>323</v>
      </c>
      <c r="I150" s="174"/>
      <c r="J150" s="547"/>
    </row>
    <row r="151" spans="1:10">
      <c r="A151" s="168">
        <v>5</v>
      </c>
      <c r="B151" s="169" t="s">
        <v>321</v>
      </c>
      <c r="C151" s="173" t="s">
        <v>4</v>
      </c>
      <c r="D151" s="208">
        <v>12</v>
      </c>
      <c r="E151" s="400">
        <f>D151</f>
        <v>12</v>
      </c>
      <c r="F151" s="170">
        <v>582667</v>
      </c>
      <c r="G151" s="170">
        <f t="shared" si="27"/>
        <v>6992004</v>
      </c>
      <c r="H151" s="862"/>
      <c r="I151" s="174"/>
      <c r="J151" s="547"/>
    </row>
    <row r="152" spans="1:10">
      <c r="A152" s="168">
        <v>6</v>
      </c>
      <c r="B152" s="169" t="s">
        <v>322</v>
      </c>
      <c r="C152" s="173" t="s">
        <v>4</v>
      </c>
      <c r="D152" s="208">
        <v>9</v>
      </c>
      <c r="E152" s="400">
        <f>D152</f>
        <v>9</v>
      </c>
      <c r="F152" s="172">
        <v>2295000</v>
      </c>
      <c r="G152" s="170">
        <f t="shared" si="27"/>
        <v>20655000</v>
      </c>
      <c r="H152" s="863"/>
      <c r="I152" s="174"/>
      <c r="J152" s="547"/>
    </row>
    <row r="153" spans="1:10">
      <c r="A153" s="168">
        <v>4</v>
      </c>
      <c r="B153" s="169" t="s">
        <v>380</v>
      </c>
      <c r="C153" s="173" t="s">
        <v>3</v>
      </c>
      <c r="D153" s="208">
        <v>18</v>
      </c>
      <c r="E153" s="400"/>
      <c r="F153" s="172">
        <v>162000</v>
      </c>
      <c r="G153" s="170">
        <f t="shared" ref="G153:G155" si="39">F153*D153</f>
        <v>2916000</v>
      </c>
      <c r="H153" s="861" t="s">
        <v>384</v>
      </c>
      <c r="I153" s="174"/>
      <c r="J153" s="547"/>
    </row>
    <row r="154" spans="1:10">
      <c r="A154" s="168">
        <v>5</v>
      </c>
      <c r="B154" s="169" t="s">
        <v>381</v>
      </c>
      <c r="C154" s="173" t="s">
        <v>382</v>
      </c>
      <c r="D154" s="208">
        <v>12</v>
      </c>
      <c r="E154" s="400">
        <f>D154</f>
        <v>12</v>
      </c>
      <c r="F154" s="170">
        <v>200000</v>
      </c>
      <c r="G154" s="170">
        <f t="shared" si="39"/>
        <v>2400000</v>
      </c>
      <c r="H154" s="862"/>
      <c r="I154" s="174"/>
      <c r="J154" s="547"/>
    </row>
    <row r="155" spans="1:10">
      <c r="A155" s="168">
        <v>6</v>
      </c>
      <c r="B155" s="169" t="s">
        <v>383</v>
      </c>
      <c r="C155" s="173" t="s">
        <v>4</v>
      </c>
      <c r="D155" s="208">
        <v>9</v>
      </c>
      <c r="E155" s="400"/>
      <c r="F155" s="172">
        <v>2034000</v>
      </c>
      <c r="G155" s="170">
        <f t="shared" si="39"/>
        <v>18306000</v>
      </c>
      <c r="H155" s="863"/>
      <c r="I155" s="174"/>
      <c r="J155" s="547"/>
    </row>
    <row r="156" spans="1:10" s="402" customFormat="1">
      <c r="A156" s="398">
        <v>7</v>
      </c>
      <c r="B156" s="399" t="s">
        <v>935</v>
      </c>
      <c r="C156" s="403" t="s">
        <v>936</v>
      </c>
      <c r="D156" s="400">
        <v>12</v>
      </c>
      <c r="E156" s="400"/>
      <c r="F156" s="404">
        <v>900000</v>
      </c>
      <c r="G156" s="401">
        <f t="shared" ref="G156" si="40">F156*D156</f>
        <v>10800000</v>
      </c>
      <c r="H156" s="406" t="s">
        <v>937</v>
      </c>
      <c r="I156" s="405"/>
      <c r="J156" s="550"/>
    </row>
    <row r="157" spans="1:10" s="158" customFormat="1">
      <c r="A157" s="160" t="s">
        <v>421</v>
      </c>
      <c r="B157" s="161" t="s">
        <v>422</v>
      </c>
      <c r="C157" s="162"/>
      <c r="D157" s="204"/>
      <c r="E157" s="542"/>
      <c r="F157" s="202"/>
      <c r="G157" s="202"/>
      <c r="H157" s="163"/>
      <c r="I157" s="164"/>
      <c r="J157" s="546"/>
    </row>
    <row r="158" spans="1:10">
      <c r="A158" s="168">
        <v>1</v>
      </c>
      <c r="B158" s="169" t="s">
        <v>424</v>
      </c>
      <c r="C158" s="168" t="s">
        <v>187</v>
      </c>
      <c r="D158" s="208">
        <v>5000</v>
      </c>
      <c r="E158" s="400"/>
      <c r="F158" s="170">
        <v>1750</v>
      </c>
      <c r="G158" s="170">
        <f t="shared" ref="G158:G161" si="41">F158*D158</f>
        <v>8750000</v>
      </c>
      <c r="H158" s="199" t="s">
        <v>425</v>
      </c>
      <c r="I158" s="174"/>
      <c r="J158" s="547"/>
    </row>
    <row r="159" spans="1:10">
      <c r="A159" s="168">
        <v>2</v>
      </c>
      <c r="B159" s="169" t="s">
        <v>424</v>
      </c>
      <c r="C159" s="168" t="s">
        <v>187</v>
      </c>
      <c r="D159" s="208">
        <v>10000</v>
      </c>
      <c r="E159" s="400"/>
      <c r="F159" s="170">
        <v>1648.1482000000001</v>
      </c>
      <c r="G159" s="170">
        <f t="shared" ref="G159:G160" si="42">F159*D159</f>
        <v>16481482</v>
      </c>
      <c r="H159" s="199" t="s">
        <v>426</v>
      </c>
      <c r="I159" s="174"/>
      <c r="J159" s="547"/>
    </row>
    <row r="160" spans="1:10">
      <c r="A160" s="168">
        <v>3</v>
      </c>
      <c r="B160" s="169" t="s">
        <v>424</v>
      </c>
      <c r="C160" s="168" t="s">
        <v>187</v>
      </c>
      <c r="D160" s="208">
        <v>5000</v>
      </c>
      <c r="E160" s="400"/>
      <c r="F160" s="170">
        <v>1731.4813999999999</v>
      </c>
      <c r="G160" s="170">
        <f t="shared" si="42"/>
        <v>8657407</v>
      </c>
      <c r="H160" s="199" t="s">
        <v>427</v>
      </c>
      <c r="I160" s="174"/>
      <c r="J160" s="547"/>
    </row>
    <row r="161" spans="1:10">
      <c r="A161" s="168">
        <v>4</v>
      </c>
      <c r="B161" s="169" t="s">
        <v>428</v>
      </c>
      <c r="C161" s="168" t="s">
        <v>187</v>
      </c>
      <c r="D161" s="208">
        <v>5000</v>
      </c>
      <c r="E161" s="400"/>
      <c r="F161" s="170">
        <v>1722.2221999999999</v>
      </c>
      <c r="G161" s="170">
        <f t="shared" si="41"/>
        <v>8611111</v>
      </c>
      <c r="H161" s="199" t="s">
        <v>429</v>
      </c>
      <c r="I161" s="174"/>
      <c r="J161" s="547"/>
    </row>
    <row r="162" spans="1:10" s="158" customFormat="1">
      <c r="A162" s="160" t="s">
        <v>1066</v>
      </c>
      <c r="B162" s="161" t="s">
        <v>263</v>
      </c>
      <c r="C162" s="162"/>
      <c r="D162" s="204"/>
      <c r="E162" s="542"/>
      <c r="F162" s="202"/>
      <c r="G162" s="202"/>
      <c r="H162" s="163"/>
      <c r="I162" s="164"/>
      <c r="J162" s="546"/>
    </row>
    <row r="163" spans="1:10" s="408" customFormat="1">
      <c r="A163" s="552">
        <v>1</v>
      </c>
      <c r="B163" s="553" t="s">
        <v>1010</v>
      </c>
      <c r="C163" s="554" t="s">
        <v>362</v>
      </c>
      <c r="D163" s="555">
        <v>2</v>
      </c>
      <c r="E163" s="556"/>
      <c r="F163" s="557">
        <v>106875</v>
      </c>
      <c r="G163" s="557">
        <f t="shared" ref="G163:G164" si="43">F163*D163</f>
        <v>213750</v>
      </c>
      <c r="H163" s="558" t="s">
        <v>430</v>
      </c>
      <c r="I163" s="174"/>
      <c r="J163" s="559"/>
    </row>
    <row r="164" spans="1:10" s="408" customFormat="1" ht="24">
      <c r="A164" s="552">
        <f>A163+1</f>
        <v>2</v>
      </c>
      <c r="B164" s="553" t="s">
        <v>1011</v>
      </c>
      <c r="C164" s="554" t="s">
        <v>303</v>
      </c>
      <c r="D164" s="555">
        <v>1</v>
      </c>
      <c r="E164" s="556">
        <f>(D164+D183)*4</f>
        <v>40</v>
      </c>
      <c r="F164" s="557">
        <v>458612</v>
      </c>
      <c r="G164" s="557">
        <f t="shared" si="43"/>
        <v>458612</v>
      </c>
      <c r="H164" s="861" t="s">
        <v>431</v>
      </c>
      <c r="I164" s="174"/>
      <c r="J164" s="559"/>
    </row>
    <row r="165" spans="1:10" s="408" customFormat="1" ht="24">
      <c r="A165" s="552">
        <f t="shared" ref="A165:A228" si="44">A164+1</f>
        <v>3</v>
      </c>
      <c r="B165" s="553" t="s">
        <v>1012</v>
      </c>
      <c r="C165" s="554" t="s">
        <v>303</v>
      </c>
      <c r="D165" s="555">
        <v>7</v>
      </c>
      <c r="E165" s="556">
        <f>(D165+D187)*4</f>
        <v>56</v>
      </c>
      <c r="F165" s="557">
        <v>53592</v>
      </c>
      <c r="G165" s="557">
        <f t="shared" ref="G165" si="45">F165*D165</f>
        <v>375144</v>
      </c>
      <c r="H165" s="862"/>
      <c r="I165" s="174"/>
      <c r="J165" s="559"/>
    </row>
    <row r="166" spans="1:10" s="408" customFormat="1" ht="24">
      <c r="A166" s="552">
        <f t="shared" si="44"/>
        <v>4</v>
      </c>
      <c r="B166" s="553" t="s">
        <v>1013</v>
      </c>
      <c r="C166" s="554" t="s">
        <v>303</v>
      </c>
      <c r="D166" s="555">
        <v>6</v>
      </c>
      <c r="E166" s="556">
        <f>(D166+D189)*4</f>
        <v>60</v>
      </c>
      <c r="F166" s="557">
        <v>27104</v>
      </c>
      <c r="G166" s="557">
        <f t="shared" ref="G166:G218" si="46">F166*D166</f>
        <v>162624</v>
      </c>
      <c r="H166" s="862"/>
      <c r="I166" s="174"/>
      <c r="J166" s="559"/>
    </row>
    <row r="167" spans="1:10" s="408" customFormat="1" ht="24">
      <c r="A167" s="552">
        <f t="shared" si="44"/>
        <v>5</v>
      </c>
      <c r="B167" s="553" t="s">
        <v>1014</v>
      </c>
      <c r="C167" s="554" t="s">
        <v>303</v>
      </c>
      <c r="D167" s="555">
        <v>13</v>
      </c>
      <c r="E167" s="556">
        <f>(D167+D188+D227)*4</f>
        <v>80</v>
      </c>
      <c r="F167" s="557">
        <v>38192</v>
      </c>
      <c r="G167" s="557">
        <f t="shared" ref="G167:G217" si="47">F167*D167</f>
        <v>496496</v>
      </c>
      <c r="H167" s="862"/>
      <c r="I167" s="174"/>
      <c r="J167" s="559"/>
    </row>
    <row r="168" spans="1:10" s="408" customFormat="1">
      <c r="A168" s="552">
        <f t="shared" si="44"/>
        <v>6</v>
      </c>
      <c r="B168" s="553" t="s">
        <v>1015</v>
      </c>
      <c r="C168" s="554" t="s">
        <v>615</v>
      </c>
      <c r="D168" s="555">
        <v>13</v>
      </c>
      <c r="E168" s="556"/>
      <c r="F168" s="557">
        <v>5100</v>
      </c>
      <c r="G168" s="557">
        <f t="shared" si="47"/>
        <v>66300</v>
      </c>
      <c r="H168" s="862"/>
      <c r="I168" s="174"/>
      <c r="J168" s="559"/>
    </row>
    <row r="169" spans="1:10" s="408" customFormat="1">
      <c r="A169" s="552">
        <f t="shared" si="44"/>
        <v>7</v>
      </c>
      <c r="B169" s="553" t="s">
        <v>1016</v>
      </c>
      <c r="C169" s="554" t="s">
        <v>615</v>
      </c>
      <c r="D169" s="555">
        <v>1</v>
      </c>
      <c r="E169" s="556"/>
      <c r="F169" s="557">
        <v>7875</v>
      </c>
      <c r="G169" s="557">
        <f t="shared" ref="G169:G174" si="48">F169*D169</f>
        <v>7875</v>
      </c>
      <c r="H169" s="862"/>
      <c r="I169" s="174"/>
      <c r="J169" s="559"/>
    </row>
    <row r="170" spans="1:10" s="408" customFormat="1">
      <c r="A170" s="552">
        <f t="shared" si="44"/>
        <v>8</v>
      </c>
      <c r="B170" s="553" t="s">
        <v>1017</v>
      </c>
      <c r="C170" s="554" t="s">
        <v>615</v>
      </c>
      <c r="D170" s="555">
        <v>4</v>
      </c>
      <c r="E170" s="556"/>
      <c r="F170" s="557">
        <v>6450</v>
      </c>
      <c r="G170" s="557">
        <f t="shared" si="48"/>
        <v>25800</v>
      </c>
      <c r="H170" s="862"/>
      <c r="I170" s="174"/>
      <c r="J170" s="559"/>
    </row>
    <row r="171" spans="1:10">
      <c r="A171" s="168">
        <f t="shared" si="44"/>
        <v>9</v>
      </c>
      <c r="B171" s="169" t="s">
        <v>1018</v>
      </c>
      <c r="C171" s="173" t="s">
        <v>615</v>
      </c>
      <c r="D171" s="208">
        <v>3</v>
      </c>
      <c r="E171" s="400"/>
      <c r="F171" s="170">
        <v>3975</v>
      </c>
      <c r="G171" s="170">
        <f t="shared" si="48"/>
        <v>11925</v>
      </c>
      <c r="H171" s="862"/>
      <c r="I171" s="174"/>
      <c r="J171" s="547"/>
    </row>
    <row r="172" spans="1:10">
      <c r="A172" s="168">
        <f t="shared" si="44"/>
        <v>10</v>
      </c>
      <c r="B172" s="169" t="s">
        <v>1019</v>
      </c>
      <c r="C172" s="173" t="s">
        <v>615</v>
      </c>
      <c r="D172" s="208">
        <v>3</v>
      </c>
      <c r="E172" s="400"/>
      <c r="F172" s="170">
        <v>4800</v>
      </c>
      <c r="G172" s="170">
        <f t="shared" si="48"/>
        <v>14400</v>
      </c>
      <c r="H172" s="862"/>
      <c r="I172" s="174"/>
      <c r="J172" s="547"/>
    </row>
    <row r="173" spans="1:10">
      <c r="A173" s="168">
        <f t="shared" si="44"/>
        <v>11</v>
      </c>
      <c r="B173" s="169" t="s">
        <v>1020</v>
      </c>
      <c r="C173" s="173" t="s">
        <v>615</v>
      </c>
      <c r="D173" s="208">
        <v>9</v>
      </c>
      <c r="E173" s="400"/>
      <c r="F173" s="170">
        <v>3600</v>
      </c>
      <c r="G173" s="170">
        <f t="shared" si="48"/>
        <v>32400</v>
      </c>
      <c r="H173" s="862"/>
      <c r="I173" s="174"/>
      <c r="J173" s="547"/>
    </row>
    <row r="174" spans="1:10">
      <c r="A174" s="168">
        <f t="shared" si="44"/>
        <v>12</v>
      </c>
      <c r="B174" s="169" t="s">
        <v>1021</v>
      </c>
      <c r="C174" s="173" t="s">
        <v>615</v>
      </c>
      <c r="D174" s="208">
        <v>6</v>
      </c>
      <c r="E174" s="400"/>
      <c r="F174" s="170">
        <v>3600</v>
      </c>
      <c r="G174" s="170">
        <f t="shared" si="48"/>
        <v>21600</v>
      </c>
      <c r="H174" s="862"/>
      <c r="I174" s="174"/>
      <c r="J174" s="547"/>
    </row>
    <row r="175" spans="1:10">
      <c r="A175" s="168">
        <f t="shared" si="44"/>
        <v>13</v>
      </c>
      <c r="B175" s="169" t="s">
        <v>1022</v>
      </c>
      <c r="C175" s="173" t="s">
        <v>615</v>
      </c>
      <c r="D175" s="208">
        <v>27</v>
      </c>
      <c r="E175" s="400"/>
      <c r="F175" s="170">
        <v>2250</v>
      </c>
      <c r="G175" s="170">
        <f t="shared" si="47"/>
        <v>60750</v>
      </c>
      <c r="H175" s="862"/>
      <c r="I175" s="174"/>
      <c r="J175" s="547"/>
    </row>
    <row r="176" spans="1:10">
      <c r="A176" s="168">
        <f t="shared" si="44"/>
        <v>14</v>
      </c>
      <c r="B176" s="169" t="s">
        <v>1023</v>
      </c>
      <c r="C176" s="173" t="s">
        <v>615</v>
      </c>
      <c r="D176" s="208">
        <v>15</v>
      </c>
      <c r="E176" s="400"/>
      <c r="F176" s="170">
        <v>3975</v>
      </c>
      <c r="G176" s="170">
        <f t="shared" ref="G176:G216" si="49">F176*D176</f>
        <v>59625</v>
      </c>
      <c r="H176" s="862"/>
      <c r="I176" s="174"/>
      <c r="J176" s="547"/>
    </row>
    <row r="177" spans="1:10">
      <c r="A177" s="168">
        <f t="shared" si="44"/>
        <v>15</v>
      </c>
      <c r="B177" s="169" t="s">
        <v>1024</v>
      </c>
      <c r="C177" s="173" t="s">
        <v>615</v>
      </c>
      <c r="D177" s="208">
        <v>26</v>
      </c>
      <c r="E177" s="400"/>
      <c r="F177" s="170">
        <v>2625</v>
      </c>
      <c r="G177" s="170">
        <f t="shared" si="49"/>
        <v>68250</v>
      </c>
      <c r="H177" s="862"/>
      <c r="I177" s="174"/>
      <c r="J177" s="547"/>
    </row>
    <row r="178" spans="1:10">
      <c r="A178" s="168">
        <f t="shared" si="44"/>
        <v>16</v>
      </c>
      <c r="B178" s="169" t="s">
        <v>1025</v>
      </c>
      <c r="C178" s="173" t="s">
        <v>615</v>
      </c>
      <c r="D178" s="208">
        <v>9</v>
      </c>
      <c r="E178" s="400"/>
      <c r="F178" s="170">
        <v>2250</v>
      </c>
      <c r="G178" s="170">
        <f t="shared" si="49"/>
        <v>20250</v>
      </c>
      <c r="H178" s="862"/>
      <c r="I178" s="174"/>
      <c r="J178" s="547"/>
    </row>
    <row r="179" spans="1:10" s="408" customFormat="1">
      <c r="A179" s="552">
        <f t="shared" si="44"/>
        <v>17</v>
      </c>
      <c r="B179" s="553" t="s">
        <v>1026</v>
      </c>
      <c r="C179" s="554" t="s">
        <v>615</v>
      </c>
      <c r="D179" s="555">
        <v>2</v>
      </c>
      <c r="E179" s="556">
        <f>D179</f>
        <v>2</v>
      </c>
      <c r="F179" s="557">
        <v>29850</v>
      </c>
      <c r="G179" s="557">
        <f t="shared" si="49"/>
        <v>59700</v>
      </c>
      <c r="H179" s="862"/>
      <c r="I179" s="174"/>
      <c r="J179" s="559"/>
    </row>
    <row r="180" spans="1:10" s="408" customFormat="1">
      <c r="A180" s="552">
        <f t="shared" si="44"/>
        <v>18</v>
      </c>
      <c r="B180" s="553" t="s">
        <v>1027</v>
      </c>
      <c r="C180" s="554" t="s">
        <v>615</v>
      </c>
      <c r="D180" s="555">
        <v>1</v>
      </c>
      <c r="E180" s="556">
        <f>D180</f>
        <v>1</v>
      </c>
      <c r="F180" s="557">
        <v>17775</v>
      </c>
      <c r="G180" s="557">
        <f t="shared" si="49"/>
        <v>17775</v>
      </c>
      <c r="H180" s="862"/>
      <c r="I180" s="174"/>
      <c r="J180" s="559"/>
    </row>
    <row r="181" spans="1:10" s="408" customFormat="1">
      <c r="A181" s="552">
        <f t="shared" si="44"/>
        <v>19</v>
      </c>
      <c r="B181" s="553" t="s">
        <v>1028</v>
      </c>
      <c r="C181" s="554" t="s">
        <v>615</v>
      </c>
      <c r="D181" s="555">
        <v>6</v>
      </c>
      <c r="E181" s="556"/>
      <c r="F181" s="557">
        <v>4275</v>
      </c>
      <c r="G181" s="557">
        <f t="shared" si="49"/>
        <v>25650</v>
      </c>
      <c r="H181" s="863"/>
      <c r="I181" s="174"/>
      <c r="J181" s="559"/>
    </row>
    <row r="182" spans="1:10" s="408" customFormat="1" ht="24">
      <c r="A182" s="552">
        <f t="shared" si="44"/>
        <v>20</v>
      </c>
      <c r="B182" s="553" t="s">
        <v>1029</v>
      </c>
      <c r="C182" s="554" t="s">
        <v>303</v>
      </c>
      <c r="D182" s="555">
        <v>7</v>
      </c>
      <c r="E182" s="556">
        <f>D182*4</f>
        <v>28</v>
      </c>
      <c r="F182" s="557">
        <v>985600</v>
      </c>
      <c r="G182" s="557">
        <f t="shared" si="49"/>
        <v>6899200</v>
      </c>
      <c r="H182" s="864" t="s">
        <v>432</v>
      </c>
      <c r="I182" s="174"/>
      <c r="J182" s="559"/>
    </row>
    <row r="183" spans="1:10" s="408" customFormat="1" ht="24">
      <c r="A183" s="552">
        <f t="shared" si="44"/>
        <v>21</v>
      </c>
      <c r="B183" s="553" t="s">
        <v>1030</v>
      </c>
      <c r="C183" s="554" t="s">
        <v>303</v>
      </c>
      <c r="D183" s="555">
        <v>9</v>
      </c>
      <c r="E183" s="556"/>
      <c r="F183" s="557">
        <v>310772</v>
      </c>
      <c r="G183" s="557">
        <f t="shared" si="49"/>
        <v>2796948</v>
      </c>
      <c r="H183" s="865"/>
      <c r="I183" s="174"/>
      <c r="J183" s="559"/>
    </row>
    <row r="184" spans="1:10" s="408" customFormat="1" ht="24">
      <c r="A184" s="552">
        <f t="shared" si="44"/>
        <v>22</v>
      </c>
      <c r="B184" s="553" t="s">
        <v>1031</v>
      </c>
      <c r="C184" s="554" t="s">
        <v>303</v>
      </c>
      <c r="D184" s="555">
        <v>1</v>
      </c>
      <c r="E184" s="556">
        <f>(D184+D228)*4</f>
        <v>12</v>
      </c>
      <c r="F184" s="557">
        <v>212212</v>
      </c>
      <c r="G184" s="557">
        <f t="shared" si="49"/>
        <v>212212</v>
      </c>
      <c r="H184" s="865"/>
      <c r="I184" s="174"/>
      <c r="J184" s="559"/>
    </row>
    <row r="185" spans="1:10" s="408" customFormat="1" ht="24">
      <c r="A185" s="552">
        <f t="shared" si="44"/>
        <v>23</v>
      </c>
      <c r="B185" s="553" t="s">
        <v>1032</v>
      </c>
      <c r="C185" s="554" t="s">
        <v>303</v>
      </c>
      <c r="D185" s="555">
        <v>12</v>
      </c>
      <c r="E185" s="556">
        <f>D185*4</f>
        <v>48</v>
      </c>
      <c r="F185" s="557">
        <v>98252</v>
      </c>
      <c r="G185" s="557">
        <f t="shared" si="49"/>
        <v>1179024</v>
      </c>
      <c r="H185" s="865"/>
      <c r="I185" s="174"/>
      <c r="J185" s="559"/>
    </row>
    <row r="186" spans="1:10" s="408" customFormat="1" ht="24">
      <c r="A186" s="552">
        <f t="shared" si="44"/>
        <v>24</v>
      </c>
      <c r="B186" s="553" t="s">
        <v>1033</v>
      </c>
      <c r="C186" s="554" t="s">
        <v>303</v>
      </c>
      <c r="D186" s="555">
        <v>3</v>
      </c>
      <c r="E186" s="556">
        <f>D186*4</f>
        <v>12</v>
      </c>
      <c r="F186" s="557">
        <v>70840</v>
      </c>
      <c r="G186" s="557">
        <f t="shared" si="49"/>
        <v>212520</v>
      </c>
      <c r="H186" s="865"/>
      <c r="I186" s="174"/>
      <c r="J186" s="559"/>
    </row>
    <row r="187" spans="1:10" s="408" customFormat="1" ht="24">
      <c r="A187" s="552">
        <f t="shared" si="44"/>
        <v>25</v>
      </c>
      <c r="B187" s="553" t="s">
        <v>1012</v>
      </c>
      <c r="C187" s="554" t="s">
        <v>303</v>
      </c>
      <c r="D187" s="555">
        <v>7</v>
      </c>
      <c r="E187" s="556"/>
      <c r="F187" s="557">
        <v>53592</v>
      </c>
      <c r="G187" s="557">
        <f t="shared" si="49"/>
        <v>375144</v>
      </c>
      <c r="H187" s="865"/>
      <c r="I187" s="174"/>
      <c r="J187" s="559"/>
    </row>
    <row r="188" spans="1:10" s="408" customFormat="1" ht="24">
      <c r="A188" s="552">
        <f t="shared" si="44"/>
        <v>26</v>
      </c>
      <c r="B188" s="553" t="s">
        <v>1014</v>
      </c>
      <c r="C188" s="554" t="s">
        <v>303</v>
      </c>
      <c r="D188" s="555">
        <v>1</v>
      </c>
      <c r="E188" s="556"/>
      <c r="F188" s="557">
        <v>38192</v>
      </c>
      <c r="G188" s="557">
        <f t="shared" si="49"/>
        <v>38192</v>
      </c>
      <c r="H188" s="865"/>
      <c r="I188" s="174"/>
      <c r="J188" s="559"/>
    </row>
    <row r="189" spans="1:10" s="408" customFormat="1" ht="24">
      <c r="A189" s="552">
        <f t="shared" si="44"/>
        <v>27</v>
      </c>
      <c r="B189" s="553" t="s">
        <v>1013</v>
      </c>
      <c r="C189" s="554" t="s">
        <v>303</v>
      </c>
      <c r="D189" s="555">
        <v>9</v>
      </c>
      <c r="E189" s="556"/>
      <c r="F189" s="557">
        <v>27104</v>
      </c>
      <c r="G189" s="557">
        <f t="shared" si="49"/>
        <v>243936</v>
      </c>
      <c r="H189" s="865"/>
      <c r="I189" s="174"/>
      <c r="J189" s="559"/>
    </row>
    <row r="190" spans="1:10" s="408" customFormat="1">
      <c r="A190" s="552">
        <f t="shared" si="44"/>
        <v>28</v>
      </c>
      <c r="B190" s="553" t="s">
        <v>1034</v>
      </c>
      <c r="C190" s="554" t="s">
        <v>615</v>
      </c>
      <c r="D190" s="555">
        <v>2</v>
      </c>
      <c r="E190" s="556">
        <f>D190</f>
        <v>2</v>
      </c>
      <c r="F190" s="557">
        <v>115650</v>
      </c>
      <c r="G190" s="557">
        <f t="shared" si="49"/>
        <v>231300</v>
      </c>
      <c r="H190" s="865"/>
      <c r="I190" s="174"/>
      <c r="J190" s="559"/>
    </row>
    <row r="191" spans="1:10" s="408" customFormat="1">
      <c r="A191" s="552">
        <f t="shared" si="44"/>
        <v>29</v>
      </c>
      <c r="B191" s="553" t="s">
        <v>1035</v>
      </c>
      <c r="C191" s="554" t="s">
        <v>615</v>
      </c>
      <c r="D191" s="555">
        <v>10</v>
      </c>
      <c r="E191" s="556">
        <f>D191</f>
        <v>10</v>
      </c>
      <c r="F191" s="557">
        <v>41775</v>
      </c>
      <c r="G191" s="557">
        <f t="shared" si="49"/>
        <v>417750</v>
      </c>
      <c r="H191" s="865"/>
      <c r="I191" s="174"/>
      <c r="J191" s="559"/>
    </row>
    <row r="192" spans="1:10" s="408" customFormat="1">
      <c r="A192" s="552">
        <f t="shared" si="44"/>
        <v>30</v>
      </c>
      <c r="B192" s="553" t="s">
        <v>1036</v>
      </c>
      <c r="C192" s="554" t="s">
        <v>615</v>
      </c>
      <c r="D192" s="555">
        <v>15</v>
      </c>
      <c r="E192" s="556">
        <f>D192</f>
        <v>15</v>
      </c>
      <c r="F192" s="557">
        <v>7200</v>
      </c>
      <c r="G192" s="557">
        <f t="shared" ref="G192:G201" si="50">F192*D192</f>
        <v>108000</v>
      </c>
      <c r="H192" s="865"/>
      <c r="I192" s="174"/>
      <c r="J192" s="559"/>
    </row>
    <row r="193" spans="1:10" s="408" customFormat="1">
      <c r="A193" s="552">
        <f t="shared" si="44"/>
        <v>31</v>
      </c>
      <c r="B193" s="553" t="s">
        <v>1037</v>
      </c>
      <c r="C193" s="554" t="s">
        <v>615</v>
      </c>
      <c r="D193" s="555">
        <v>18</v>
      </c>
      <c r="E193" s="556">
        <f>D193</f>
        <v>18</v>
      </c>
      <c r="F193" s="557">
        <v>7650</v>
      </c>
      <c r="G193" s="557">
        <f t="shared" si="50"/>
        <v>137700</v>
      </c>
      <c r="H193" s="865"/>
      <c r="I193" s="174"/>
      <c r="J193" s="559"/>
    </row>
    <row r="194" spans="1:10" s="408" customFormat="1">
      <c r="A194" s="552">
        <f t="shared" si="44"/>
        <v>32</v>
      </c>
      <c r="B194" s="553" t="s">
        <v>1015</v>
      </c>
      <c r="C194" s="554" t="s">
        <v>615</v>
      </c>
      <c r="D194" s="555">
        <v>40</v>
      </c>
      <c r="E194" s="556"/>
      <c r="F194" s="557">
        <v>5100</v>
      </c>
      <c r="G194" s="557">
        <f t="shared" si="50"/>
        <v>204000</v>
      </c>
      <c r="H194" s="865"/>
      <c r="I194" s="174"/>
      <c r="J194" s="559"/>
    </row>
    <row r="195" spans="1:10" s="408" customFormat="1">
      <c r="A195" s="552">
        <f t="shared" si="44"/>
        <v>33</v>
      </c>
      <c r="B195" s="553" t="s">
        <v>1022</v>
      </c>
      <c r="C195" s="554" t="s">
        <v>615</v>
      </c>
      <c r="D195" s="555">
        <v>9</v>
      </c>
      <c r="E195" s="556"/>
      <c r="F195" s="557">
        <v>2250</v>
      </c>
      <c r="G195" s="557">
        <f t="shared" si="50"/>
        <v>20250</v>
      </c>
      <c r="H195" s="865"/>
      <c r="I195" s="174"/>
      <c r="J195" s="559"/>
    </row>
    <row r="196" spans="1:10" s="408" customFormat="1">
      <c r="A196" s="552">
        <f t="shared" si="44"/>
        <v>34</v>
      </c>
      <c r="B196" s="553" t="s">
        <v>1038</v>
      </c>
      <c r="C196" s="554" t="s">
        <v>615</v>
      </c>
      <c r="D196" s="555">
        <v>9</v>
      </c>
      <c r="E196" s="556">
        <f>D196</f>
        <v>9</v>
      </c>
      <c r="F196" s="557">
        <v>100575</v>
      </c>
      <c r="G196" s="557">
        <f t="shared" si="50"/>
        <v>905175</v>
      </c>
      <c r="H196" s="865"/>
      <c r="I196" s="174"/>
      <c r="J196" s="559"/>
    </row>
    <row r="197" spans="1:10" s="408" customFormat="1">
      <c r="A197" s="552">
        <f t="shared" si="44"/>
        <v>35</v>
      </c>
      <c r="B197" s="553" t="s">
        <v>1039</v>
      </c>
      <c r="C197" s="554" t="s">
        <v>615</v>
      </c>
      <c r="D197" s="555">
        <v>6</v>
      </c>
      <c r="E197" s="556">
        <f>D197+D229</f>
        <v>17</v>
      </c>
      <c r="F197" s="557">
        <v>32925</v>
      </c>
      <c r="G197" s="557">
        <f t="shared" si="50"/>
        <v>197550</v>
      </c>
      <c r="H197" s="865"/>
      <c r="I197" s="174"/>
      <c r="J197" s="559"/>
    </row>
    <row r="198" spans="1:10" s="408" customFormat="1">
      <c r="A198" s="552">
        <f t="shared" si="44"/>
        <v>36</v>
      </c>
      <c r="B198" s="553" t="s">
        <v>1040</v>
      </c>
      <c r="C198" s="554" t="s">
        <v>615</v>
      </c>
      <c r="D198" s="555">
        <v>3</v>
      </c>
      <c r="E198" s="556">
        <f>D198</f>
        <v>3</v>
      </c>
      <c r="F198" s="557">
        <v>14550</v>
      </c>
      <c r="G198" s="557">
        <f t="shared" si="50"/>
        <v>43650</v>
      </c>
      <c r="H198" s="865"/>
      <c r="I198" s="174"/>
      <c r="J198" s="559"/>
    </row>
    <row r="199" spans="1:10" s="408" customFormat="1">
      <c r="A199" s="552">
        <f t="shared" si="44"/>
        <v>37</v>
      </c>
      <c r="B199" s="553" t="s">
        <v>1041</v>
      </c>
      <c r="C199" s="554" t="s">
        <v>615</v>
      </c>
      <c r="D199" s="555">
        <v>5</v>
      </c>
      <c r="E199" s="556">
        <f>D199+D231</f>
        <v>7</v>
      </c>
      <c r="F199" s="557">
        <v>61275</v>
      </c>
      <c r="G199" s="557">
        <f t="shared" si="50"/>
        <v>306375</v>
      </c>
      <c r="H199" s="865"/>
      <c r="I199" s="174"/>
      <c r="J199" s="559"/>
    </row>
    <row r="200" spans="1:10" s="408" customFormat="1">
      <c r="A200" s="552">
        <f t="shared" si="44"/>
        <v>38</v>
      </c>
      <c r="B200" s="553" t="s">
        <v>1042</v>
      </c>
      <c r="C200" s="554" t="s">
        <v>615</v>
      </c>
      <c r="D200" s="555">
        <v>1</v>
      </c>
      <c r="E200" s="556">
        <f>D200</f>
        <v>1</v>
      </c>
      <c r="F200" s="557">
        <v>173400</v>
      </c>
      <c r="G200" s="557">
        <f t="shared" si="50"/>
        <v>173400</v>
      </c>
      <c r="H200" s="865"/>
      <c r="I200" s="174"/>
      <c r="J200" s="559"/>
    </row>
    <row r="201" spans="1:10" s="408" customFormat="1">
      <c r="A201" s="552">
        <f t="shared" si="44"/>
        <v>39</v>
      </c>
      <c r="B201" s="553" t="s">
        <v>1043</v>
      </c>
      <c r="C201" s="554" t="s">
        <v>615</v>
      </c>
      <c r="D201" s="555">
        <v>3</v>
      </c>
      <c r="E201" s="556">
        <f>D201</f>
        <v>3</v>
      </c>
      <c r="F201" s="557">
        <v>51450</v>
      </c>
      <c r="G201" s="557">
        <f t="shared" si="50"/>
        <v>154350</v>
      </c>
      <c r="H201" s="865"/>
      <c r="I201" s="174"/>
      <c r="J201" s="559"/>
    </row>
    <row r="202" spans="1:10" s="408" customFormat="1">
      <c r="A202" s="552">
        <f t="shared" si="44"/>
        <v>40</v>
      </c>
      <c r="B202" s="553" t="s">
        <v>1044</v>
      </c>
      <c r="C202" s="554" t="s">
        <v>615</v>
      </c>
      <c r="D202" s="555">
        <v>6</v>
      </c>
      <c r="E202" s="556">
        <f>D202</f>
        <v>6</v>
      </c>
      <c r="F202" s="557">
        <v>27150</v>
      </c>
      <c r="G202" s="557">
        <f t="shared" ref="G202:G211" si="51">F202*D202</f>
        <v>162900</v>
      </c>
      <c r="H202" s="865"/>
      <c r="I202" s="174"/>
      <c r="J202" s="559"/>
    </row>
    <row r="203" spans="1:10" s="408" customFormat="1">
      <c r="A203" s="552">
        <f t="shared" si="44"/>
        <v>41</v>
      </c>
      <c r="B203" s="553" t="s">
        <v>1045</v>
      </c>
      <c r="C203" s="554" t="s">
        <v>615</v>
      </c>
      <c r="D203" s="555">
        <v>6</v>
      </c>
      <c r="E203" s="556">
        <f>D203</f>
        <v>6</v>
      </c>
      <c r="F203" s="557">
        <v>9225</v>
      </c>
      <c r="G203" s="557">
        <f t="shared" si="51"/>
        <v>55350</v>
      </c>
      <c r="H203" s="865"/>
      <c r="I203" s="174"/>
      <c r="J203" s="559"/>
    </row>
    <row r="204" spans="1:10" s="408" customFormat="1">
      <c r="A204" s="552">
        <f t="shared" si="44"/>
        <v>42</v>
      </c>
      <c r="B204" s="553" t="s">
        <v>1046</v>
      </c>
      <c r="C204" s="554" t="s">
        <v>615</v>
      </c>
      <c r="D204" s="555">
        <v>6</v>
      </c>
      <c r="E204" s="556">
        <f>D204</f>
        <v>6</v>
      </c>
      <c r="F204" s="557">
        <v>10350</v>
      </c>
      <c r="G204" s="557">
        <f t="shared" si="51"/>
        <v>62100</v>
      </c>
      <c r="H204" s="865"/>
      <c r="I204" s="174"/>
      <c r="J204" s="559"/>
    </row>
    <row r="205" spans="1:10" s="408" customFormat="1">
      <c r="A205" s="552">
        <f t="shared" si="44"/>
        <v>43</v>
      </c>
      <c r="B205" s="553" t="s">
        <v>1016</v>
      </c>
      <c r="C205" s="554" t="s">
        <v>615</v>
      </c>
      <c r="D205" s="555">
        <v>2</v>
      </c>
      <c r="E205" s="556"/>
      <c r="F205" s="557">
        <v>7875</v>
      </c>
      <c r="G205" s="557">
        <f t="shared" si="51"/>
        <v>15750</v>
      </c>
      <c r="H205" s="865"/>
      <c r="I205" s="174"/>
      <c r="J205" s="559"/>
    </row>
    <row r="206" spans="1:10" s="408" customFormat="1">
      <c r="A206" s="552">
        <f t="shared" si="44"/>
        <v>44</v>
      </c>
      <c r="B206" s="553" t="s">
        <v>1047</v>
      </c>
      <c r="C206" s="554" t="s">
        <v>615</v>
      </c>
      <c r="D206" s="555">
        <v>9</v>
      </c>
      <c r="E206" s="556"/>
      <c r="F206" s="557">
        <v>3000</v>
      </c>
      <c r="G206" s="557">
        <f t="shared" si="51"/>
        <v>27000</v>
      </c>
      <c r="H206" s="865"/>
      <c r="I206" s="174"/>
      <c r="J206" s="559"/>
    </row>
    <row r="207" spans="1:10" s="408" customFormat="1">
      <c r="A207" s="552">
        <f t="shared" si="44"/>
        <v>45</v>
      </c>
      <c r="B207" s="553" t="s">
        <v>1048</v>
      </c>
      <c r="C207" s="554" t="s">
        <v>615</v>
      </c>
      <c r="D207" s="555">
        <v>20</v>
      </c>
      <c r="E207" s="556">
        <f>D207</f>
        <v>20</v>
      </c>
      <c r="F207" s="557">
        <v>5925</v>
      </c>
      <c r="G207" s="557">
        <f t="shared" si="51"/>
        <v>118500</v>
      </c>
      <c r="H207" s="865"/>
      <c r="I207" s="174"/>
      <c r="J207" s="559"/>
    </row>
    <row r="208" spans="1:10" s="408" customFormat="1">
      <c r="A208" s="552">
        <f t="shared" si="44"/>
        <v>46</v>
      </c>
      <c r="B208" s="553" t="s">
        <v>1049</v>
      </c>
      <c r="C208" s="554" t="s">
        <v>615</v>
      </c>
      <c r="D208" s="555">
        <v>6</v>
      </c>
      <c r="E208" s="556">
        <f>D208</f>
        <v>6</v>
      </c>
      <c r="F208" s="557">
        <v>2475</v>
      </c>
      <c r="G208" s="557">
        <f t="shared" si="51"/>
        <v>14850</v>
      </c>
      <c r="H208" s="865"/>
      <c r="I208" s="174"/>
      <c r="J208" s="559"/>
    </row>
    <row r="209" spans="1:10" s="408" customFormat="1">
      <c r="A209" s="552">
        <f t="shared" si="44"/>
        <v>47</v>
      </c>
      <c r="B209" s="553" t="s">
        <v>1050</v>
      </c>
      <c r="C209" s="554" t="s">
        <v>615</v>
      </c>
      <c r="D209" s="555">
        <v>1</v>
      </c>
      <c r="E209" s="556">
        <f>D209</f>
        <v>1</v>
      </c>
      <c r="F209" s="557">
        <v>17925</v>
      </c>
      <c r="G209" s="557">
        <f t="shared" si="51"/>
        <v>17925</v>
      </c>
      <c r="H209" s="865"/>
      <c r="I209" s="174"/>
      <c r="J209" s="559"/>
    </row>
    <row r="210" spans="1:10" s="408" customFormat="1">
      <c r="A210" s="552">
        <f t="shared" si="44"/>
        <v>48</v>
      </c>
      <c r="B210" s="553" t="s">
        <v>1051</v>
      </c>
      <c r="C210" s="554" t="s">
        <v>615</v>
      </c>
      <c r="D210" s="555">
        <v>12</v>
      </c>
      <c r="E210" s="556"/>
      <c r="F210" s="557">
        <v>1425</v>
      </c>
      <c r="G210" s="557">
        <f t="shared" si="51"/>
        <v>17100</v>
      </c>
      <c r="H210" s="865"/>
      <c r="I210" s="174"/>
      <c r="J210" s="559"/>
    </row>
    <row r="211" spans="1:10" s="408" customFormat="1">
      <c r="A211" s="552">
        <f t="shared" si="44"/>
        <v>49</v>
      </c>
      <c r="B211" s="553" t="s">
        <v>1052</v>
      </c>
      <c r="C211" s="554" t="s">
        <v>615</v>
      </c>
      <c r="D211" s="555">
        <v>9</v>
      </c>
      <c r="E211" s="556"/>
      <c r="F211" s="557">
        <v>1950</v>
      </c>
      <c r="G211" s="557">
        <f t="shared" si="51"/>
        <v>17550</v>
      </c>
      <c r="H211" s="865"/>
      <c r="I211" s="174"/>
      <c r="J211" s="559"/>
    </row>
    <row r="212" spans="1:10" s="408" customFormat="1">
      <c r="A212" s="552">
        <f t="shared" si="44"/>
        <v>50</v>
      </c>
      <c r="B212" s="553" t="s">
        <v>1053</v>
      </c>
      <c r="C212" s="554" t="s">
        <v>615</v>
      </c>
      <c r="D212" s="555">
        <v>6</v>
      </c>
      <c r="E212" s="556"/>
      <c r="F212" s="557">
        <v>7200</v>
      </c>
      <c r="G212" s="557">
        <f t="shared" si="49"/>
        <v>43200</v>
      </c>
      <c r="H212" s="865"/>
      <c r="I212" s="174"/>
      <c r="J212" s="559"/>
    </row>
    <row r="213" spans="1:10" s="408" customFormat="1">
      <c r="A213" s="552">
        <f t="shared" si="44"/>
        <v>51</v>
      </c>
      <c r="B213" s="553" t="s">
        <v>1018</v>
      </c>
      <c r="C213" s="554" t="s">
        <v>615</v>
      </c>
      <c r="D213" s="555">
        <v>6</v>
      </c>
      <c r="E213" s="556"/>
      <c r="F213" s="557">
        <v>3950</v>
      </c>
      <c r="G213" s="557">
        <f t="shared" si="49"/>
        <v>23700</v>
      </c>
      <c r="H213" s="865"/>
      <c r="I213" s="174"/>
      <c r="J213" s="559"/>
    </row>
    <row r="214" spans="1:10" s="408" customFormat="1">
      <c r="A214" s="552">
        <f t="shared" si="44"/>
        <v>52</v>
      </c>
      <c r="B214" s="553" t="s">
        <v>1054</v>
      </c>
      <c r="C214" s="554" t="s">
        <v>615</v>
      </c>
      <c r="D214" s="555">
        <v>3</v>
      </c>
      <c r="E214" s="556"/>
      <c r="F214" s="557">
        <v>8925</v>
      </c>
      <c r="G214" s="557">
        <f t="shared" si="49"/>
        <v>26775</v>
      </c>
      <c r="H214" s="865"/>
      <c r="I214" s="174"/>
      <c r="J214" s="559"/>
    </row>
    <row r="215" spans="1:10" s="408" customFormat="1">
      <c r="A215" s="552">
        <f t="shared" si="44"/>
        <v>53</v>
      </c>
      <c r="B215" s="553" t="s">
        <v>1055</v>
      </c>
      <c r="C215" s="554" t="s">
        <v>615</v>
      </c>
      <c r="D215" s="555">
        <v>4</v>
      </c>
      <c r="E215" s="556"/>
      <c r="F215" s="557">
        <v>17250</v>
      </c>
      <c r="G215" s="557">
        <f t="shared" si="49"/>
        <v>69000</v>
      </c>
      <c r="H215" s="865"/>
      <c r="I215" s="174"/>
      <c r="J215" s="559"/>
    </row>
    <row r="216" spans="1:10" s="408" customFormat="1">
      <c r="A216" s="552">
        <f t="shared" si="44"/>
        <v>54</v>
      </c>
      <c r="B216" s="553" t="s">
        <v>1056</v>
      </c>
      <c r="C216" s="554" t="s">
        <v>615</v>
      </c>
      <c r="D216" s="555">
        <v>1</v>
      </c>
      <c r="E216" s="556">
        <f t="shared" ref="E216:E223" si="52">D216</f>
        <v>1</v>
      </c>
      <c r="F216" s="557">
        <v>154200</v>
      </c>
      <c r="G216" s="557">
        <f t="shared" si="49"/>
        <v>154200</v>
      </c>
      <c r="H216" s="865"/>
      <c r="I216" s="174"/>
      <c r="J216" s="559"/>
    </row>
    <row r="217" spans="1:10" s="408" customFormat="1">
      <c r="A217" s="552">
        <f t="shared" si="44"/>
        <v>55</v>
      </c>
      <c r="B217" s="553" t="s">
        <v>1057</v>
      </c>
      <c r="C217" s="554" t="s">
        <v>615</v>
      </c>
      <c r="D217" s="555">
        <v>7</v>
      </c>
      <c r="E217" s="556">
        <f t="shared" si="52"/>
        <v>7</v>
      </c>
      <c r="F217" s="557">
        <v>28575</v>
      </c>
      <c r="G217" s="557">
        <f t="shared" si="47"/>
        <v>200025</v>
      </c>
      <c r="H217" s="865"/>
      <c r="I217" s="174"/>
      <c r="J217" s="559"/>
    </row>
    <row r="218" spans="1:10" s="408" customFormat="1">
      <c r="A218" s="552">
        <f t="shared" si="44"/>
        <v>56</v>
      </c>
      <c r="B218" s="553" t="s">
        <v>1058</v>
      </c>
      <c r="C218" s="554" t="s">
        <v>615</v>
      </c>
      <c r="D218" s="555">
        <v>4</v>
      </c>
      <c r="E218" s="556">
        <f t="shared" si="52"/>
        <v>4</v>
      </c>
      <c r="F218" s="557">
        <v>19200</v>
      </c>
      <c r="G218" s="557">
        <f t="shared" si="46"/>
        <v>76800</v>
      </c>
      <c r="H218" s="865"/>
      <c r="I218" s="174"/>
      <c r="J218" s="559"/>
    </row>
    <row r="219" spans="1:10" s="408" customFormat="1">
      <c r="A219" s="552">
        <f t="shared" si="44"/>
        <v>57</v>
      </c>
      <c r="B219" s="553" t="s">
        <v>1059</v>
      </c>
      <c r="C219" s="554" t="s">
        <v>615</v>
      </c>
      <c r="D219" s="555">
        <v>12</v>
      </c>
      <c r="E219" s="556">
        <f t="shared" si="52"/>
        <v>12</v>
      </c>
      <c r="F219" s="557">
        <v>18450</v>
      </c>
      <c r="G219" s="557">
        <f t="shared" ref="G219" si="53">F219*D219</f>
        <v>221400</v>
      </c>
      <c r="H219" s="865"/>
      <c r="I219" s="174"/>
      <c r="J219" s="559"/>
    </row>
    <row r="220" spans="1:10" s="408" customFormat="1">
      <c r="A220" s="552">
        <f t="shared" si="44"/>
        <v>58</v>
      </c>
      <c r="B220" s="553" t="s">
        <v>1060</v>
      </c>
      <c r="C220" s="554" t="s">
        <v>615</v>
      </c>
      <c r="D220" s="555">
        <v>2</v>
      </c>
      <c r="E220" s="556">
        <f t="shared" si="52"/>
        <v>2</v>
      </c>
      <c r="F220" s="557">
        <v>163800</v>
      </c>
      <c r="G220" s="557">
        <f t="shared" ref="G220:G231" si="54">F220*D220</f>
        <v>327600</v>
      </c>
      <c r="H220" s="865"/>
      <c r="I220" s="174"/>
      <c r="J220" s="559"/>
    </row>
    <row r="221" spans="1:10" s="408" customFormat="1">
      <c r="A221" s="552">
        <f t="shared" si="44"/>
        <v>59</v>
      </c>
      <c r="B221" s="553" t="s">
        <v>1061</v>
      </c>
      <c r="C221" s="554" t="s">
        <v>615</v>
      </c>
      <c r="D221" s="555">
        <v>6</v>
      </c>
      <c r="E221" s="556">
        <f t="shared" si="52"/>
        <v>6</v>
      </c>
      <c r="F221" s="557">
        <v>9975</v>
      </c>
      <c r="G221" s="557">
        <f t="shared" si="54"/>
        <v>59850</v>
      </c>
      <c r="H221" s="865"/>
      <c r="I221" s="174"/>
      <c r="J221" s="559"/>
    </row>
    <row r="222" spans="1:10" s="408" customFormat="1">
      <c r="A222" s="552">
        <f t="shared" si="44"/>
        <v>60</v>
      </c>
      <c r="B222" s="553" t="s">
        <v>1062</v>
      </c>
      <c r="C222" s="554" t="s">
        <v>615</v>
      </c>
      <c r="D222" s="555">
        <v>3</v>
      </c>
      <c r="E222" s="556">
        <f t="shared" si="52"/>
        <v>3</v>
      </c>
      <c r="F222" s="557">
        <v>10350</v>
      </c>
      <c r="G222" s="557">
        <f t="shared" si="54"/>
        <v>31050</v>
      </c>
      <c r="H222" s="865"/>
      <c r="I222" s="174"/>
      <c r="J222" s="559"/>
    </row>
    <row r="223" spans="1:10" s="408" customFormat="1">
      <c r="A223" s="552">
        <f t="shared" si="44"/>
        <v>61</v>
      </c>
      <c r="B223" s="553" t="s">
        <v>1063</v>
      </c>
      <c r="C223" s="554" t="s">
        <v>615</v>
      </c>
      <c r="D223" s="555">
        <v>6</v>
      </c>
      <c r="E223" s="556">
        <f t="shared" si="52"/>
        <v>6</v>
      </c>
      <c r="F223" s="557">
        <v>9900</v>
      </c>
      <c r="G223" s="557">
        <f t="shared" si="54"/>
        <v>59400</v>
      </c>
      <c r="H223" s="866"/>
      <c r="I223" s="174"/>
      <c r="J223" s="559"/>
    </row>
    <row r="224" spans="1:10" s="408" customFormat="1">
      <c r="A224" s="552">
        <f t="shared" si="44"/>
        <v>62</v>
      </c>
      <c r="B224" s="553" t="s">
        <v>1010</v>
      </c>
      <c r="C224" s="554" t="s">
        <v>362</v>
      </c>
      <c r="D224" s="555">
        <v>3</v>
      </c>
      <c r="E224" s="556"/>
      <c r="F224" s="557">
        <v>106875</v>
      </c>
      <c r="G224" s="557">
        <f t="shared" si="54"/>
        <v>320625</v>
      </c>
      <c r="H224" s="558" t="s">
        <v>433</v>
      </c>
      <c r="I224" s="174"/>
      <c r="J224" s="559"/>
    </row>
    <row r="225" spans="1:23" s="749" customFormat="1" ht="18" customHeight="1">
      <c r="A225" s="552">
        <f t="shared" si="44"/>
        <v>63</v>
      </c>
      <c r="B225" s="745" t="s">
        <v>1064</v>
      </c>
      <c r="C225" s="746" t="s">
        <v>303</v>
      </c>
      <c r="D225" s="747">
        <v>300</v>
      </c>
      <c r="E225" s="747"/>
      <c r="F225" s="748">
        <v>20819</v>
      </c>
      <c r="G225" s="748">
        <f t="shared" ref="G225" si="55">F225*D225</f>
        <v>6245700</v>
      </c>
      <c r="H225" s="864" t="s">
        <v>434</v>
      </c>
      <c r="I225" s="551"/>
      <c r="J225" s="559"/>
    </row>
    <row r="226" spans="1:23" s="408" customFormat="1">
      <c r="A226" s="552">
        <f t="shared" si="44"/>
        <v>64</v>
      </c>
      <c r="B226" s="553" t="s">
        <v>1065</v>
      </c>
      <c r="C226" s="554" t="s">
        <v>615</v>
      </c>
      <c r="D226" s="555">
        <v>600</v>
      </c>
      <c r="E226" s="556"/>
      <c r="F226" s="557">
        <v>1273</v>
      </c>
      <c r="G226" s="557">
        <f t="shared" ref="G226:G230" si="56">F226*D226</f>
        <v>763800</v>
      </c>
      <c r="H226" s="866"/>
      <c r="I226" s="174"/>
      <c r="J226" s="559"/>
    </row>
    <row r="227" spans="1:23" s="408" customFormat="1" ht="24">
      <c r="A227" s="552">
        <f t="shared" si="44"/>
        <v>65</v>
      </c>
      <c r="B227" s="553" t="s">
        <v>1014</v>
      </c>
      <c r="C227" s="554" t="s">
        <v>303</v>
      </c>
      <c r="D227" s="555">
        <v>6</v>
      </c>
      <c r="E227" s="556"/>
      <c r="F227" s="557">
        <v>38192</v>
      </c>
      <c r="G227" s="557">
        <f t="shared" si="56"/>
        <v>229152</v>
      </c>
      <c r="H227" s="864" t="s">
        <v>435</v>
      </c>
      <c r="I227" s="174"/>
      <c r="J227" s="559"/>
    </row>
    <row r="228" spans="1:23" s="408" customFormat="1" ht="24">
      <c r="A228" s="552">
        <f t="shared" si="44"/>
        <v>66</v>
      </c>
      <c r="B228" s="553" t="s">
        <v>1031</v>
      </c>
      <c r="C228" s="554" t="s">
        <v>303</v>
      </c>
      <c r="D228" s="555">
        <v>2</v>
      </c>
      <c r="E228" s="556"/>
      <c r="F228" s="557">
        <v>212212</v>
      </c>
      <c r="G228" s="557">
        <f t="shared" si="56"/>
        <v>424424</v>
      </c>
      <c r="H228" s="865"/>
      <c r="I228" s="174"/>
      <c r="J228" s="559"/>
    </row>
    <row r="229" spans="1:23" s="408" customFormat="1">
      <c r="A229" s="552">
        <f t="shared" ref="A229:A231" si="57">A228+1</f>
        <v>67</v>
      </c>
      <c r="B229" s="553" t="s">
        <v>1039</v>
      </c>
      <c r="C229" s="554" t="s">
        <v>615</v>
      </c>
      <c r="D229" s="555">
        <v>11</v>
      </c>
      <c r="E229" s="556"/>
      <c r="F229" s="557">
        <v>32925</v>
      </c>
      <c r="G229" s="557">
        <f t="shared" si="56"/>
        <v>362175</v>
      </c>
      <c r="H229" s="865"/>
      <c r="I229" s="174"/>
      <c r="J229" s="559"/>
    </row>
    <row r="230" spans="1:23" s="408" customFormat="1">
      <c r="A230" s="552">
        <f t="shared" si="57"/>
        <v>68</v>
      </c>
      <c r="B230" s="553" t="s">
        <v>1054</v>
      </c>
      <c r="C230" s="554" t="s">
        <v>615</v>
      </c>
      <c r="D230" s="555">
        <v>3</v>
      </c>
      <c r="E230" s="556"/>
      <c r="F230" s="557">
        <v>8925</v>
      </c>
      <c r="G230" s="557">
        <f t="shared" si="56"/>
        <v>26775</v>
      </c>
      <c r="H230" s="865"/>
      <c r="I230" s="174"/>
      <c r="J230" s="559"/>
    </row>
    <row r="231" spans="1:23" s="408" customFormat="1">
      <c r="A231" s="552">
        <f t="shared" si="57"/>
        <v>69</v>
      </c>
      <c r="B231" s="553" t="s">
        <v>1041</v>
      </c>
      <c r="C231" s="554" t="s">
        <v>615</v>
      </c>
      <c r="D231" s="555">
        <v>2</v>
      </c>
      <c r="E231" s="556"/>
      <c r="F231" s="557">
        <v>61275</v>
      </c>
      <c r="G231" s="557">
        <f t="shared" si="54"/>
        <v>122550</v>
      </c>
      <c r="H231" s="866"/>
      <c r="I231" s="174"/>
      <c r="J231" s="559"/>
    </row>
    <row r="232" spans="1:23">
      <c r="A232" s="168"/>
      <c r="B232" s="169"/>
      <c r="C232" s="173"/>
      <c r="D232" s="208"/>
      <c r="E232" s="400"/>
      <c r="F232" s="170"/>
      <c r="G232" s="170"/>
      <c r="H232" s="199"/>
      <c r="I232" s="174"/>
      <c r="J232" s="547"/>
    </row>
    <row r="233" spans="1:23" s="185" customFormat="1">
      <c r="A233" s="180"/>
      <c r="B233" s="181" t="s">
        <v>264</v>
      </c>
      <c r="C233" s="180"/>
      <c r="D233" s="182"/>
      <c r="E233" s="545"/>
      <c r="F233" s="182"/>
      <c r="G233" s="183">
        <f>SUM(G4:G232)</f>
        <v>3040498233.6026487</v>
      </c>
      <c r="H233" s="180"/>
      <c r="I233" s="184"/>
      <c r="J233" s="183"/>
    </row>
    <row r="234" spans="1:23" s="188" customFormat="1">
      <c r="A234" s="180"/>
      <c r="B234" s="181" t="s">
        <v>265</v>
      </c>
      <c r="C234" s="180"/>
      <c r="D234" s="182"/>
      <c r="E234" s="545"/>
      <c r="F234" s="182"/>
      <c r="G234" s="183">
        <f>G233*0.1</f>
        <v>304049823.3602649</v>
      </c>
      <c r="H234" s="180"/>
      <c r="I234" s="186"/>
      <c r="J234" s="183"/>
      <c r="K234" s="187"/>
      <c r="L234" s="187"/>
      <c r="M234" s="187"/>
      <c r="N234" s="187"/>
      <c r="O234" s="187"/>
      <c r="P234" s="187"/>
      <c r="Q234" s="187"/>
      <c r="R234" s="187"/>
      <c r="S234" s="187"/>
      <c r="T234" s="187"/>
      <c r="U234" s="187"/>
      <c r="V234" s="187"/>
      <c r="W234" s="187"/>
    </row>
    <row r="235" spans="1:23" s="188" customFormat="1">
      <c r="A235" s="180"/>
      <c r="B235" s="181" t="s">
        <v>266</v>
      </c>
      <c r="C235" s="180"/>
      <c r="D235" s="182"/>
      <c r="E235" s="545"/>
      <c r="F235" s="182"/>
      <c r="G235" s="183">
        <f>G233+G234</f>
        <v>3344548056.9629135</v>
      </c>
      <c r="H235" s="180"/>
      <c r="I235" s="186"/>
      <c r="J235" s="183"/>
      <c r="K235" s="187"/>
      <c r="L235" s="187"/>
      <c r="M235" s="187"/>
      <c r="N235" s="187"/>
      <c r="O235" s="187"/>
      <c r="P235" s="187"/>
      <c r="Q235" s="187"/>
      <c r="R235" s="187"/>
      <c r="S235" s="187"/>
      <c r="T235" s="187"/>
      <c r="U235" s="187"/>
      <c r="V235" s="187"/>
      <c r="W235" s="187"/>
    </row>
    <row r="236" spans="1:23">
      <c r="G236" s="189"/>
    </row>
    <row r="237" spans="1:23">
      <c r="G237" s="192"/>
    </row>
    <row r="238" spans="1:23" s="190" customFormat="1">
      <c r="A238"/>
      <c r="B238"/>
      <c r="C238"/>
      <c r="D238"/>
      <c r="E238" s="402"/>
      <c r="F238"/>
      <c r="G238"/>
      <c r="I238" s="191"/>
      <c r="J238" s="265"/>
      <c r="K238"/>
      <c r="L238"/>
      <c r="M238"/>
      <c r="N238"/>
      <c r="O238"/>
      <c r="P238"/>
      <c r="Q238"/>
      <c r="R238"/>
      <c r="S238"/>
      <c r="T238"/>
      <c r="U238"/>
      <c r="V238"/>
      <c r="W238"/>
    </row>
    <row r="239" spans="1:23" s="190" customFormat="1">
      <c r="A239"/>
      <c r="B239"/>
      <c r="C239"/>
      <c r="D239"/>
      <c r="E239" s="402"/>
      <c r="F239"/>
      <c r="G239"/>
      <c r="I239" s="191"/>
      <c r="J239" s="265"/>
      <c r="K239"/>
      <c r="L239"/>
      <c r="M239"/>
      <c r="N239"/>
      <c r="O239"/>
      <c r="P239"/>
      <c r="Q239"/>
      <c r="R239"/>
      <c r="S239"/>
      <c r="T239"/>
      <c r="U239"/>
      <c r="V239"/>
      <c r="W239"/>
    </row>
    <row r="492" spans="15:15">
      <c r="O492" s="564">
        <f>'TK VAT TU Hoa Sen'!E14</f>
        <v>0</v>
      </c>
    </row>
  </sheetData>
  <mergeCells count="36">
    <mergeCell ref="H150:H152"/>
    <mergeCell ref="H39:H40"/>
    <mergeCell ref="H49:H50"/>
    <mergeCell ref="H51:H52"/>
    <mergeCell ref="H42:H43"/>
    <mergeCell ref="H44:H45"/>
    <mergeCell ref="H70:H71"/>
    <mergeCell ref="H68:H69"/>
    <mergeCell ref="H95:H107"/>
    <mergeCell ref="H114:H116"/>
    <mergeCell ref="H126:H134"/>
    <mergeCell ref="H148:H149"/>
    <mergeCell ref="H144:H145"/>
    <mergeCell ref="H74:H76"/>
    <mergeCell ref="H78:H80"/>
    <mergeCell ref="H88:H90"/>
    <mergeCell ref="A1:J1"/>
    <mergeCell ref="A2:J2"/>
    <mergeCell ref="H6:H7"/>
    <mergeCell ref="H54:H67"/>
    <mergeCell ref="H10:H11"/>
    <mergeCell ref="H28:H29"/>
    <mergeCell ref="H15:H18"/>
    <mergeCell ref="H20:H21"/>
    <mergeCell ref="H81:H83"/>
    <mergeCell ref="H84:H86"/>
    <mergeCell ref="H119:H120"/>
    <mergeCell ref="H135:H140"/>
    <mergeCell ref="H141:H142"/>
    <mergeCell ref="H91:H93"/>
    <mergeCell ref="H121:H124"/>
    <mergeCell ref="H164:H181"/>
    <mergeCell ref="H227:H231"/>
    <mergeCell ref="H225:H226"/>
    <mergeCell ref="H182:H223"/>
    <mergeCell ref="H153:H155"/>
  </mergeCells>
  <printOptions horizontalCentered="1"/>
  <pageMargins left="0.70866141732283472" right="0.51181102362204722" top="0.55118110236220474" bottom="0.55118110236220474" header="0.31496062992125984" footer="0.31496062992125984"/>
  <pageSetup paperSize="9" scale="85" orientation="landscape" r:id="rId1"/>
  <colBreaks count="1" manualBreakCount="1">
    <brk id="10"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4"/>
  <sheetViews>
    <sheetView view="pageBreakPreview" zoomScale="80" zoomScaleNormal="100" zoomScaleSheetLayoutView="80" workbookViewId="0">
      <selection activeCell="H21" sqref="H21"/>
    </sheetView>
  </sheetViews>
  <sheetFormatPr defaultColWidth="8.85546875" defaultRowHeight="12.75"/>
  <cols>
    <col min="1" max="1" width="5.42578125" style="10" customWidth="1"/>
    <col min="2" max="2" width="51.28515625" style="19" customWidth="1"/>
    <col min="3" max="3" width="7.85546875" style="4" customWidth="1"/>
    <col min="4" max="4" width="12.85546875" style="424" customWidth="1"/>
    <col min="5" max="5" width="14.28515625" style="75" customWidth="1"/>
    <col min="6" max="6" width="16.5703125" style="75" customWidth="1"/>
    <col min="7" max="7" width="13.28515625" style="7" customWidth="1"/>
    <col min="8" max="8" width="14.28515625" style="7" customWidth="1"/>
    <col min="9" max="9" width="14.5703125" style="7" hidden="1" customWidth="1"/>
    <col min="10" max="10" width="17.28515625" style="7" customWidth="1"/>
    <col min="11" max="12" width="16.7109375" style="7" customWidth="1"/>
    <col min="13" max="13" width="15.28515625" style="9" customWidth="1"/>
    <col min="14" max="14" width="15" style="9" customWidth="1"/>
    <col min="15" max="15" width="11.140625" style="11" customWidth="1"/>
    <col min="16" max="16384" width="8.85546875" style="5"/>
  </cols>
  <sheetData>
    <row r="1" spans="1:15" s="1" customFormat="1" ht="18.75">
      <c r="A1" s="836" t="s">
        <v>50</v>
      </c>
      <c r="B1" s="836"/>
      <c r="C1" s="836"/>
      <c r="D1" s="836"/>
      <c r="E1" s="836"/>
      <c r="F1" s="836"/>
      <c r="G1" s="836"/>
      <c r="H1" s="836"/>
      <c r="I1" s="836"/>
      <c r="J1" s="836"/>
      <c r="K1" s="836"/>
      <c r="L1" s="836"/>
      <c r="M1" s="836"/>
      <c r="N1" s="836"/>
      <c r="O1" s="836"/>
    </row>
    <row r="2" spans="1:15" s="1" customFormat="1" ht="15.75">
      <c r="A2" s="854" t="str">
        <f>'PL SOAT XET'!A2:AC2</f>
        <v>CÔNG TRÌNH : THI CÔNG ………………</v>
      </c>
      <c r="B2" s="854"/>
      <c r="C2" s="854"/>
      <c r="D2" s="854"/>
      <c r="E2" s="854"/>
      <c r="F2" s="854"/>
      <c r="G2" s="854"/>
      <c r="H2" s="854"/>
      <c r="I2" s="854"/>
      <c r="J2" s="854"/>
      <c r="K2" s="854"/>
      <c r="L2" s="854"/>
      <c r="M2" s="854"/>
      <c r="N2" s="854"/>
      <c r="O2" s="854"/>
    </row>
    <row r="3" spans="1:15" s="1" customFormat="1" ht="15.75">
      <c r="A3" s="854" t="str">
        <f>'PL SOAT XET'!A3:AC3</f>
        <v>ĐỊA ĐIỂM: ………………</v>
      </c>
      <c r="B3" s="854"/>
      <c r="C3" s="854"/>
      <c r="D3" s="854"/>
      <c r="E3" s="854"/>
      <c r="F3" s="854"/>
      <c r="G3" s="854"/>
      <c r="H3" s="854"/>
      <c r="I3" s="854"/>
      <c r="J3" s="854"/>
      <c r="K3" s="854"/>
      <c r="L3" s="854"/>
      <c r="M3" s="854"/>
      <c r="N3" s="854"/>
      <c r="O3" s="854"/>
    </row>
    <row r="4" spans="1:15" s="2" customFormat="1" ht="15.75">
      <c r="A4" s="854" t="str">
        <f>'PL SOAT XET'!A4:AC4</f>
        <v>SỐ HỢP ĐỒNG: …………………</v>
      </c>
      <c r="B4" s="854"/>
      <c r="C4" s="854"/>
      <c r="D4" s="854"/>
      <c r="E4" s="854"/>
      <c r="F4" s="854"/>
      <c r="G4" s="854"/>
      <c r="H4" s="854"/>
      <c r="I4" s="854"/>
      <c r="J4" s="854"/>
      <c r="K4" s="854"/>
      <c r="L4" s="854"/>
      <c r="M4" s="854"/>
      <c r="N4" s="854"/>
      <c r="O4" s="854"/>
    </row>
    <row r="5" spans="1:15" s="47" customFormat="1" ht="18" customHeight="1">
      <c r="A5" s="844" t="s">
        <v>11</v>
      </c>
      <c r="B5" s="845" t="s">
        <v>30</v>
      </c>
      <c r="C5" s="846" t="s">
        <v>33</v>
      </c>
      <c r="D5" s="850" t="s">
        <v>34</v>
      </c>
      <c r="E5" s="851"/>
      <c r="F5" s="852"/>
      <c r="G5" s="847" t="s">
        <v>36</v>
      </c>
      <c r="H5" s="847"/>
      <c r="I5" s="847"/>
      <c r="J5" s="848" t="s">
        <v>40</v>
      </c>
      <c r="K5" s="853"/>
      <c r="L5" s="849"/>
      <c r="M5" s="839" t="s">
        <v>31</v>
      </c>
      <c r="N5" s="839" t="s">
        <v>83</v>
      </c>
      <c r="O5" s="840" t="s">
        <v>32</v>
      </c>
    </row>
    <row r="6" spans="1:15" s="47" customFormat="1" ht="37.5" customHeight="1">
      <c r="A6" s="844"/>
      <c r="B6" s="845"/>
      <c r="C6" s="846"/>
      <c r="D6" s="416" t="s">
        <v>932</v>
      </c>
      <c r="E6" s="107" t="s">
        <v>35</v>
      </c>
      <c r="F6" s="816" t="s">
        <v>1771</v>
      </c>
      <c r="G6" s="122" t="s">
        <v>37</v>
      </c>
      <c r="H6" s="122" t="s">
        <v>38</v>
      </c>
      <c r="I6" s="122" t="s">
        <v>39</v>
      </c>
      <c r="J6" s="397" t="s">
        <v>932</v>
      </c>
      <c r="K6" s="122" t="s">
        <v>35</v>
      </c>
      <c r="L6" s="816" t="s">
        <v>1771</v>
      </c>
      <c r="M6" s="839"/>
      <c r="N6" s="839"/>
      <c r="O6" s="840"/>
    </row>
    <row r="7" spans="1:15" s="66" customFormat="1">
      <c r="A7" s="134" t="s">
        <v>8</v>
      </c>
      <c r="B7" s="135" t="s">
        <v>105</v>
      </c>
      <c r="C7" s="136"/>
      <c r="D7" s="418"/>
      <c r="E7" s="137"/>
      <c r="F7" s="752"/>
      <c r="G7" s="138"/>
      <c r="H7" s="138"/>
      <c r="I7" s="138"/>
      <c r="J7" s="138">
        <f>SUBTOTAL(9,J8:J18)</f>
        <v>740146589.18142426</v>
      </c>
      <c r="K7" s="138" t="e">
        <f>SUBTOTAL(9,K8:K18)</f>
        <v>#REF!</v>
      </c>
      <c r="L7" s="138" t="e">
        <f>SUBTOTAL(9,L8:L18)</f>
        <v>#REF!</v>
      </c>
      <c r="M7" s="139"/>
      <c r="N7" s="139"/>
      <c r="O7" s="140"/>
    </row>
    <row r="8" spans="1:15" s="18" customFormat="1" ht="89.25">
      <c r="A8" s="141">
        <v>1</v>
      </c>
      <c r="B8" s="142" t="s">
        <v>106</v>
      </c>
      <c r="C8" s="143" t="s">
        <v>88</v>
      </c>
      <c r="D8" s="419">
        <v>1</v>
      </c>
      <c r="E8" s="144">
        <f>'KL TONG HOP'!E8</f>
        <v>1</v>
      </c>
      <c r="F8" s="753">
        <f>MIN(E8,D8)</f>
        <v>1</v>
      </c>
      <c r="G8" s="145">
        <v>0</v>
      </c>
      <c r="H8" s="145">
        <v>0</v>
      </c>
      <c r="I8" s="145">
        <f>G8+H8</f>
        <v>0</v>
      </c>
      <c r="J8" s="145">
        <f t="shared" ref="J8:J18" si="0">D8*I8</f>
        <v>0</v>
      </c>
      <c r="K8" s="145">
        <f>E8*I8</f>
        <v>0</v>
      </c>
      <c r="L8" s="757">
        <f>F8*(G8+H8)</f>
        <v>0</v>
      </c>
      <c r="M8" s="146"/>
      <c r="N8" s="146"/>
      <c r="O8" s="147" t="s">
        <v>152</v>
      </c>
    </row>
    <row r="9" spans="1:15" s="18" customFormat="1">
      <c r="A9" s="141">
        <v>2</v>
      </c>
      <c r="B9" s="142" t="s">
        <v>107</v>
      </c>
      <c r="C9" s="143" t="s">
        <v>88</v>
      </c>
      <c r="D9" s="419">
        <v>1</v>
      </c>
      <c r="E9" s="144">
        <f>'KL TONG HOP'!E9</f>
        <v>1</v>
      </c>
      <c r="F9" s="753">
        <f t="shared" ref="F9:F18" si="1">MIN(E9,D9)</f>
        <v>1</v>
      </c>
      <c r="G9" s="145">
        <v>0</v>
      </c>
      <c r="H9" s="145">
        <v>12100000</v>
      </c>
      <c r="I9" s="145">
        <f t="shared" ref="I9:I18" si="2">G9+H9</f>
        <v>12100000</v>
      </c>
      <c r="J9" s="145">
        <f t="shared" si="0"/>
        <v>12100000</v>
      </c>
      <c r="K9" s="145">
        <f t="shared" ref="K9:K18" si="3">E9*I9</f>
        <v>12100000</v>
      </c>
      <c r="L9" s="757">
        <f t="shared" ref="L9:L18" si="4">F9*(G9+H9)</f>
        <v>12100000</v>
      </c>
      <c r="M9" s="146"/>
      <c r="N9" s="146"/>
      <c r="O9" s="147"/>
    </row>
    <row r="10" spans="1:15" s="18" customFormat="1" ht="25.5">
      <c r="A10" s="141">
        <v>3</v>
      </c>
      <c r="B10" s="142" t="s">
        <v>108</v>
      </c>
      <c r="C10" s="143" t="s">
        <v>7</v>
      </c>
      <c r="D10" s="419">
        <v>1</v>
      </c>
      <c r="E10" s="144">
        <f>'KL TONG HOP'!E10</f>
        <v>1</v>
      </c>
      <c r="F10" s="753">
        <f t="shared" si="1"/>
        <v>1</v>
      </c>
      <c r="G10" s="145">
        <v>0</v>
      </c>
      <c r="H10" s="145">
        <v>60500000</v>
      </c>
      <c r="I10" s="145">
        <f t="shared" si="2"/>
        <v>60500000</v>
      </c>
      <c r="J10" s="145">
        <f t="shared" si="0"/>
        <v>60500000</v>
      </c>
      <c r="K10" s="145">
        <f t="shared" si="3"/>
        <v>60500000</v>
      </c>
      <c r="L10" s="757">
        <f t="shared" si="4"/>
        <v>60500000</v>
      </c>
      <c r="M10" s="146"/>
      <c r="N10" s="146"/>
      <c r="O10" s="147"/>
    </row>
    <row r="11" spans="1:15" s="18" customFormat="1">
      <c r="A11" s="141">
        <v>4</v>
      </c>
      <c r="B11" s="142" t="s">
        <v>109</v>
      </c>
      <c r="C11" s="143" t="s">
        <v>88</v>
      </c>
      <c r="D11" s="419">
        <v>1</v>
      </c>
      <c r="E11" s="144">
        <f>'KL TONG HOP'!E11</f>
        <v>1</v>
      </c>
      <c r="F11" s="753">
        <f t="shared" si="1"/>
        <v>1</v>
      </c>
      <c r="G11" s="145">
        <v>0</v>
      </c>
      <c r="H11" s="145">
        <v>36300000</v>
      </c>
      <c r="I11" s="145">
        <f t="shared" si="2"/>
        <v>36300000</v>
      </c>
      <c r="J11" s="145">
        <f t="shared" si="0"/>
        <v>36300000</v>
      </c>
      <c r="K11" s="145">
        <f t="shared" si="3"/>
        <v>36300000</v>
      </c>
      <c r="L11" s="757">
        <f t="shared" si="4"/>
        <v>36300000</v>
      </c>
      <c r="M11" s="146"/>
      <c r="N11" s="146"/>
      <c r="O11" s="147"/>
    </row>
    <row r="12" spans="1:15" s="18" customFormat="1">
      <c r="A12" s="141">
        <v>5</v>
      </c>
      <c r="B12" s="142" t="s">
        <v>110</v>
      </c>
      <c r="C12" s="143" t="s">
        <v>1</v>
      </c>
      <c r="D12" s="419">
        <v>1852.2149000000013</v>
      </c>
      <c r="E12" s="144">
        <f>'KL TONG HOP'!E12</f>
        <v>1852.2149000000013</v>
      </c>
      <c r="F12" s="753">
        <f t="shared" si="1"/>
        <v>1852.2149000000013</v>
      </c>
      <c r="G12" s="145">
        <v>0</v>
      </c>
      <c r="H12" s="145">
        <v>24200</v>
      </c>
      <c r="I12" s="145">
        <f t="shared" si="2"/>
        <v>24200</v>
      </c>
      <c r="J12" s="145">
        <f t="shared" si="0"/>
        <v>44823600.580000028</v>
      </c>
      <c r="K12" s="145">
        <f t="shared" si="3"/>
        <v>44823600.580000028</v>
      </c>
      <c r="L12" s="757">
        <f t="shared" si="4"/>
        <v>44823600.580000028</v>
      </c>
      <c r="M12" s="146"/>
      <c r="N12" s="146"/>
      <c r="O12" s="147"/>
    </row>
    <row r="13" spans="1:15" s="6" customFormat="1">
      <c r="A13" s="704">
        <v>6</v>
      </c>
      <c r="B13" s="783" t="s">
        <v>111</v>
      </c>
      <c r="C13" s="784" t="s">
        <v>1</v>
      </c>
      <c r="D13" s="785">
        <v>1541.9157960000007</v>
      </c>
      <c r="E13" s="786">
        <f>'KL TONG HOP'!E13</f>
        <v>1541.9157960000007</v>
      </c>
      <c r="F13" s="753">
        <f t="shared" si="1"/>
        <v>1541.9157960000007</v>
      </c>
      <c r="G13" s="787">
        <v>0</v>
      </c>
      <c r="H13" s="787">
        <v>36300</v>
      </c>
      <c r="I13" s="787">
        <f t="shared" si="2"/>
        <v>36300</v>
      </c>
      <c r="J13" s="787">
        <f t="shared" si="0"/>
        <v>55971543.394800022</v>
      </c>
      <c r="K13" s="787">
        <f t="shared" si="3"/>
        <v>55971543.394800022</v>
      </c>
      <c r="L13" s="788">
        <f t="shared" si="4"/>
        <v>55971543.394800022</v>
      </c>
      <c r="M13" s="789"/>
      <c r="N13" s="789"/>
      <c r="O13" s="790"/>
    </row>
    <row r="14" spans="1:15" s="6" customFormat="1" ht="25.5">
      <c r="A14" s="704">
        <v>7</v>
      </c>
      <c r="B14" s="783" t="s">
        <v>112</v>
      </c>
      <c r="C14" s="784" t="s">
        <v>88</v>
      </c>
      <c r="D14" s="785">
        <v>1</v>
      </c>
      <c r="E14" s="786">
        <f>'KL TONG HOP'!E14</f>
        <v>1</v>
      </c>
      <c r="F14" s="753">
        <f t="shared" si="1"/>
        <v>1</v>
      </c>
      <c r="G14" s="787">
        <v>0</v>
      </c>
      <c r="H14" s="787">
        <v>12100000</v>
      </c>
      <c r="I14" s="787">
        <f t="shared" si="2"/>
        <v>12100000</v>
      </c>
      <c r="J14" s="787">
        <f t="shared" si="0"/>
        <v>12100000</v>
      </c>
      <c r="K14" s="787">
        <f t="shared" si="3"/>
        <v>12100000</v>
      </c>
      <c r="L14" s="788">
        <f t="shared" si="4"/>
        <v>12100000</v>
      </c>
      <c r="M14" s="789"/>
      <c r="N14" s="789"/>
      <c r="O14" s="790"/>
    </row>
    <row r="15" spans="1:15" s="6" customFormat="1">
      <c r="A15" s="704">
        <v>8</v>
      </c>
      <c r="B15" s="783" t="s">
        <v>113</v>
      </c>
      <c r="C15" s="784" t="s">
        <v>88</v>
      </c>
      <c r="D15" s="785">
        <v>1</v>
      </c>
      <c r="E15" s="786">
        <f>'KL TONG HOP'!E15</f>
        <v>1</v>
      </c>
      <c r="F15" s="753">
        <f t="shared" si="1"/>
        <v>1</v>
      </c>
      <c r="G15" s="787">
        <v>0</v>
      </c>
      <c r="H15" s="787">
        <v>36300000</v>
      </c>
      <c r="I15" s="787">
        <f t="shared" si="2"/>
        <v>36300000</v>
      </c>
      <c r="J15" s="787">
        <f t="shared" si="0"/>
        <v>36300000</v>
      </c>
      <c r="K15" s="787">
        <f t="shared" si="3"/>
        <v>36300000</v>
      </c>
      <c r="L15" s="788">
        <f t="shared" si="4"/>
        <v>36300000</v>
      </c>
      <c r="M15" s="789"/>
      <c r="N15" s="789"/>
      <c r="O15" s="790"/>
    </row>
    <row r="16" spans="1:15" s="6" customFormat="1" ht="25.5">
      <c r="A16" s="704">
        <v>9</v>
      </c>
      <c r="B16" s="783" t="s">
        <v>114</v>
      </c>
      <c r="C16" s="784" t="s">
        <v>1</v>
      </c>
      <c r="D16" s="785">
        <v>2211.2773999999999</v>
      </c>
      <c r="E16" s="786">
        <f>'KL TONG HOP'!E16</f>
        <v>2211.2773999999999</v>
      </c>
      <c r="F16" s="753">
        <f t="shared" si="1"/>
        <v>2211.2773999999999</v>
      </c>
      <c r="G16" s="787">
        <v>0</v>
      </c>
      <c r="H16" s="787">
        <v>60500</v>
      </c>
      <c r="I16" s="787">
        <f t="shared" si="2"/>
        <v>60500</v>
      </c>
      <c r="J16" s="787">
        <f t="shared" si="0"/>
        <v>133782282.7</v>
      </c>
      <c r="K16" s="787">
        <f t="shared" si="3"/>
        <v>133782282.7</v>
      </c>
      <c r="L16" s="788">
        <f t="shared" si="4"/>
        <v>133782282.7</v>
      </c>
      <c r="M16" s="789"/>
      <c r="N16" s="789"/>
      <c r="O16" s="790"/>
    </row>
    <row r="17" spans="1:15" s="6" customFormat="1" ht="38.25">
      <c r="A17" s="704">
        <v>10</v>
      </c>
      <c r="B17" s="783" t="s">
        <v>115</v>
      </c>
      <c r="C17" s="784" t="s">
        <v>88</v>
      </c>
      <c r="D17" s="785">
        <v>1</v>
      </c>
      <c r="E17" s="786">
        <f>'KL TONG HOP'!E17</f>
        <v>1</v>
      </c>
      <c r="F17" s="753">
        <f t="shared" si="1"/>
        <v>1</v>
      </c>
      <c r="G17" s="787">
        <v>0</v>
      </c>
      <c r="H17" s="787">
        <v>19360000</v>
      </c>
      <c r="I17" s="787">
        <f t="shared" si="2"/>
        <v>19360000</v>
      </c>
      <c r="J17" s="787">
        <f t="shared" si="0"/>
        <v>19360000</v>
      </c>
      <c r="K17" s="787">
        <f t="shared" si="3"/>
        <v>19360000</v>
      </c>
      <c r="L17" s="788">
        <f t="shared" si="4"/>
        <v>19360000</v>
      </c>
      <c r="M17" s="789"/>
      <c r="N17" s="789"/>
      <c r="O17" s="790"/>
    </row>
    <row r="18" spans="1:15" s="6" customFormat="1" ht="51">
      <c r="A18" s="704">
        <v>11</v>
      </c>
      <c r="B18" s="783" t="s">
        <v>116</v>
      </c>
      <c r="C18" s="784" t="s">
        <v>1</v>
      </c>
      <c r="D18" s="785">
        <v>2641.5860520000019</v>
      </c>
      <c r="E18" s="786" t="e">
        <f>'KL TONG HOP'!E18</f>
        <v>#REF!</v>
      </c>
      <c r="F18" s="753" t="e">
        <f t="shared" si="1"/>
        <v>#REF!</v>
      </c>
      <c r="G18" s="787">
        <v>51912.000000000007</v>
      </c>
      <c r="H18" s="787">
        <v>72600</v>
      </c>
      <c r="I18" s="787">
        <f t="shared" si="2"/>
        <v>124512</v>
      </c>
      <c r="J18" s="787">
        <f t="shared" si="0"/>
        <v>328909162.50662422</v>
      </c>
      <c r="K18" s="787" t="e">
        <f t="shared" si="3"/>
        <v>#REF!</v>
      </c>
      <c r="L18" s="788" t="e">
        <f t="shared" si="4"/>
        <v>#REF!</v>
      </c>
      <c r="M18" s="789" t="s">
        <v>153</v>
      </c>
      <c r="N18" s="789" t="s">
        <v>63</v>
      </c>
      <c r="O18" s="790" t="s">
        <v>154</v>
      </c>
    </row>
    <row r="19" spans="1:15" s="415" customFormat="1">
      <c r="A19" s="435"/>
      <c r="B19" s="436" t="s">
        <v>1769</v>
      </c>
      <c r="C19" s="435"/>
      <c r="D19" s="437"/>
      <c r="E19" s="438"/>
      <c r="F19" s="438"/>
      <c r="G19" s="439"/>
      <c r="H19" s="439"/>
      <c r="I19" s="439"/>
      <c r="J19" s="439">
        <f>SUBTOTAL(9,J7:J18)</f>
        <v>740146589.18142426</v>
      </c>
      <c r="K19" s="439" t="e">
        <f>SUBTOTAL(9,K7:K18)</f>
        <v>#REF!</v>
      </c>
      <c r="L19" s="439" t="e">
        <f>SUBTOTAL(9,L7:L18)</f>
        <v>#REF!</v>
      </c>
      <c r="M19" s="440"/>
      <c r="N19" s="438"/>
      <c r="O19" s="441"/>
    </row>
    <row r="20" spans="1:15" s="415" customFormat="1">
      <c r="A20" s="435"/>
      <c r="B20" s="436" t="s">
        <v>1768</v>
      </c>
      <c r="C20" s="435"/>
      <c r="D20" s="437"/>
      <c r="E20" s="442"/>
      <c r="F20" s="442"/>
      <c r="G20" s="438"/>
      <c r="H20" s="439"/>
      <c r="I20" s="929"/>
      <c r="J20" s="183">
        <f>J19*0.08</f>
        <v>59211727.134513944</v>
      </c>
      <c r="K20" s="183" t="e">
        <f t="shared" ref="K20:L20" si="5">K19*0.08</f>
        <v>#REF!</v>
      </c>
      <c r="L20" s="183" t="e">
        <f t="shared" si="5"/>
        <v>#REF!</v>
      </c>
      <c r="M20" s="440"/>
      <c r="N20" s="439"/>
      <c r="O20" s="441"/>
    </row>
    <row r="21" spans="1:15" s="415" customFormat="1">
      <c r="A21" s="930"/>
      <c r="B21" s="931" t="s">
        <v>1767</v>
      </c>
      <c r="C21" s="930"/>
      <c r="D21" s="932"/>
      <c r="E21" s="933"/>
      <c r="F21" s="933"/>
      <c r="G21" s="934"/>
      <c r="H21" s="935"/>
      <c r="I21" s="936"/>
      <c r="J21" s="937"/>
      <c r="K21" s="937"/>
      <c r="L21" s="937"/>
      <c r="M21" s="938"/>
      <c r="N21" s="935"/>
      <c r="O21" s="939"/>
    </row>
    <row r="22" spans="1:15" ht="13.5">
      <c r="A22" s="311"/>
      <c r="B22" s="311" t="s">
        <v>28</v>
      </c>
      <c r="C22" s="313"/>
      <c r="D22" s="421"/>
      <c r="E22" s="318"/>
      <c r="F22" s="318"/>
      <c r="G22" s="312"/>
      <c r="H22" s="312"/>
      <c r="I22" s="312"/>
      <c r="J22" s="312"/>
      <c r="K22" s="312"/>
      <c r="L22" s="312"/>
      <c r="M22" s="311"/>
      <c r="N22" s="312"/>
      <c r="O22" s="314"/>
    </row>
    <row r="23" spans="1:15">
      <c r="A23" s="307"/>
      <c r="B23" s="316"/>
      <c r="C23" s="307"/>
      <c r="D23" s="422"/>
      <c r="E23" s="319"/>
      <c r="F23" s="319"/>
      <c r="G23" s="309"/>
      <c r="H23" s="309"/>
      <c r="I23" s="309"/>
      <c r="J23"/>
      <c r="K23" s="320" t="s">
        <v>620</v>
      </c>
      <c r="L23" s="320"/>
      <c r="M23" s="307"/>
      <c r="N23" s="308"/>
      <c r="O23" s="310"/>
    </row>
    <row r="24" spans="1:15">
      <c r="A24" s="294"/>
      <c r="B24" s="296" t="s">
        <v>952</v>
      </c>
      <c r="C24" s="315"/>
      <c r="D24" s="423"/>
      <c r="E24" s="446"/>
      <c r="F24" s="446"/>
      <c r="G24" s="315"/>
      <c r="H24" s="315"/>
      <c r="I24" s="315"/>
      <c r="J24"/>
      <c r="K24" s="315" t="s">
        <v>100</v>
      </c>
      <c r="L24" s="315"/>
      <c r="M24" s="317"/>
      <c r="N24" s="296"/>
      <c r="O24" s="315"/>
    </row>
  </sheetData>
  <autoFilter ref="A5:O18"/>
  <mergeCells count="13">
    <mergeCell ref="N5:N6"/>
    <mergeCell ref="O5:O6"/>
    <mergeCell ref="A3:O3"/>
    <mergeCell ref="A1:O1"/>
    <mergeCell ref="A2:O2"/>
    <mergeCell ref="A4:O4"/>
    <mergeCell ref="A5:A6"/>
    <mergeCell ref="B5:B6"/>
    <mergeCell ref="C5:C6"/>
    <mergeCell ref="G5:I5"/>
    <mergeCell ref="M5:M6"/>
    <mergeCell ref="D5:F5"/>
    <mergeCell ref="J5:L5"/>
  </mergeCells>
  <conditionalFormatting sqref="C5:D5">
    <cfRule type="expression" dxfId="3" priority="2" stopIfTrue="1">
      <formula>C5&lt;0</formula>
    </cfRule>
  </conditionalFormatting>
  <conditionalFormatting sqref="O5">
    <cfRule type="expression" dxfId="2" priority="5" stopIfTrue="1">
      <formula>O5&lt;0</formula>
    </cfRule>
  </conditionalFormatting>
  <printOptions horizontalCentered="1"/>
  <pageMargins left="0.47244094488188981" right="0.23622047244094491" top="0.51181102362204722" bottom="0.51181102362204722" header="0.31496062992125984" footer="0.31496062992125984"/>
  <pageSetup paperSize="9" scale="55" fitToHeight="0" orientation="landscape" r:id="rId1"/>
  <headerFooter alignWithMargins="0">
    <oddFooter>&amp;R&amp;P /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25"/>
  <sheetViews>
    <sheetView view="pageBreakPreview" zoomScale="110" zoomScaleNormal="100" zoomScaleSheetLayoutView="110" workbookViewId="0">
      <selection activeCell="A7" sqref="A7:XFD7"/>
    </sheetView>
  </sheetViews>
  <sheetFormatPr defaultColWidth="8.85546875" defaultRowHeight="12.75"/>
  <cols>
    <col min="1" max="1" width="5.42578125" style="10" customWidth="1"/>
    <col min="2" max="2" width="62.140625" style="9" customWidth="1"/>
    <col min="3" max="3" width="8.85546875" style="12" customWidth="1"/>
    <col min="4" max="4" width="18.7109375" style="213" customWidth="1"/>
    <col min="5" max="5" width="18.7109375" style="217" customWidth="1"/>
    <col min="6" max="6" width="19" style="4" customWidth="1"/>
    <col min="7" max="7" width="17.5703125" style="11" customWidth="1"/>
    <col min="8" max="8" width="12.42578125" style="8" customWidth="1"/>
    <col min="9" max="9" width="12.42578125" style="4" customWidth="1"/>
    <col min="10" max="16384" width="8.85546875" style="5"/>
  </cols>
  <sheetData>
    <row r="1" spans="1:16" s="126" customFormat="1" ht="18.75">
      <c r="A1" s="836" t="s">
        <v>29</v>
      </c>
      <c r="B1" s="836"/>
      <c r="C1" s="836"/>
      <c r="D1" s="836"/>
      <c r="E1" s="836"/>
      <c r="F1" s="836"/>
      <c r="G1" s="836"/>
      <c r="H1" s="124"/>
      <c r="I1" s="125"/>
    </row>
    <row r="2" spans="1:16" s="129" customFormat="1" ht="15.75">
      <c r="A2" s="854" t="str">
        <f>'TONG HOP GT'!A2:O2</f>
        <v>CÔNG TRÌNH : THI CÔNG ………………</v>
      </c>
      <c r="B2" s="854"/>
      <c r="C2" s="854"/>
      <c r="D2" s="854"/>
      <c r="E2" s="854"/>
      <c r="F2" s="854"/>
      <c r="G2" s="854"/>
      <c r="H2" s="127"/>
      <c r="I2" s="128"/>
    </row>
    <row r="3" spans="1:16" s="132" customFormat="1" ht="15.75">
      <c r="A3" s="854" t="str">
        <f>'TONG HOP GT'!A3:O3</f>
        <v>ĐỊA ĐIỂM: ………………</v>
      </c>
      <c r="B3" s="854"/>
      <c r="C3" s="854"/>
      <c r="D3" s="854"/>
      <c r="E3" s="854"/>
      <c r="F3" s="854"/>
      <c r="G3" s="854"/>
      <c r="H3" s="14"/>
      <c r="I3" s="14"/>
      <c r="J3" s="14"/>
      <c r="K3" s="14"/>
      <c r="L3" s="14"/>
      <c r="M3" s="14"/>
      <c r="N3" s="14"/>
      <c r="O3" s="130"/>
      <c r="P3" s="131"/>
    </row>
    <row r="4" spans="1:16" s="132" customFormat="1" ht="15.75">
      <c r="A4" s="855" t="str">
        <f>'TONG HOP GT'!A4:O4</f>
        <v>SỐ HỢP ĐỒNG: …………………</v>
      </c>
      <c r="B4" s="855"/>
      <c r="C4" s="855"/>
      <c r="D4" s="855"/>
      <c r="E4" s="855"/>
      <c r="F4" s="855"/>
      <c r="G4" s="855"/>
      <c r="H4" s="14"/>
      <c r="I4" s="14"/>
      <c r="J4" s="14"/>
      <c r="K4" s="14"/>
      <c r="L4" s="14"/>
      <c r="M4" s="14"/>
      <c r="N4" s="14"/>
      <c r="O4" s="130"/>
      <c r="P4" s="131"/>
    </row>
    <row r="5" spans="1:16" s="47" customFormat="1" ht="26.1" customHeight="1">
      <c r="A5" s="844" t="s">
        <v>11</v>
      </c>
      <c r="B5" s="845" t="s">
        <v>30</v>
      </c>
      <c r="C5" s="846" t="s">
        <v>33</v>
      </c>
      <c r="D5" s="840" t="s">
        <v>951</v>
      </c>
      <c r="E5" s="872" t="s">
        <v>49</v>
      </c>
      <c r="F5" s="840" t="s">
        <v>51</v>
      </c>
      <c r="G5" s="840" t="s">
        <v>32</v>
      </c>
      <c r="H5" s="871"/>
      <c r="I5" s="46"/>
    </row>
    <row r="6" spans="1:16" s="47" customFormat="1" ht="26.1" customHeight="1">
      <c r="A6" s="844"/>
      <c r="B6" s="845"/>
      <c r="C6" s="846"/>
      <c r="D6" s="840"/>
      <c r="E6" s="872"/>
      <c r="F6" s="840"/>
      <c r="G6" s="840"/>
      <c r="H6" s="871"/>
      <c r="I6" s="46"/>
    </row>
    <row r="7" spans="1:16" s="65" customFormat="1" ht="13.5">
      <c r="A7" s="60" t="s">
        <v>8</v>
      </c>
      <c r="B7" s="61" t="s">
        <v>105</v>
      </c>
      <c r="C7" s="60"/>
      <c r="D7" s="211"/>
      <c r="E7" s="214"/>
      <c r="F7" s="60"/>
      <c r="G7" s="62"/>
      <c r="H7" s="63"/>
      <c r="I7" s="64"/>
    </row>
    <row r="8" spans="1:16">
      <c r="A8" s="16">
        <v>1</v>
      </c>
      <c r="B8" s="15" t="s">
        <v>106</v>
      </c>
      <c r="C8" s="16" t="s">
        <v>88</v>
      </c>
      <c r="D8" s="212">
        <v>1</v>
      </c>
      <c r="E8" s="215">
        <f>'Dien giai KL'!J8</f>
        <v>1</v>
      </c>
      <c r="F8" s="20">
        <f>E8/D8</f>
        <v>1</v>
      </c>
      <c r="G8" s="17"/>
    </row>
    <row r="9" spans="1:16">
      <c r="A9" s="16">
        <v>2</v>
      </c>
      <c r="B9" s="15" t="s">
        <v>107</v>
      </c>
      <c r="C9" s="16" t="s">
        <v>88</v>
      </c>
      <c r="D9" s="212">
        <v>1</v>
      </c>
      <c r="E9" s="215">
        <f>'Dien giai KL'!J9</f>
        <v>1</v>
      </c>
      <c r="F9" s="20">
        <f t="shared" ref="F9:F21" si="0">E9/D9</f>
        <v>1</v>
      </c>
      <c r="G9" s="17"/>
    </row>
    <row r="10" spans="1:16" ht="25.5">
      <c r="A10" s="16">
        <v>3</v>
      </c>
      <c r="B10" s="15" t="s">
        <v>108</v>
      </c>
      <c r="C10" s="16" t="s">
        <v>7</v>
      </c>
      <c r="D10" s="212">
        <v>1</v>
      </c>
      <c r="E10" s="215">
        <f>'Dien giai KL'!J10</f>
        <v>1</v>
      </c>
      <c r="F10" s="20">
        <f t="shared" si="0"/>
        <v>1</v>
      </c>
      <c r="G10" s="17"/>
    </row>
    <row r="11" spans="1:16">
      <c r="A11" s="16">
        <v>4</v>
      </c>
      <c r="B11" s="15" t="s">
        <v>109</v>
      </c>
      <c r="C11" s="16" t="s">
        <v>88</v>
      </c>
      <c r="D11" s="212">
        <v>1</v>
      </c>
      <c r="E11" s="215">
        <f>'Dien giai KL'!J11</f>
        <v>1</v>
      </c>
      <c r="F11" s="20">
        <f t="shared" si="0"/>
        <v>1</v>
      </c>
      <c r="G11" s="17"/>
    </row>
    <row r="12" spans="1:16">
      <c r="A12" s="16">
        <v>5</v>
      </c>
      <c r="B12" s="15" t="s">
        <v>110</v>
      </c>
      <c r="C12" s="16" t="s">
        <v>1</v>
      </c>
      <c r="D12" s="212">
        <v>1852.2149000000013</v>
      </c>
      <c r="E12" s="215">
        <f>'Dien giai KL'!J12</f>
        <v>1852.2149000000013</v>
      </c>
      <c r="F12" s="20">
        <f t="shared" si="0"/>
        <v>1</v>
      </c>
      <c r="G12" s="17"/>
    </row>
    <row r="13" spans="1:16">
      <c r="A13" s="16">
        <v>6</v>
      </c>
      <c r="B13" s="15" t="s">
        <v>111</v>
      </c>
      <c r="C13" s="16" t="s">
        <v>1</v>
      </c>
      <c r="D13" s="212">
        <v>1541.9157960000007</v>
      </c>
      <c r="E13" s="215">
        <f>'Dien giai KL'!J146</f>
        <v>1541.9157960000007</v>
      </c>
      <c r="F13" s="20">
        <f t="shared" si="0"/>
        <v>1</v>
      </c>
      <c r="G13" s="17"/>
    </row>
    <row r="14" spans="1:16">
      <c r="A14" s="16">
        <v>7</v>
      </c>
      <c r="B14" s="15" t="s">
        <v>112</v>
      </c>
      <c r="C14" s="16" t="s">
        <v>88</v>
      </c>
      <c r="D14" s="212">
        <v>1</v>
      </c>
      <c r="E14" s="215">
        <f>'Dien giai KL'!J257</f>
        <v>1</v>
      </c>
      <c r="F14" s="20">
        <f t="shared" si="0"/>
        <v>1</v>
      </c>
      <c r="G14" s="17"/>
    </row>
    <row r="15" spans="1:16">
      <c r="A15" s="16">
        <v>8</v>
      </c>
      <c r="B15" s="15" t="s">
        <v>113</v>
      </c>
      <c r="C15" s="16" t="s">
        <v>88</v>
      </c>
      <c r="D15" s="212">
        <v>1</v>
      </c>
      <c r="E15" s="215">
        <f>'Dien giai KL'!J258</f>
        <v>1</v>
      </c>
      <c r="F15" s="20">
        <f t="shared" si="0"/>
        <v>1</v>
      </c>
      <c r="G15" s="17"/>
    </row>
    <row r="16" spans="1:16" ht="25.5">
      <c r="A16" s="16">
        <v>9</v>
      </c>
      <c r="B16" s="15" t="s">
        <v>114</v>
      </c>
      <c r="C16" s="16" t="s">
        <v>1</v>
      </c>
      <c r="D16" s="212">
        <v>2211.2773999999999</v>
      </c>
      <c r="E16" s="215">
        <f>'Dien giai KL'!J259</f>
        <v>2211.2773999999999</v>
      </c>
      <c r="F16" s="20">
        <f t="shared" si="0"/>
        <v>1</v>
      </c>
      <c r="G16" s="17"/>
    </row>
    <row r="17" spans="1:7" ht="25.5">
      <c r="A17" s="16">
        <v>10</v>
      </c>
      <c r="B17" s="15" t="s">
        <v>115</v>
      </c>
      <c r="C17" s="16" t="s">
        <v>88</v>
      </c>
      <c r="D17" s="212">
        <v>1</v>
      </c>
      <c r="E17" s="215">
        <f>'Dien giai KL'!J327</f>
        <v>1</v>
      </c>
      <c r="F17" s="20">
        <f t="shared" si="0"/>
        <v>1</v>
      </c>
      <c r="G17" s="17"/>
    </row>
    <row r="18" spans="1:7" ht="25.5">
      <c r="A18" s="16">
        <v>11</v>
      </c>
      <c r="B18" s="15" t="s">
        <v>116</v>
      </c>
      <c r="C18" s="16" t="s">
        <v>1</v>
      </c>
      <c r="D18" s="212">
        <v>2641.5860520000019</v>
      </c>
      <c r="E18" s="215" t="e">
        <f>'Dien giai KL'!J328</f>
        <v>#REF!</v>
      </c>
      <c r="F18" s="20" t="e">
        <f t="shared" si="0"/>
        <v>#REF!</v>
      </c>
      <c r="G18" s="17"/>
    </row>
    <row r="19" spans="1:7" ht="25.5">
      <c r="A19" s="16">
        <v>12</v>
      </c>
      <c r="B19" s="15" t="s">
        <v>117</v>
      </c>
      <c r="C19" s="16" t="s">
        <v>1</v>
      </c>
      <c r="D19" s="212">
        <v>1541.9157960000007</v>
      </c>
      <c r="E19" s="215">
        <f>'Dien giai KL'!J347</f>
        <v>1541.9157960000007</v>
      </c>
      <c r="F19" s="20">
        <f t="shared" si="0"/>
        <v>1</v>
      </c>
      <c r="G19" s="17"/>
    </row>
    <row r="20" spans="1:7">
      <c r="A20" s="16">
        <v>13</v>
      </c>
      <c r="B20" s="15" t="s">
        <v>118</v>
      </c>
      <c r="C20" s="16" t="s">
        <v>1</v>
      </c>
      <c r="D20" s="212">
        <v>7.6136522000000006</v>
      </c>
      <c r="E20" s="216">
        <f>'Dien giai KL'!J348</f>
        <v>7.6136522000000006</v>
      </c>
      <c r="F20" s="218">
        <f t="shared" si="0"/>
        <v>1</v>
      </c>
      <c r="G20" s="17"/>
    </row>
    <row r="21" spans="1:7">
      <c r="A21" s="16">
        <v>14</v>
      </c>
      <c r="B21" s="15" t="s">
        <v>119</v>
      </c>
      <c r="C21" s="16" t="s">
        <v>1</v>
      </c>
      <c r="D21" s="212">
        <v>1305.4874</v>
      </c>
      <c r="E21" s="216" t="e">
        <f>'Dien giai KL'!#REF!</f>
        <v>#REF!</v>
      </c>
      <c r="F21" s="218" t="e">
        <f t="shared" si="0"/>
        <v>#REF!</v>
      </c>
      <c r="G21" s="17"/>
    </row>
    <row r="22" spans="1:7">
      <c r="A22" s="300"/>
      <c r="B22" s="299"/>
      <c r="C22" s="300"/>
      <c r="D22" s="302"/>
      <c r="E22" s="304"/>
      <c r="F22" s="300"/>
      <c r="G22" s="295"/>
    </row>
    <row r="23" spans="1:7">
      <c r="A23" s="300"/>
      <c r="B23" s="299"/>
      <c r="C23" s="300"/>
      <c r="D23" s="302"/>
      <c r="F23" s="320" t="s">
        <v>620</v>
      </c>
      <c r="G23" s="295"/>
    </row>
    <row r="24" spans="1:7">
      <c r="A24" s="294"/>
      <c r="B24" s="443" t="s">
        <v>952</v>
      </c>
      <c r="C24" s="447"/>
      <c r="F24" s="315" t="s">
        <v>100</v>
      </c>
      <c r="G24" s="306"/>
    </row>
    <row r="25" spans="1:7">
      <c r="A25" s="294"/>
      <c r="B25" s="297"/>
      <c r="C25" s="298"/>
      <c r="D25" s="303"/>
      <c r="E25" s="305"/>
      <c r="F25" s="301"/>
      <c r="G25" s="298"/>
    </row>
  </sheetData>
  <autoFilter ref="A5:G6"/>
  <mergeCells count="12">
    <mergeCell ref="G5:G6"/>
    <mergeCell ref="H5:H6"/>
    <mergeCell ref="F5:F6"/>
    <mergeCell ref="A1:G1"/>
    <mergeCell ref="A2:G2"/>
    <mergeCell ref="A5:A6"/>
    <mergeCell ref="B5:B6"/>
    <mergeCell ref="C5:C6"/>
    <mergeCell ref="D5:D6"/>
    <mergeCell ref="E5:E6"/>
    <mergeCell ref="A3:G3"/>
    <mergeCell ref="A4:G4"/>
  </mergeCells>
  <conditionalFormatting sqref="C7:F21">
    <cfRule type="containsText" dxfId="1" priority="5" stopIfTrue="1" operator="containsText" text="trừ">
      <formula>NOT(ISERROR(SEARCH("trừ",C7)))</formula>
    </cfRule>
  </conditionalFormatting>
  <conditionalFormatting sqref="C5:G5">
    <cfRule type="expression" dxfId="0" priority="464" stopIfTrue="1">
      <formula>C5&lt;0</formula>
    </cfRule>
  </conditionalFormatting>
  <printOptions horizontalCentered="1"/>
  <pageMargins left="0.59055118110236227" right="0.43307086614173229" top="0.51181102362204722" bottom="0.51181102362204722" header="0.31496062992125984" footer="0.31496062992125984"/>
  <pageSetup paperSize="9" scale="80" fitToHeight="0" orientation="landscape" r:id="rId1"/>
  <headerFooter alignWithMargins="0">
    <oddFooter>&amp;R&amp;P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L352"/>
  <sheetViews>
    <sheetView view="pageBreakPreview" topLeftCell="A10" zoomScaleNormal="100" zoomScaleSheetLayoutView="100" workbookViewId="0">
      <selection activeCell="G12" sqref="G12"/>
    </sheetView>
  </sheetViews>
  <sheetFormatPr defaultColWidth="9.140625" defaultRowHeight="15.75"/>
  <cols>
    <col min="1" max="1" width="6.140625" style="344" bestFit="1" customWidth="1"/>
    <col min="2" max="2" width="53.28515625" style="48" customWidth="1"/>
    <col min="3" max="3" width="10.85546875" style="344" customWidth="1"/>
    <col min="4" max="4" width="11.28515625" style="344" customWidth="1"/>
    <col min="5" max="6" width="10.7109375" style="344" customWidth="1"/>
    <col min="7" max="7" width="14.28515625" style="344" customWidth="1"/>
    <col min="8" max="8" width="12" style="344" customWidth="1"/>
    <col min="9" max="9" width="15.7109375" style="345" customWidth="1"/>
    <col min="10" max="10" width="15.5703125" style="53" customWidth="1"/>
    <col min="11" max="11" width="20.140625" style="344" customWidth="1"/>
    <col min="12" max="12" width="20" style="133" customWidth="1"/>
    <col min="13" max="13" width="9.7109375" style="133" bestFit="1" customWidth="1"/>
    <col min="14" max="16384" width="9.140625" style="133"/>
  </cols>
  <sheetData>
    <row r="1" spans="1:12">
      <c r="A1" s="854" t="s">
        <v>10</v>
      </c>
      <c r="B1" s="854"/>
      <c r="C1" s="854"/>
      <c r="D1" s="854"/>
      <c r="E1" s="854"/>
      <c r="F1" s="854"/>
      <c r="G1" s="854"/>
      <c r="H1" s="854"/>
      <c r="I1" s="854"/>
      <c r="J1" s="854"/>
      <c r="K1" s="854"/>
    </row>
    <row r="2" spans="1:12">
      <c r="A2" s="854" t="str">
        <f>'TONG HOP GT'!A2:O2</f>
        <v>CÔNG TRÌNH : THI CÔNG ………………</v>
      </c>
      <c r="B2" s="854"/>
      <c r="C2" s="854"/>
      <c r="D2" s="854"/>
      <c r="E2" s="854"/>
      <c r="F2" s="854"/>
      <c r="G2" s="854"/>
      <c r="H2" s="854"/>
      <c r="I2" s="854"/>
      <c r="J2" s="854"/>
      <c r="K2" s="854"/>
    </row>
    <row r="3" spans="1:12">
      <c r="A3" s="854" t="str">
        <f>'TONG HOP GT'!A3:O3</f>
        <v>ĐỊA ĐIỂM: ………………</v>
      </c>
      <c r="B3" s="854"/>
      <c r="C3" s="854"/>
      <c r="D3" s="854"/>
      <c r="E3" s="854"/>
      <c r="F3" s="854"/>
      <c r="G3" s="854"/>
      <c r="H3" s="854"/>
      <c r="I3" s="854"/>
      <c r="J3" s="854"/>
      <c r="K3" s="854"/>
    </row>
    <row r="4" spans="1:12">
      <c r="A4" s="854" t="str">
        <f>'TONG HOP GT'!A4:O4</f>
        <v>SỐ HỢP ĐỒNG: …………………</v>
      </c>
      <c r="B4" s="854"/>
      <c r="C4" s="854"/>
      <c r="D4" s="854"/>
      <c r="E4" s="854"/>
      <c r="F4" s="854"/>
      <c r="G4" s="854"/>
      <c r="H4" s="854"/>
      <c r="I4" s="854"/>
      <c r="J4" s="854"/>
      <c r="K4" s="854"/>
    </row>
    <row r="5" spans="1:12" s="340" customFormat="1">
      <c r="A5" s="873" t="s">
        <v>11</v>
      </c>
      <c r="B5" s="874" t="s">
        <v>30</v>
      </c>
      <c r="C5" s="877" t="s">
        <v>33</v>
      </c>
      <c r="D5" s="873" t="s">
        <v>41</v>
      </c>
      <c r="E5" s="873"/>
      <c r="F5" s="873"/>
      <c r="G5" s="873" t="s">
        <v>45</v>
      </c>
      <c r="H5" s="873" t="s">
        <v>46</v>
      </c>
      <c r="I5" s="878" t="s">
        <v>49</v>
      </c>
      <c r="J5" s="878"/>
      <c r="K5" s="876" t="s">
        <v>32</v>
      </c>
    </row>
    <row r="6" spans="1:12" s="340" customFormat="1">
      <c r="A6" s="873"/>
      <c r="B6" s="875"/>
      <c r="C6" s="877"/>
      <c r="D6" s="49" t="s">
        <v>42</v>
      </c>
      <c r="E6" s="338" t="s">
        <v>43</v>
      </c>
      <c r="F6" s="338" t="s">
        <v>44</v>
      </c>
      <c r="G6" s="873"/>
      <c r="H6" s="873"/>
      <c r="I6" s="50" t="s">
        <v>47</v>
      </c>
      <c r="J6" s="51" t="s">
        <v>48</v>
      </c>
      <c r="K6" s="876"/>
    </row>
    <row r="7" spans="1:12" s="59" customFormat="1">
      <c r="A7" s="54" t="s">
        <v>8</v>
      </c>
      <c r="B7" s="55" t="s">
        <v>105</v>
      </c>
      <c r="C7" s="54"/>
      <c r="D7" s="56"/>
      <c r="E7" s="57"/>
      <c r="F7" s="57"/>
      <c r="G7" s="57"/>
      <c r="H7" s="57"/>
      <c r="I7" s="246"/>
      <c r="J7" s="58"/>
      <c r="K7" s="322"/>
    </row>
    <row r="8" spans="1:12" s="48" customFormat="1">
      <c r="A8" s="13">
        <v>1</v>
      </c>
      <c r="B8" s="278" t="s">
        <v>106</v>
      </c>
      <c r="C8" s="13" t="s">
        <v>88</v>
      </c>
      <c r="D8" s="280"/>
      <c r="E8" s="280"/>
      <c r="F8" s="280"/>
      <c r="G8" s="281"/>
      <c r="H8" s="281"/>
      <c r="I8" s="247"/>
      <c r="J8" s="279">
        <v>1</v>
      </c>
      <c r="K8" s="323"/>
    </row>
    <row r="9" spans="1:12" s="48" customFormat="1">
      <c r="A9" s="13">
        <f>+A8+1</f>
        <v>2</v>
      </c>
      <c r="B9" s="278" t="s">
        <v>107</v>
      </c>
      <c r="C9" s="13" t="s">
        <v>88</v>
      </c>
      <c r="D9" s="280"/>
      <c r="E9" s="280"/>
      <c r="F9" s="280"/>
      <c r="G9" s="281"/>
      <c r="H9" s="281"/>
      <c r="I9" s="247"/>
      <c r="J9" s="279">
        <v>1</v>
      </c>
      <c r="K9" s="323"/>
    </row>
    <row r="10" spans="1:12" s="48" customFormat="1" ht="31.5">
      <c r="A10" s="13">
        <f t="shared" ref="A10:A12" si="0">+A9+1</f>
        <v>3</v>
      </c>
      <c r="B10" s="278" t="s">
        <v>108</v>
      </c>
      <c r="C10" s="13" t="s">
        <v>7</v>
      </c>
      <c r="D10" s="280"/>
      <c r="E10" s="280"/>
      <c r="F10" s="280"/>
      <c r="G10" s="281"/>
      <c r="H10" s="281"/>
      <c r="I10" s="247"/>
      <c r="J10" s="279">
        <v>1</v>
      </c>
      <c r="K10" s="323"/>
    </row>
    <row r="11" spans="1:12" s="48" customFormat="1">
      <c r="A11" s="13">
        <f t="shared" si="0"/>
        <v>4</v>
      </c>
      <c r="B11" s="278" t="s">
        <v>109</v>
      </c>
      <c r="C11" s="13" t="s">
        <v>88</v>
      </c>
      <c r="D11" s="280"/>
      <c r="E11" s="280"/>
      <c r="F11" s="280"/>
      <c r="G11" s="281"/>
      <c r="H11" s="281"/>
      <c r="I11" s="247"/>
      <c r="J11" s="279">
        <v>1</v>
      </c>
      <c r="K11" s="323"/>
    </row>
    <row r="12" spans="1:12" s="48" customFormat="1">
      <c r="A12" s="13">
        <f t="shared" si="0"/>
        <v>5</v>
      </c>
      <c r="B12" s="221" t="s">
        <v>110</v>
      </c>
      <c r="C12" s="120" t="s">
        <v>1</v>
      </c>
      <c r="D12" s="280"/>
      <c r="E12" s="280"/>
      <c r="F12" s="280"/>
      <c r="G12" s="281"/>
      <c r="H12" s="281"/>
      <c r="I12" s="247"/>
      <c r="J12" s="279">
        <f>SUM(I13:I145)</f>
        <v>1852.2149000000013</v>
      </c>
      <c r="K12" s="323"/>
    </row>
    <row r="13" spans="1:12" s="48" customFormat="1">
      <c r="A13" s="13"/>
      <c r="B13" s="222" t="s">
        <v>415</v>
      </c>
      <c r="C13" s="120"/>
      <c r="D13" s="280"/>
      <c r="E13" s="280"/>
      <c r="F13" s="280"/>
      <c r="G13" s="281"/>
      <c r="H13" s="281"/>
      <c r="I13" s="287"/>
      <c r="J13" s="279"/>
      <c r="K13" s="323"/>
    </row>
    <row r="14" spans="1:12" s="48" customFormat="1">
      <c r="A14" s="13"/>
      <c r="B14" s="339" t="s">
        <v>673</v>
      </c>
      <c r="C14" s="120"/>
      <c r="D14" s="280">
        <f>5.85+4.8+3+0.45</f>
        <v>14.099999999999998</v>
      </c>
      <c r="E14" s="280"/>
      <c r="F14" s="280">
        <v>3</v>
      </c>
      <c r="G14" s="281">
        <v>1</v>
      </c>
      <c r="H14" s="281">
        <v>1</v>
      </c>
      <c r="I14" s="287">
        <f t="shared" ref="I14:I77" si="1">PRODUCT(D14:H14)</f>
        <v>42.3</v>
      </c>
      <c r="J14" s="279"/>
      <c r="K14" s="323" t="s">
        <v>674</v>
      </c>
      <c r="L14" s="48" t="s">
        <v>675</v>
      </c>
    </row>
    <row r="15" spans="1:12" s="48" customFormat="1">
      <c r="A15" s="13"/>
      <c r="B15" s="341" t="s">
        <v>676</v>
      </c>
      <c r="C15" s="120"/>
      <c r="D15" s="280">
        <v>2</v>
      </c>
      <c r="E15" s="280"/>
      <c r="F15" s="280">
        <v>1.7</v>
      </c>
      <c r="G15" s="281">
        <v>1</v>
      </c>
      <c r="H15" s="281">
        <v>-1</v>
      </c>
      <c r="I15" s="287">
        <f t="shared" si="1"/>
        <v>-3.4</v>
      </c>
      <c r="J15" s="279"/>
      <c r="K15" s="323" t="s">
        <v>677</v>
      </c>
    </row>
    <row r="16" spans="1:12" s="48" customFormat="1">
      <c r="A16" s="13"/>
      <c r="B16" s="341" t="s">
        <v>678</v>
      </c>
      <c r="C16" s="120"/>
      <c r="D16" s="280">
        <v>1.65</v>
      </c>
      <c r="E16" s="280"/>
      <c r="F16" s="280">
        <v>2.9</v>
      </c>
      <c r="G16" s="281">
        <v>1</v>
      </c>
      <c r="H16" s="281">
        <v>-1</v>
      </c>
      <c r="I16" s="287">
        <f t="shared" si="1"/>
        <v>-4.7849999999999993</v>
      </c>
      <c r="J16" s="279"/>
      <c r="K16" s="323" t="s">
        <v>679</v>
      </c>
    </row>
    <row r="17" spans="1:12" s="48" customFormat="1">
      <c r="A17" s="13"/>
      <c r="B17" s="339" t="s">
        <v>680</v>
      </c>
      <c r="C17" s="120"/>
      <c r="D17" s="280">
        <f>6.05+4.9+0.88</f>
        <v>11.83</v>
      </c>
      <c r="E17" s="280"/>
      <c r="F17" s="280">
        <v>3</v>
      </c>
      <c r="G17" s="281">
        <v>1</v>
      </c>
      <c r="H17" s="281">
        <v>1</v>
      </c>
      <c r="I17" s="287">
        <f t="shared" si="1"/>
        <v>35.49</v>
      </c>
      <c r="J17" s="279"/>
      <c r="K17" s="323" t="s">
        <v>674</v>
      </c>
      <c r="L17" s="48" t="s">
        <v>675</v>
      </c>
    </row>
    <row r="18" spans="1:12" s="48" customFormat="1">
      <c r="A18" s="13"/>
      <c r="B18" s="341" t="s">
        <v>681</v>
      </c>
      <c r="C18" s="120"/>
      <c r="D18" s="280">
        <v>2.4</v>
      </c>
      <c r="E18" s="280"/>
      <c r="F18" s="280">
        <v>1.7</v>
      </c>
      <c r="G18" s="281">
        <v>1</v>
      </c>
      <c r="H18" s="281">
        <v>-1</v>
      </c>
      <c r="I18" s="287">
        <f t="shared" si="1"/>
        <v>-4.08</v>
      </c>
      <c r="J18" s="279"/>
      <c r="K18" s="323" t="s">
        <v>677</v>
      </c>
    </row>
    <row r="19" spans="1:12" s="48" customFormat="1">
      <c r="A19" s="13"/>
      <c r="B19" s="341" t="s">
        <v>682</v>
      </c>
      <c r="C19" s="120"/>
      <c r="D19" s="280">
        <v>1.65</v>
      </c>
      <c r="E19" s="280"/>
      <c r="F19" s="280">
        <v>2.9</v>
      </c>
      <c r="G19" s="281">
        <v>1</v>
      </c>
      <c r="H19" s="281">
        <v>-1</v>
      </c>
      <c r="I19" s="287">
        <f t="shared" si="1"/>
        <v>-4.7849999999999993</v>
      </c>
      <c r="J19" s="279"/>
      <c r="K19" s="323" t="s">
        <v>679</v>
      </c>
    </row>
    <row r="20" spans="1:12" s="48" customFormat="1">
      <c r="A20" s="13"/>
      <c r="B20" s="339" t="s">
        <v>683</v>
      </c>
      <c r="C20" s="120"/>
      <c r="D20" s="280">
        <f>(5.9+4.9)*2</f>
        <v>21.6</v>
      </c>
      <c r="E20" s="280"/>
      <c r="F20" s="280">
        <v>3</v>
      </c>
      <c r="G20" s="281">
        <v>1</v>
      </c>
      <c r="H20" s="281">
        <v>1</v>
      </c>
      <c r="I20" s="287">
        <f t="shared" si="1"/>
        <v>64.800000000000011</v>
      </c>
      <c r="J20" s="279"/>
      <c r="K20" s="323" t="s">
        <v>674</v>
      </c>
      <c r="L20" s="48" t="s">
        <v>675</v>
      </c>
    </row>
    <row r="21" spans="1:12" s="48" customFormat="1">
      <c r="A21" s="13"/>
      <c r="B21" s="341" t="s">
        <v>684</v>
      </c>
      <c r="C21" s="120"/>
      <c r="D21" s="280">
        <v>2.4</v>
      </c>
      <c r="E21" s="280"/>
      <c r="F21" s="280">
        <v>1.7</v>
      </c>
      <c r="G21" s="281">
        <v>1</v>
      </c>
      <c r="H21" s="281">
        <v>-1</v>
      </c>
      <c r="I21" s="287">
        <f t="shared" si="1"/>
        <v>-4.08</v>
      </c>
      <c r="J21" s="279"/>
      <c r="K21" s="323" t="s">
        <v>685</v>
      </c>
    </row>
    <row r="22" spans="1:12" s="48" customFormat="1">
      <c r="A22" s="13"/>
      <c r="B22" s="341" t="s">
        <v>686</v>
      </c>
      <c r="C22" s="120"/>
      <c r="D22" s="280">
        <f>3.05+0.9</f>
        <v>3.9499999999999997</v>
      </c>
      <c r="E22" s="280"/>
      <c r="F22" s="280">
        <f>2.4+0.6</f>
        <v>3</v>
      </c>
      <c r="G22" s="281">
        <v>1</v>
      </c>
      <c r="H22" s="281">
        <v>-1</v>
      </c>
      <c r="I22" s="287">
        <f t="shared" si="1"/>
        <v>-11.85</v>
      </c>
      <c r="J22" s="279"/>
      <c r="K22" s="323" t="s">
        <v>687</v>
      </c>
    </row>
    <row r="23" spans="1:12" s="48" customFormat="1">
      <c r="A23" s="13"/>
      <c r="B23" s="339" t="s">
        <v>688</v>
      </c>
      <c r="C23" s="120"/>
      <c r="D23" s="280">
        <f>5.8*2+4.9*2+4.7+1+0.88+0.2*4+0.3*4+0.4*4</f>
        <v>31.58</v>
      </c>
      <c r="E23" s="280"/>
      <c r="F23" s="280">
        <v>3</v>
      </c>
      <c r="G23" s="281">
        <v>1</v>
      </c>
      <c r="H23" s="281">
        <v>1</v>
      </c>
      <c r="I23" s="287">
        <f t="shared" si="1"/>
        <v>94.74</v>
      </c>
      <c r="J23" s="279"/>
      <c r="K23" s="323" t="s">
        <v>674</v>
      </c>
      <c r="L23" s="48" t="s">
        <v>675</v>
      </c>
    </row>
    <row r="24" spans="1:12" s="48" customFormat="1">
      <c r="A24" s="13"/>
      <c r="B24" s="341" t="s">
        <v>689</v>
      </c>
      <c r="C24" s="120"/>
      <c r="D24" s="280">
        <v>2.4</v>
      </c>
      <c r="E24" s="280"/>
      <c r="F24" s="280">
        <v>1.7</v>
      </c>
      <c r="G24" s="281">
        <v>1</v>
      </c>
      <c r="H24" s="281">
        <v>-1</v>
      </c>
      <c r="I24" s="287">
        <f t="shared" si="1"/>
        <v>-4.08</v>
      </c>
      <c r="J24" s="279"/>
      <c r="K24" s="323" t="s">
        <v>677</v>
      </c>
    </row>
    <row r="25" spans="1:12" s="48" customFormat="1">
      <c r="A25" s="13"/>
      <c r="B25" s="341" t="s">
        <v>690</v>
      </c>
      <c r="C25" s="120"/>
      <c r="D25" s="280">
        <v>2.4</v>
      </c>
      <c r="E25" s="280"/>
      <c r="F25" s="280">
        <v>1.7</v>
      </c>
      <c r="G25" s="281">
        <v>3</v>
      </c>
      <c r="H25" s="281">
        <v>-1</v>
      </c>
      <c r="I25" s="287">
        <f t="shared" si="1"/>
        <v>-12.24</v>
      </c>
      <c r="J25" s="279"/>
      <c r="K25" s="323" t="s">
        <v>685</v>
      </c>
    </row>
    <row r="26" spans="1:12" s="48" customFormat="1" ht="31.5">
      <c r="A26" s="13"/>
      <c r="B26" s="339" t="s">
        <v>691</v>
      </c>
      <c r="C26" s="120"/>
      <c r="D26" s="280">
        <v>5.62</v>
      </c>
      <c r="E26" s="280"/>
      <c r="F26" s="280">
        <v>3.3</v>
      </c>
      <c r="G26" s="281">
        <v>1</v>
      </c>
      <c r="H26" s="281">
        <v>2</v>
      </c>
      <c r="I26" s="287">
        <f t="shared" si="1"/>
        <v>37.091999999999999</v>
      </c>
      <c r="J26" s="279"/>
      <c r="K26" s="323" t="s">
        <v>692</v>
      </c>
      <c r="L26" s="48" t="s">
        <v>693</v>
      </c>
    </row>
    <row r="27" spans="1:12" s="48" customFormat="1" ht="31.5">
      <c r="A27" s="13"/>
      <c r="B27" s="339" t="s">
        <v>694</v>
      </c>
      <c r="C27" s="120"/>
      <c r="D27" s="280">
        <v>5.62</v>
      </c>
      <c r="E27" s="280"/>
      <c r="F27" s="280">
        <v>3.3</v>
      </c>
      <c r="G27" s="281">
        <v>1</v>
      </c>
      <c r="H27" s="281">
        <v>2</v>
      </c>
      <c r="I27" s="287">
        <f t="shared" si="1"/>
        <v>37.091999999999999</v>
      </c>
      <c r="J27" s="279"/>
      <c r="K27" s="323" t="s">
        <v>695</v>
      </c>
    </row>
    <row r="28" spans="1:12" s="48" customFormat="1">
      <c r="A28" s="13"/>
      <c r="B28" s="339" t="s">
        <v>696</v>
      </c>
      <c r="C28" s="120"/>
      <c r="D28" s="280">
        <f>(5.9+2.8)*2</f>
        <v>17.399999999999999</v>
      </c>
      <c r="E28" s="280"/>
      <c r="F28" s="280">
        <f>4.15-0.15</f>
        <v>4</v>
      </c>
      <c r="G28" s="281">
        <v>1</v>
      </c>
      <c r="H28" s="281">
        <v>1</v>
      </c>
      <c r="I28" s="287">
        <f t="shared" si="1"/>
        <v>69.599999999999994</v>
      </c>
      <c r="J28" s="279"/>
      <c r="K28" s="323" t="s">
        <v>697</v>
      </c>
      <c r="L28" s="48" t="s">
        <v>698</v>
      </c>
    </row>
    <row r="29" spans="1:12" s="52" customFormat="1">
      <c r="A29" s="272"/>
      <c r="B29" s="341" t="s">
        <v>407</v>
      </c>
      <c r="C29" s="121"/>
      <c r="D29" s="274">
        <v>4.25</v>
      </c>
      <c r="E29" s="274">
        <f>2.8/2</f>
        <v>1.4</v>
      </c>
      <c r="F29" s="274"/>
      <c r="G29" s="273">
        <v>1</v>
      </c>
      <c r="H29" s="273">
        <v>1</v>
      </c>
      <c r="I29" s="287">
        <f t="shared" si="1"/>
        <v>5.9499999999999993</v>
      </c>
      <c r="J29" s="123"/>
      <c r="K29" s="292"/>
    </row>
    <row r="30" spans="1:12" s="48" customFormat="1">
      <c r="A30" s="13"/>
      <c r="B30" s="341" t="s">
        <v>408</v>
      </c>
      <c r="C30" s="120"/>
      <c r="D30" s="280">
        <v>3.5</v>
      </c>
      <c r="E30" s="274">
        <f>2.8/2</f>
        <v>1.4</v>
      </c>
      <c r="F30" s="280"/>
      <c r="G30" s="281">
        <v>1</v>
      </c>
      <c r="H30" s="281">
        <v>1</v>
      </c>
      <c r="I30" s="287">
        <f t="shared" si="1"/>
        <v>4.8999999999999995</v>
      </c>
      <c r="J30" s="279"/>
      <c r="K30" s="323"/>
    </row>
    <row r="31" spans="1:12" s="48" customFormat="1">
      <c r="A31" s="13"/>
      <c r="B31" s="341" t="s">
        <v>699</v>
      </c>
      <c r="C31" s="120"/>
      <c r="D31" s="280">
        <v>2.8</v>
      </c>
      <c r="E31" s="280">
        <v>1.6</v>
      </c>
      <c r="F31" s="280"/>
      <c r="G31" s="281">
        <v>2</v>
      </c>
      <c r="H31" s="281">
        <v>1</v>
      </c>
      <c r="I31" s="287">
        <f t="shared" si="1"/>
        <v>8.9599999999999991</v>
      </c>
      <c r="J31" s="279"/>
      <c r="K31" s="323"/>
    </row>
    <row r="32" spans="1:12" s="48" customFormat="1">
      <c r="A32" s="13"/>
      <c r="B32" s="341" t="s">
        <v>411</v>
      </c>
      <c r="C32" s="13"/>
      <c r="D32" s="280">
        <v>1.77</v>
      </c>
      <c r="E32" s="280"/>
      <c r="F32" s="280">
        <v>2.4500000000000002</v>
      </c>
      <c r="G32" s="281">
        <v>1</v>
      </c>
      <c r="H32" s="281">
        <v>-1</v>
      </c>
      <c r="I32" s="287">
        <f t="shared" si="1"/>
        <v>-4.3365</v>
      </c>
      <c r="J32" s="279"/>
      <c r="K32" s="323"/>
    </row>
    <row r="33" spans="1:12" s="48" customFormat="1">
      <c r="A33" s="13"/>
      <c r="B33" s="341" t="s">
        <v>199</v>
      </c>
      <c r="C33" s="120"/>
      <c r="D33" s="280">
        <v>0.6</v>
      </c>
      <c r="E33" s="280"/>
      <c r="F33" s="280">
        <v>0.45</v>
      </c>
      <c r="G33" s="281">
        <v>2</v>
      </c>
      <c r="H33" s="281">
        <v>-1</v>
      </c>
      <c r="I33" s="287">
        <f t="shared" si="1"/>
        <v>-0.54</v>
      </c>
      <c r="J33" s="279"/>
      <c r="K33" s="323" t="s">
        <v>685</v>
      </c>
    </row>
    <row r="34" spans="1:12" s="48" customFormat="1">
      <c r="A34" s="13"/>
      <c r="B34" s="339" t="s">
        <v>700</v>
      </c>
      <c r="C34" s="120"/>
      <c r="D34" s="280">
        <f>5.9*2+5.7</f>
        <v>17.5</v>
      </c>
      <c r="E34" s="280"/>
      <c r="F34" s="280">
        <f>4.15-0.15</f>
        <v>4</v>
      </c>
      <c r="G34" s="281">
        <v>1</v>
      </c>
      <c r="H34" s="281">
        <v>1</v>
      </c>
      <c r="I34" s="287">
        <f t="shared" si="1"/>
        <v>70</v>
      </c>
      <c r="J34" s="279"/>
      <c r="K34" s="323" t="s">
        <v>697</v>
      </c>
    </row>
    <row r="35" spans="1:12" s="48" customFormat="1">
      <c r="A35" s="13"/>
      <c r="B35" s="341" t="s">
        <v>407</v>
      </c>
      <c r="C35" s="120"/>
      <c r="D35" s="280">
        <v>3.55</v>
      </c>
      <c r="E35" s="280">
        <v>1.3</v>
      </c>
      <c r="F35" s="280"/>
      <c r="G35" s="281">
        <v>2</v>
      </c>
      <c r="H35" s="281">
        <v>1</v>
      </c>
      <c r="I35" s="287">
        <f>PRODUCT(D35:H35)</f>
        <v>9.23</v>
      </c>
      <c r="J35" s="279"/>
      <c r="K35" s="323"/>
    </row>
    <row r="36" spans="1:12" s="48" customFormat="1">
      <c r="A36" s="13"/>
      <c r="B36" s="341" t="s">
        <v>408</v>
      </c>
      <c r="C36" s="120"/>
      <c r="D36" s="280">
        <v>3.55</v>
      </c>
      <c r="E36" s="280">
        <v>2.5</v>
      </c>
      <c r="F36" s="280"/>
      <c r="G36" s="281">
        <v>1</v>
      </c>
      <c r="H36" s="281">
        <v>1</v>
      </c>
      <c r="I36" s="287">
        <f>PRODUCT(D36:H36)</f>
        <v>8.875</v>
      </c>
      <c r="J36" s="279"/>
      <c r="K36" s="323"/>
    </row>
    <row r="37" spans="1:12" s="48" customFormat="1">
      <c r="A37" s="13"/>
      <c r="B37" s="341" t="s">
        <v>409</v>
      </c>
      <c r="C37" s="120"/>
      <c r="D37" s="280">
        <v>5.7</v>
      </c>
      <c r="E37" s="280">
        <v>1.69</v>
      </c>
      <c r="F37" s="280"/>
      <c r="G37" s="281">
        <v>1</v>
      </c>
      <c r="H37" s="281">
        <v>1</v>
      </c>
      <c r="I37" s="287">
        <f>PRODUCT(D37:H37)</f>
        <v>9.6329999999999991</v>
      </c>
      <c r="J37" s="279"/>
      <c r="K37" s="323"/>
    </row>
    <row r="38" spans="1:12" s="48" customFormat="1">
      <c r="A38" s="13"/>
      <c r="B38" s="341" t="s">
        <v>199</v>
      </c>
      <c r="C38" s="120"/>
      <c r="D38" s="280">
        <v>0.6</v>
      </c>
      <c r="E38" s="280"/>
      <c r="F38" s="280">
        <v>0.45</v>
      </c>
      <c r="G38" s="281">
        <v>2</v>
      </c>
      <c r="H38" s="281">
        <v>-1</v>
      </c>
      <c r="I38" s="287">
        <f t="shared" si="1"/>
        <v>-0.54</v>
      </c>
      <c r="J38" s="279"/>
      <c r="K38" s="323" t="s">
        <v>685</v>
      </c>
    </row>
    <row r="39" spans="1:12" s="48" customFormat="1">
      <c r="A39" s="13"/>
      <c r="B39" s="339" t="s">
        <v>701</v>
      </c>
      <c r="C39" s="120"/>
      <c r="D39" s="280">
        <f>(3.7+2)*2</f>
        <v>11.4</v>
      </c>
      <c r="E39" s="280"/>
      <c r="F39" s="280">
        <v>3.3</v>
      </c>
      <c r="G39" s="281">
        <v>1</v>
      </c>
      <c r="H39" s="281">
        <v>1</v>
      </c>
      <c r="I39" s="287">
        <f t="shared" si="1"/>
        <v>37.619999999999997</v>
      </c>
      <c r="J39" s="279"/>
      <c r="K39" s="323" t="s">
        <v>702</v>
      </c>
    </row>
    <row r="40" spans="1:12" s="48" customFormat="1">
      <c r="A40" s="13"/>
      <c r="B40" s="341" t="s">
        <v>200</v>
      </c>
      <c r="C40" s="120"/>
      <c r="D40" s="280">
        <v>0.9</v>
      </c>
      <c r="E40" s="280"/>
      <c r="F40" s="280">
        <v>2.2000000000000002</v>
      </c>
      <c r="G40" s="281">
        <v>1</v>
      </c>
      <c r="H40" s="281">
        <v>-1</v>
      </c>
      <c r="I40" s="287">
        <f t="shared" si="1"/>
        <v>-1.9800000000000002</v>
      </c>
      <c r="J40" s="279"/>
      <c r="K40" s="323"/>
    </row>
    <row r="41" spans="1:12" s="48" customFormat="1">
      <c r="A41" s="13"/>
      <c r="B41" s="341" t="s">
        <v>199</v>
      </c>
      <c r="C41" s="120"/>
      <c r="D41" s="280">
        <v>1.25</v>
      </c>
      <c r="E41" s="280"/>
      <c r="F41" s="280">
        <v>1.1000000000000001</v>
      </c>
      <c r="G41" s="281">
        <v>1</v>
      </c>
      <c r="H41" s="281">
        <v>-1</v>
      </c>
      <c r="I41" s="287">
        <f t="shared" si="1"/>
        <v>-1.375</v>
      </c>
      <c r="J41" s="279"/>
      <c r="K41" s="323"/>
    </row>
    <row r="42" spans="1:12" s="48" customFormat="1">
      <c r="A42" s="13"/>
      <c r="B42" s="339" t="s">
        <v>703</v>
      </c>
      <c r="C42" s="120"/>
      <c r="D42" s="280">
        <f>4.1*2+4.4*2</f>
        <v>17</v>
      </c>
      <c r="E42" s="280"/>
      <c r="F42" s="280">
        <v>3.3</v>
      </c>
      <c r="G42" s="281">
        <v>1</v>
      </c>
      <c r="H42" s="281">
        <v>1</v>
      </c>
      <c r="I42" s="287">
        <f t="shared" si="1"/>
        <v>56.099999999999994</v>
      </c>
      <c r="J42" s="279"/>
      <c r="K42" s="323" t="s">
        <v>702</v>
      </c>
      <c r="L42" s="48" t="s">
        <v>704</v>
      </c>
    </row>
    <row r="43" spans="1:12" s="48" customFormat="1">
      <c r="A43" s="13"/>
      <c r="B43" s="341" t="s">
        <v>705</v>
      </c>
      <c r="C43" s="120"/>
      <c r="D43" s="280">
        <v>4.0999999999999996</v>
      </c>
      <c r="E43" s="280"/>
      <c r="F43" s="280">
        <v>2.9</v>
      </c>
      <c r="G43" s="281">
        <v>2</v>
      </c>
      <c r="H43" s="281">
        <v>-1</v>
      </c>
      <c r="I43" s="287">
        <f t="shared" si="1"/>
        <v>-23.779999999999998</v>
      </c>
      <c r="J43" s="279"/>
      <c r="K43" s="323" t="s">
        <v>679</v>
      </c>
    </row>
    <row r="44" spans="1:12" s="48" customFormat="1">
      <c r="A44" s="13"/>
      <c r="B44" s="341" t="s">
        <v>705</v>
      </c>
      <c r="C44" s="120"/>
      <c r="D44" s="280">
        <v>4.4000000000000004</v>
      </c>
      <c r="E44" s="280"/>
      <c r="F44" s="280">
        <v>2.9</v>
      </c>
      <c r="G44" s="281">
        <v>2</v>
      </c>
      <c r="H44" s="281">
        <v>-1</v>
      </c>
      <c r="I44" s="287">
        <f t="shared" si="1"/>
        <v>-25.52</v>
      </c>
      <c r="J44" s="279"/>
      <c r="K44" s="323" t="s">
        <v>679</v>
      </c>
    </row>
    <row r="45" spans="1:12" s="48" customFormat="1">
      <c r="A45" s="13"/>
      <c r="B45" s="339" t="s">
        <v>706</v>
      </c>
      <c r="C45" s="120"/>
      <c r="D45" s="280">
        <f>5.35+5.45</f>
        <v>10.8</v>
      </c>
      <c r="E45" s="280"/>
      <c r="F45" s="280">
        <v>3.3</v>
      </c>
      <c r="G45" s="281">
        <v>1</v>
      </c>
      <c r="H45" s="281">
        <v>1</v>
      </c>
      <c r="I45" s="287">
        <f t="shared" si="1"/>
        <v>35.64</v>
      </c>
      <c r="J45" s="279"/>
      <c r="K45" s="323" t="s">
        <v>702</v>
      </c>
    </row>
    <row r="46" spans="1:12" s="48" customFormat="1">
      <c r="A46" s="13"/>
      <c r="B46" s="341" t="s">
        <v>707</v>
      </c>
      <c r="C46" s="120"/>
      <c r="D46" s="280">
        <v>1.75</v>
      </c>
      <c r="E46" s="280"/>
      <c r="F46" s="280">
        <v>3</v>
      </c>
      <c r="G46" s="281">
        <v>1</v>
      </c>
      <c r="H46" s="281">
        <v>-1</v>
      </c>
      <c r="I46" s="287">
        <f t="shared" si="1"/>
        <v>-5.25</v>
      </c>
      <c r="J46" s="279"/>
      <c r="K46" s="323" t="s">
        <v>708</v>
      </c>
    </row>
    <row r="47" spans="1:12" s="48" customFormat="1">
      <c r="A47" s="13"/>
      <c r="B47" s="341" t="s">
        <v>709</v>
      </c>
      <c r="C47" s="120"/>
      <c r="D47" s="280">
        <v>4.0199999999999996</v>
      </c>
      <c r="E47" s="280"/>
      <c r="F47" s="280">
        <v>3</v>
      </c>
      <c r="G47" s="281">
        <v>1</v>
      </c>
      <c r="H47" s="281">
        <v>-1</v>
      </c>
      <c r="I47" s="287">
        <f t="shared" si="1"/>
        <v>-12.059999999999999</v>
      </c>
      <c r="J47" s="279"/>
      <c r="K47" s="323" t="s">
        <v>687</v>
      </c>
    </row>
    <row r="48" spans="1:12" s="48" customFormat="1">
      <c r="A48" s="13"/>
      <c r="B48" s="339" t="s">
        <v>710</v>
      </c>
      <c r="C48" s="120"/>
      <c r="D48" s="280">
        <f>1.13+12.45+15.45</f>
        <v>29.029999999999998</v>
      </c>
      <c r="E48" s="280"/>
      <c r="F48" s="280">
        <v>3.3</v>
      </c>
      <c r="G48" s="281">
        <v>1</v>
      </c>
      <c r="H48" s="281">
        <v>1</v>
      </c>
      <c r="I48" s="287">
        <f>PRODUCT(D48:H48)</f>
        <v>95.798999999999992</v>
      </c>
      <c r="J48" s="279"/>
      <c r="K48" s="323" t="s">
        <v>702</v>
      </c>
    </row>
    <row r="49" spans="1:11" s="48" customFormat="1">
      <c r="A49" s="13"/>
      <c r="B49" s="341" t="s">
        <v>711</v>
      </c>
      <c r="C49" s="120"/>
      <c r="D49" s="280">
        <v>0.9</v>
      </c>
      <c r="E49" s="280"/>
      <c r="F49" s="280">
        <v>2.2000000000000002</v>
      </c>
      <c r="G49" s="281">
        <v>2</v>
      </c>
      <c r="H49" s="281">
        <v>-1</v>
      </c>
      <c r="I49" s="287">
        <f t="shared" si="1"/>
        <v>-3.9600000000000004</v>
      </c>
      <c r="J49" s="279"/>
      <c r="K49" s="323"/>
    </row>
    <row r="50" spans="1:11" s="48" customFormat="1">
      <c r="A50" s="13"/>
      <c r="B50" s="341" t="s">
        <v>712</v>
      </c>
      <c r="C50" s="120"/>
      <c r="D50" s="280">
        <v>3.95</v>
      </c>
      <c r="E50" s="280"/>
      <c r="F50" s="280">
        <v>3</v>
      </c>
      <c r="G50" s="281">
        <v>1</v>
      </c>
      <c r="H50" s="281">
        <v>-1</v>
      </c>
      <c r="I50" s="287">
        <f t="shared" si="1"/>
        <v>-11.850000000000001</v>
      </c>
      <c r="J50" s="279"/>
      <c r="K50" s="323" t="s">
        <v>687</v>
      </c>
    </row>
    <row r="51" spans="1:11" s="48" customFormat="1">
      <c r="A51" s="13"/>
      <c r="B51" s="341" t="s">
        <v>713</v>
      </c>
      <c r="C51" s="120"/>
      <c r="D51" s="280">
        <f>8.04+4.7+7.8</f>
        <v>20.54</v>
      </c>
      <c r="E51" s="280"/>
      <c r="F51" s="280">
        <v>3</v>
      </c>
      <c r="G51" s="281">
        <v>1</v>
      </c>
      <c r="H51" s="281">
        <v>-1</v>
      </c>
      <c r="I51" s="287">
        <f t="shared" si="1"/>
        <v>-61.62</v>
      </c>
      <c r="J51" s="279"/>
      <c r="K51" s="323" t="s">
        <v>687</v>
      </c>
    </row>
    <row r="52" spans="1:11" s="48" customFormat="1">
      <c r="A52" s="13"/>
      <c r="B52" s="339" t="s">
        <v>714</v>
      </c>
      <c r="C52" s="120"/>
      <c r="D52" s="280">
        <f>0.4+1</f>
        <v>1.4</v>
      </c>
      <c r="E52" s="280"/>
      <c r="F52" s="280">
        <v>3.3</v>
      </c>
      <c r="G52" s="281">
        <v>2</v>
      </c>
      <c r="H52" s="281">
        <v>1</v>
      </c>
      <c r="I52" s="287">
        <f t="shared" si="1"/>
        <v>9.2399999999999984</v>
      </c>
      <c r="J52" s="279"/>
      <c r="K52" s="323" t="s">
        <v>702</v>
      </c>
    </row>
    <row r="53" spans="1:11" s="48" customFormat="1">
      <c r="A53" s="13"/>
      <c r="B53" s="339" t="s">
        <v>715</v>
      </c>
      <c r="C53" s="120"/>
      <c r="D53" s="280">
        <f>0.5*2+0.7</f>
        <v>1.7</v>
      </c>
      <c r="E53" s="280"/>
      <c r="F53" s="280">
        <v>3.3</v>
      </c>
      <c r="G53" s="281">
        <v>2</v>
      </c>
      <c r="H53" s="281">
        <v>1</v>
      </c>
      <c r="I53" s="287">
        <f t="shared" si="1"/>
        <v>11.219999999999999</v>
      </c>
      <c r="J53" s="279"/>
      <c r="K53" s="323" t="s">
        <v>702</v>
      </c>
    </row>
    <row r="54" spans="1:11" s="48" customFormat="1">
      <c r="A54" s="13"/>
      <c r="B54" s="339" t="s">
        <v>716</v>
      </c>
      <c r="C54" s="120"/>
      <c r="D54" s="280">
        <f>0.43+0.83+0.75*2+1.56</f>
        <v>4.32</v>
      </c>
      <c r="E54" s="280"/>
      <c r="F54" s="280">
        <v>3.3</v>
      </c>
      <c r="G54" s="281">
        <v>2</v>
      </c>
      <c r="H54" s="281">
        <v>1</v>
      </c>
      <c r="I54" s="287">
        <f t="shared" si="1"/>
        <v>28.512</v>
      </c>
      <c r="J54" s="279"/>
      <c r="K54" s="323" t="s">
        <v>702</v>
      </c>
    </row>
    <row r="55" spans="1:11" s="48" customFormat="1">
      <c r="A55" s="13"/>
      <c r="B55" s="339" t="s">
        <v>717</v>
      </c>
      <c r="C55" s="120"/>
      <c r="D55" s="280">
        <f>(0.3+0.4)*2</f>
        <v>1.4</v>
      </c>
      <c r="E55" s="280"/>
      <c r="F55" s="280">
        <v>3.3</v>
      </c>
      <c r="G55" s="281">
        <v>4</v>
      </c>
      <c r="H55" s="281">
        <v>1</v>
      </c>
      <c r="I55" s="287">
        <f t="shared" si="1"/>
        <v>18.479999999999997</v>
      </c>
      <c r="J55" s="279"/>
      <c r="K55" s="323" t="s">
        <v>702</v>
      </c>
    </row>
    <row r="56" spans="1:11" s="48" customFormat="1">
      <c r="A56" s="13"/>
      <c r="B56" s="339" t="s">
        <v>718</v>
      </c>
      <c r="C56" s="120"/>
      <c r="D56" s="280">
        <f>0.4*4</f>
        <v>1.6</v>
      </c>
      <c r="E56" s="280"/>
      <c r="F56" s="280">
        <v>3.3</v>
      </c>
      <c r="G56" s="281">
        <v>2</v>
      </c>
      <c r="H56" s="281">
        <v>1</v>
      </c>
      <c r="I56" s="287">
        <f t="shared" si="1"/>
        <v>10.56</v>
      </c>
      <c r="J56" s="279"/>
      <c r="K56" s="323" t="s">
        <v>702</v>
      </c>
    </row>
    <row r="57" spans="1:11" s="48" customFormat="1">
      <c r="A57" s="13"/>
      <c r="B57" s="222" t="s">
        <v>416</v>
      </c>
      <c r="C57" s="120"/>
      <c r="D57" s="280"/>
      <c r="E57" s="280"/>
      <c r="F57" s="280"/>
      <c r="G57" s="281"/>
      <c r="H57" s="281"/>
      <c r="I57" s="287"/>
      <c r="J57" s="279"/>
      <c r="K57" s="323"/>
    </row>
    <row r="58" spans="1:11" s="48" customFormat="1">
      <c r="A58" s="13"/>
      <c r="B58" s="339" t="s">
        <v>719</v>
      </c>
      <c r="C58" s="120"/>
      <c r="D58" s="280">
        <v>8</v>
      </c>
      <c r="E58" s="280"/>
      <c r="F58" s="280">
        <v>3.2</v>
      </c>
      <c r="G58" s="281">
        <v>1</v>
      </c>
      <c r="H58" s="281">
        <v>1</v>
      </c>
      <c r="I58" s="287">
        <f t="shared" si="1"/>
        <v>25.6</v>
      </c>
      <c r="J58" s="279"/>
      <c r="K58" s="323" t="s">
        <v>720</v>
      </c>
    </row>
    <row r="59" spans="1:11" s="48" customFormat="1">
      <c r="A59" s="13"/>
      <c r="B59" s="341" t="s">
        <v>406</v>
      </c>
      <c r="C59" s="120"/>
      <c r="D59" s="280">
        <v>2.4</v>
      </c>
      <c r="E59" s="280"/>
      <c r="F59" s="280">
        <v>1.7</v>
      </c>
      <c r="G59" s="281">
        <v>1</v>
      </c>
      <c r="H59" s="281">
        <v>-1</v>
      </c>
      <c r="I59" s="287">
        <f t="shared" si="1"/>
        <v>-4.08</v>
      </c>
      <c r="J59" s="279"/>
      <c r="K59" s="323" t="s">
        <v>677</v>
      </c>
    </row>
    <row r="60" spans="1:11" s="48" customFormat="1">
      <c r="A60" s="13"/>
      <c r="B60" s="341" t="s">
        <v>413</v>
      </c>
      <c r="C60" s="120"/>
      <c r="D60" s="280">
        <v>1.2</v>
      </c>
      <c r="E60" s="280"/>
      <c r="F60" s="280">
        <v>1.7</v>
      </c>
      <c r="G60" s="281">
        <v>1</v>
      </c>
      <c r="H60" s="281">
        <v>-1</v>
      </c>
      <c r="I60" s="287">
        <f t="shared" si="1"/>
        <v>-2.04</v>
      </c>
      <c r="J60" s="279"/>
      <c r="K60" s="323" t="s">
        <v>677</v>
      </c>
    </row>
    <row r="61" spans="1:11" s="48" customFormat="1">
      <c r="A61" s="13"/>
      <c r="B61" s="339" t="s">
        <v>721</v>
      </c>
      <c r="C61" s="120"/>
      <c r="D61" s="280">
        <v>5.9</v>
      </c>
      <c r="E61" s="280"/>
      <c r="F61" s="280">
        <v>3.2</v>
      </c>
      <c r="G61" s="281">
        <v>1</v>
      </c>
      <c r="H61" s="281">
        <v>1</v>
      </c>
      <c r="I61" s="287">
        <f t="shared" si="1"/>
        <v>18.880000000000003</v>
      </c>
      <c r="J61" s="279"/>
      <c r="K61" s="323" t="s">
        <v>722</v>
      </c>
    </row>
    <row r="62" spans="1:11" s="48" customFormat="1">
      <c r="A62" s="13"/>
      <c r="B62" s="339" t="s">
        <v>723</v>
      </c>
      <c r="C62" s="120"/>
      <c r="D62" s="280">
        <v>6.05</v>
      </c>
      <c r="E62" s="280"/>
      <c r="F62" s="280">
        <v>3.2</v>
      </c>
      <c r="G62" s="281">
        <v>1</v>
      </c>
      <c r="H62" s="281">
        <v>2</v>
      </c>
      <c r="I62" s="287">
        <f t="shared" si="1"/>
        <v>38.72</v>
      </c>
      <c r="J62" s="279"/>
      <c r="K62" s="323" t="s">
        <v>720</v>
      </c>
    </row>
    <row r="63" spans="1:11" s="48" customFormat="1">
      <c r="A63" s="13"/>
      <c r="B63" s="339" t="s">
        <v>724</v>
      </c>
      <c r="C63" s="120"/>
      <c r="D63" s="280">
        <v>5.9</v>
      </c>
      <c r="E63" s="280"/>
      <c r="F63" s="280">
        <v>3.2</v>
      </c>
      <c r="G63" s="281">
        <v>1</v>
      </c>
      <c r="H63" s="281">
        <v>1</v>
      </c>
      <c r="I63" s="287">
        <f t="shared" si="1"/>
        <v>18.880000000000003</v>
      </c>
      <c r="J63" s="279"/>
      <c r="K63" s="323" t="s">
        <v>720</v>
      </c>
    </row>
    <row r="64" spans="1:11" s="48" customFormat="1">
      <c r="A64" s="13"/>
      <c r="B64" s="339" t="s">
        <v>725</v>
      </c>
      <c r="C64" s="120"/>
      <c r="D64" s="280">
        <v>6.05</v>
      </c>
      <c r="E64" s="280"/>
      <c r="F64" s="280">
        <v>3.2</v>
      </c>
      <c r="G64" s="281">
        <v>1</v>
      </c>
      <c r="H64" s="281">
        <v>2</v>
      </c>
      <c r="I64" s="287">
        <f t="shared" si="1"/>
        <v>38.72</v>
      </c>
      <c r="J64" s="279"/>
      <c r="K64" s="323" t="s">
        <v>720</v>
      </c>
    </row>
    <row r="65" spans="1:11" s="48" customFormat="1">
      <c r="A65" s="13"/>
      <c r="B65" s="339" t="s">
        <v>726</v>
      </c>
      <c r="C65" s="120"/>
      <c r="D65" s="280">
        <v>5.9</v>
      </c>
      <c r="E65" s="280"/>
      <c r="F65" s="280">
        <v>3.2</v>
      </c>
      <c r="G65" s="281">
        <v>1</v>
      </c>
      <c r="H65" s="281">
        <v>1</v>
      </c>
      <c r="I65" s="287">
        <f t="shared" si="1"/>
        <v>18.880000000000003</v>
      </c>
      <c r="J65" s="279"/>
      <c r="K65" s="323" t="s">
        <v>722</v>
      </c>
    </row>
    <row r="66" spans="1:11" s="48" customFormat="1">
      <c r="A66" s="13"/>
      <c r="B66" s="339" t="s">
        <v>405</v>
      </c>
      <c r="C66" s="120"/>
      <c r="D66" s="280">
        <v>13.9</v>
      </c>
      <c r="E66" s="280"/>
      <c r="F66" s="280">
        <v>3.2</v>
      </c>
      <c r="G66" s="281">
        <v>1</v>
      </c>
      <c r="H66" s="281">
        <v>1</v>
      </c>
      <c r="I66" s="287">
        <f t="shared" si="1"/>
        <v>44.480000000000004</v>
      </c>
      <c r="J66" s="279"/>
      <c r="K66" s="323" t="s">
        <v>720</v>
      </c>
    </row>
    <row r="67" spans="1:11" s="48" customFormat="1">
      <c r="A67" s="13"/>
      <c r="B67" s="341" t="s">
        <v>727</v>
      </c>
      <c r="C67" s="120"/>
      <c r="D67" s="280">
        <v>2.4</v>
      </c>
      <c r="E67" s="280"/>
      <c r="F67" s="280">
        <v>1.7</v>
      </c>
      <c r="G67" s="281">
        <v>1</v>
      </c>
      <c r="H67" s="281">
        <v>-1</v>
      </c>
      <c r="I67" s="287">
        <f t="shared" si="1"/>
        <v>-4.08</v>
      </c>
      <c r="J67" s="279"/>
      <c r="K67" s="323" t="s">
        <v>728</v>
      </c>
    </row>
    <row r="68" spans="1:11" s="48" customFormat="1">
      <c r="A68" s="13"/>
      <c r="B68" s="341" t="s">
        <v>727</v>
      </c>
      <c r="C68" s="120"/>
      <c r="D68" s="280">
        <v>1.2</v>
      </c>
      <c r="E68" s="280"/>
      <c r="F68" s="280">
        <v>1.7</v>
      </c>
      <c r="G68" s="281">
        <v>1</v>
      </c>
      <c r="H68" s="281">
        <v>-1</v>
      </c>
      <c r="I68" s="287">
        <f t="shared" si="1"/>
        <v>-2.04</v>
      </c>
      <c r="J68" s="279"/>
      <c r="K68" s="323" t="s">
        <v>729</v>
      </c>
    </row>
    <row r="69" spans="1:11" s="48" customFormat="1">
      <c r="A69" s="13"/>
      <c r="B69" s="339" t="s">
        <v>730</v>
      </c>
      <c r="C69" s="120"/>
      <c r="D69" s="280">
        <f>1.55+1+1.5+1+10.985+1.356</f>
        <v>17.391000000000002</v>
      </c>
      <c r="E69" s="280"/>
      <c r="F69" s="280">
        <v>3.2</v>
      </c>
      <c r="G69" s="281">
        <v>1</v>
      </c>
      <c r="H69" s="281">
        <v>1</v>
      </c>
      <c r="I69" s="287">
        <f t="shared" si="1"/>
        <v>55.65120000000001</v>
      </c>
      <c r="J69" s="279"/>
      <c r="K69" s="323" t="s">
        <v>720</v>
      </c>
    </row>
    <row r="70" spans="1:11" s="48" customFormat="1">
      <c r="A70" s="13"/>
      <c r="B70" s="341" t="s">
        <v>731</v>
      </c>
      <c r="C70" s="120"/>
      <c r="D70" s="280">
        <f>1+1.5+1+10.985+1.356</f>
        <v>15.840999999999999</v>
      </c>
      <c r="E70" s="280"/>
      <c r="F70" s="280">
        <v>1.8</v>
      </c>
      <c r="G70" s="281">
        <v>1</v>
      </c>
      <c r="H70" s="281">
        <v>-1</v>
      </c>
      <c r="I70" s="287">
        <f t="shared" si="1"/>
        <v>-28.5138</v>
      </c>
      <c r="J70" s="279"/>
      <c r="K70" s="323" t="s">
        <v>679</v>
      </c>
    </row>
    <row r="71" spans="1:11" s="48" customFormat="1">
      <c r="A71" s="13"/>
      <c r="B71" s="339" t="s">
        <v>414</v>
      </c>
      <c r="C71" s="120"/>
      <c r="D71" s="280">
        <f>1.55+1+1.5+1+10.985+1.356</f>
        <v>17.391000000000002</v>
      </c>
      <c r="E71" s="280"/>
      <c r="F71" s="280">
        <v>3.2</v>
      </c>
      <c r="G71" s="281">
        <v>1</v>
      </c>
      <c r="H71" s="281">
        <v>1</v>
      </c>
      <c r="I71" s="287">
        <f t="shared" si="1"/>
        <v>55.65120000000001</v>
      </c>
      <c r="J71" s="279"/>
      <c r="K71" s="323" t="s">
        <v>720</v>
      </c>
    </row>
    <row r="72" spans="1:11" s="48" customFormat="1">
      <c r="A72" s="13"/>
      <c r="B72" s="341" t="s">
        <v>731</v>
      </c>
      <c r="C72" s="120"/>
      <c r="D72" s="280">
        <f>1+1.5+1+10.985+1.356</f>
        <v>15.840999999999999</v>
      </c>
      <c r="E72" s="280"/>
      <c r="F72" s="280">
        <v>1.8</v>
      </c>
      <c r="G72" s="281">
        <v>1</v>
      </c>
      <c r="H72" s="281">
        <v>-1</v>
      </c>
      <c r="I72" s="287">
        <f t="shared" si="1"/>
        <v>-28.5138</v>
      </c>
      <c r="J72" s="279"/>
      <c r="K72" s="323" t="s">
        <v>679</v>
      </c>
    </row>
    <row r="73" spans="1:11" s="48" customFormat="1">
      <c r="A73" s="13"/>
      <c r="B73" s="339" t="s">
        <v>732</v>
      </c>
      <c r="C73" s="120"/>
      <c r="D73" s="280">
        <v>5.7</v>
      </c>
      <c r="E73" s="280"/>
      <c r="F73" s="280">
        <v>3.2</v>
      </c>
      <c r="G73" s="281">
        <v>1</v>
      </c>
      <c r="H73" s="281">
        <v>1</v>
      </c>
      <c r="I73" s="287">
        <f t="shared" si="1"/>
        <v>18.240000000000002</v>
      </c>
      <c r="J73" s="279"/>
      <c r="K73" s="323" t="s">
        <v>720</v>
      </c>
    </row>
    <row r="74" spans="1:11" s="48" customFormat="1">
      <c r="A74" s="13"/>
      <c r="B74" s="339" t="s">
        <v>733</v>
      </c>
      <c r="C74" s="120"/>
      <c r="D74" s="280">
        <v>10.1</v>
      </c>
      <c r="E74" s="280"/>
      <c r="F74" s="280">
        <v>3.2</v>
      </c>
      <c r="G74" s="281">
        <v>1</v>
      </c>
      <c r="H74" s="281">
        <v>1</v>
      </c>
      <c r="I74" s="287">
        <f t="shared" si="1"/>
        <v>32.32</v>
      </c>
      <c r="J74" s="279"/>
      <c r="K74" s="323" t="s">
        <v>720</v>
      </c>
    </row>
    <row r="75" spans="1:11" s="48" customFormat="1">
      <c r="A75" s="13"/>
      <c r="B75" s="341" t="s">
        <v>734</v>
      </c>
      <c r="C75" s="120"/>
      <c r="D75" s="280">
        <v>1.45</v>
      </c>
      <c r="E75" s="280"/>
      <c r="F75" s="280">
        <v>2.2000000000000002</v>
      </c>
      <c r="G75" s="281">
        <v>1</v>
      </c>
      <c r="H75" s="281">
        <v>-1</v>
      </c>
      <c r="I75" s="287">
        <f t="shared" si="1"/>
        <v>-3.19</v>
      </c>
      <c r="J75" s="279"/>
      <c r="K75" s="323" t="s">
        <v>735</v>
      </c>
    </row>
    <row r="76" spans="1:11" s="48" customFormat="1">
      <c r="A76" s="13"/>
      <c r="B76" s="341" t="s">
        <v>736</v>
      </c>
      <c r="C76" s="120"/>
      <c r="D76" s="280">
        <v>0.9</v>
      </c>
      <c r="E76" s="280"/>
      <c r="F76" s="280">
        <v>2.2000000000000002</v>
      </c>
      <c r="G76" s="281">
        <v>2</v>
      </c>
      <c r="H76" s="281">
        <v>-1</v>
      </c>
      <c r="I76" s="287">
        <f t="shared" si="1"/>
        <v>-3.9600000000000004</v>
      </c>
      <c r="J76" s="279"/>
      <c r="K76" s="323" t="s">
        <v>735</v>
      </c>
    </row>
    <row r="77" spans="1:11" s="48" customFormat="1">
      <c r="A77" s="13"/>
      <c r="B77" s="341" t="s">
        <v>737</v>
      </c>
      <c r="C77" s="120"/>
      <c r="D77" s="280">
        <v>1</v>
      </c>
      <c r="E77" s="280"/>
      <c r="F77" s="280">
        <v>1.1000000000000001</v>
      </c>
      <c r="G77" s="281">
        <v>1</v>
      </c>
      <c r="H77" s="281">
        <v>-1</v>
      </c>
      <c r="I77" s="287">
        <f t="shared" si="1"/>
        <v>-1.1000000000000001</v>
      </c>
      <c r="J77" s="279"/>
      <c r="K77" s="323" t="s">
        <v>735</v>
      </c>
    </row>
    <row r="78" spans="1:11" s="48" customFormat="1">
      <c r="A78" s="13"/>
      <c r="B78" s="339" t="s">
        <v>738</v>
      </c>
      <c r="C78" s="120"/>
      <c r="D78" s="280">
        <f>15.1+0.2*4+0.3*2</f>
        <v>16.5</v>
      </c>
      <c r="E78" s="280"/>
      <c r="F78" s="280">
        <v>3.2</v>
      </c>
      <c r="G78" s="281">
        <v>1</v>
      </c>
      <c r="H78" s="281">
        <v>1</v>
      </c>
      <c r="I78" s="287">
        <f t="shared" ref="I78:I86" si="2">PRODUCT(D78:H78)</f>
        <v>52.800000000000004</v>
      </c>
      <c r="J78" s="279"/>
      <c r="K78" s="323" t="s">
        <v>739</v>
      </c>
    </row>
    <row r="79" spans="1:11" s="48" customFormat="1">
      <c r="A79" s="13"/>
      <c r="B79" s="341" t="s">
        <v>727</v>
      </c>
      <c r="C79" s="120"/>
      <c r="D79" s="280">
        <v>2.4</v>
      </c>
      <c r="E79" s="280"/>
      <c r="F79" s="280">
        <v>1.7</v>
      </c>
      <c r="G79" s="281">
        <v>3</v>
      </c>
      <c r="H79" s="281">
        <v>-1</v>
      </c>
      <c r="I79" s="287">
        <f t="shared" si="2"/>
        <v>-12.24</v>
      </c>
      <c r="J79" s="279"/>
      <c r="K79" s="323" t="s">
        <v>735</v>
      </c>
    </row>
    <row r="80" spans="1:11" s="48" customFormat="1">
      <c r="A80" s="13"/>
      <c r="B80" s="339" t="s">
        <v>696</v>
      </c>
      <c r="C80" s="120"/>
      <c r="D80" s="280">
        <f>(5.9+2.8)*2</f>
        <v>17.399999999999999</v>
      </c>
      <c r="E80" s="280"/>
      <c r="F80" s="280">
        <f>3.65-0.15</f>
        <v>3.5</v>
      </c>
      <c r="G80" s="281">
        <v>1</v>
      </c>
      <c r="H80" s="281">
        <v>1</v>
      </c>
      <c r="I80" s="287">
        <f t="shared" si="2"/>
        <v>60.899999999999991</v>
      </c>
      <c r="J80" s="279"/>
      <c r="K80" s="323" t="s">
        <v>697</v>
      </c>
    </row>
    <row r="81" spans="1:11" s="52" customFormat="1">
      <c r="A81" s="272"/>
      <c r="B81" s="341" t="s">
        <v>407</v>
      </c>
      <c r="C81" s="121"/>
      <c r="D81" s="274">
        <v>2.5</v>
      </c>
      <c r="E81" s="274">
        <f>2.8/2</f>
        <v>1.4</v>
      </c>
      <c r="F81" s="274"/>
      <c r="G81" s="273">
        <v>1</v>
      </c>
      <c r="H81" s="273">
        <v>1</v>
      </c>
      <c r="I81" s="287">
        <f t="shared" si="2"/>
        <v>3.5</v>
      </c>
      <c r="J81" s="123"/>
      <c r="K81" s="292"/>
    </row>
    <row r="82" spans="1:11" s="48" customFormat="1">
      <c r="A82" s="13"/>
      <c r="B82" s="341" t="s">
        <v>408</v>
      </c>
      <c r="C82" s="120"/>
      <c r="D82" s="280">
        <v>2.5</v>
      </c>
      <c r="E82" s="274">
        <f>2.8/2</f>
        <v>1.4</v>
      </c>
      <c r="F82" s="280"/>
      <c r="G82" s="281">
        <v>1</v>
      </c>
      <c r="H82" s="281">
        <v>1</v>
      </c>
      <c r="I82" s="287">
        <f t="shared" si="2"/>
        <v>3.5</v>
      </c>
      <c r="J82" s="279"/>
      <c r="K82" s="323"/>
    </row>
    <row r="83" spans="1:11" s="48" customFormat="1">
      <c r="A83" s="13"/>
      <c r="B83" s="341" t="s">
        <v>699</v>
      </c>
      <c r="C83" s="120"/>
      <c r="D83" s="280">
        <v>2.8</v>
      </c>
      <c r="E83" s="280">
        <v>1.6</v>
      </c>
      <c r="F83" s="280"/>
      <c r="G83" s="281">
        <v>2</v>
      </c>
      <c r="H83" s="281">
        <v>1</v>
      </c>
      <c r="I83" s="287">
        <f t="shared" si="2"/>
        <v>8.9599999999999991</v>
      </c>
      <c r="J83" s="279"/>
      <c r="K83" s="323"/>
    </row>
    <row r="84" spans="1:11" s="48" customFormat="1">
      <c r="A84" s="13"/>
      <c r="B84" s="341" t="s">
        <v>411</v>
      </c>
      <c r="C84" s="13"/>
      <c r="D84" s="280">
        <v>1.45</v>
      </c>
      <c r="E84" s="280"/>
      <c r="F84" s="280">
        <v>2.4500000000000002</v>
      </c>
      <c r="G84" s="281">
        <v>1</v>
      </c>
      <c r="H84" s="281">
        <v>-1</v>
      </c>
      <c r="I84" s="287">
        <f t="shared" si="2"/>
        <v>-3.5525000000000002</v>
      </c>
      <c r="J84" s="279"/>
      <c r="K84" s="323"/>
    </row>
    <row r="85" spans="1:11" s="48" customFormat="1">
      <c r="A85" s="13"/>
      <c r="B85" s="341" t="s">
        <v>412</v>
      </c>
      <c r="C85" s="120"/>
      <c r="D85" s="280">
        <v>1.2</v>
      </c>
      <c r="E85" s="280"/>
      <c r="F85" s="280">
        <v>1.7</v>
      </c>
      <c r="G85" s="281">
        <v>1</v>
      </c>
      <c r="H85" s="281">
        <v>-1</v>
      </c>
      <c r="I85" s="287">
        <f t="shared" si="2"/>
        <v>-2.04</v>
      </c>
      <c r="J85" s="279"/>
      <c r="K85" s="323" t="s">
        <v>685</v>
      </c>
    </row>
    <row r="86" spans="1:11" s="48" customFormat="1">
      <c r="A86" s="13"/>
      <c r="B86" s="339" t="s">
        <v>700</v>
      </c>
      <c r="C86" s="120"/>
      <c r="D86" s="280">
        <f>5.9*2+5.7</f>
        <v>17.5</v>
      </c>
      <c r="E86" s="280"/>
      <c r="F86" s="280">
        <f>3.65-0.15</f>
        <v>3.5</v>
      </c>
      <c r="G86" s="281">
        <v>1</v>
      </c>
      <c r="H86" s="281">
        <v>1</v>
      </c>
      <c r="I86" s="287">
        <f t="shared" si="2"/>
        <v>61.25</v>
      </c>
      <c r="J86" s="279"/>
      <c r="K86" s="323" t="s">
        <v>697</v>
      </c>
    </row>
    <row r="87" spans="1:11" s="48" customFormat="1">
      <c r="A87" s="13"/>
      <c r="B87" s="341" t="s">
        <v>407</v>
      </c>
      <c r="C87" s="120"/>
      <c r="D87" s="280">
        <v>3.55</v>
      </c>
      <c r="E87" s="280">
        <v>1.3</v>
      </c>
      <c r="F87" s="280"/>
      <c r="G87" s="281">
        <v>2</v>
      </c>
      <c r="H87" s="281">
        <v>1</v>
      </c>
      <c r="I87" s="287">
        <f>PRODUCT(D87:H87)</f>
        <v>9.23</v>
      </c>
      <c r="J87" s="279"/>
      <c r="K87" s="323"/>
    </row>
    <row r="88" spans="1:11" s="48" customFormat="1">
      <c r="A88" s="13"/>
      <c r="B88" s="341" t="s">
        <v>408</v>
      </c>
      <c r="C88" s="120"/>
      <c r="D88" s="280">
        <v>3.55</v>
      </c>
      <c r="E88" s="280">
        <v>2.5</v>
      </c>
      <c r="F88" s="280"/>
      <c r="G88" s="281">
        <v>1</v>
      </c>
      <c r="H88" s="281">
        <v>1</v>
      </c>
      <c r="I88" s="287">
        <f>PRODUCT(D88:H88)</f>
        <v>8.875</v>
      </c>
      <c r="J88" s="279"/>
      <c r="K88" s="323"/>
    </row>
    <row r="89" spans="1:11" s="48" customFormat="1">
      <c r="A89" s="13"/>
      <c r="B89" s="341" t="s">
        <v>409</v>
      </c>
      <c r="C89" s="120"/>
      <c r="D89" s="280">
        <v>5.7</v>
      </c>
      <c r="E89" s="280">
        <v>1.35</v>
      </c>
      <c r="F89" s="280"/>
      <c r="G89" s="281">
        <v>1</v>
      </c>
      <c r="H89" s="281">
        <v>1</v>
      </c>
      <c r="I89" s="287">
        <f>PRODUCT(D89:H89)</f>
        <v>7.6950000000000012</v>
      </c>
      <c r="J89" s="279"/>
      <c r="K89" s="323"/>
    </row>
    <row r="90" spans="1:11" s="48" customFormat="1">
      <c r="A90" s="13"/>
      <c r="B90" s="341" t="s">
        <v>740</v>
      </c>
      <c r="C90" s="120"/>
      <c r="D90" s="280">
        <v>5.7</v>
      </c>
      <c r="E90" s="280">
        <v>0.8</v>
      </c>
      <c r="F90" s="280"/>
      <c r="G90" s="281">
        <v>1</v>
      </c>
      <c r="H90" s="281">
        <v>1</v>
      </c>
      <c r="I90" s="287">
        <f>PRODUCT(D90:H90)</f>
        <v>4.5600000000000005</v>
      </c>
      <c r="J90" s="279"/>
      <c r="K90" s="323"/>
    </row>
    <row r="91" spans="1:11" s="48" customFormat="1">
      <c r="A91" s="13"/>
      <c r="B91" s="341" t="s">
        <v>199</v>
      </c>
      <c r="C91" s="120"/>
      <c r="D91" s="280">
        <v>3</v>
      </c>
      <c r="E91" s="280"/>
      <c r="F91" s="280">
        <v>1.7</v>
      </c>
      <c r="G91" s="281">
        <v>1</v>
      </c>
      <c r="H91" s="281">
        <v>-1</v>
      </c>
      <c r="I91" s="287">
        <f t="shared" ref="I91:I99" si="3">PRODUCT(D91:H91)</f>
        <v>-5.0999999999999996</v>
      </c>
      <c r="J91" s="279"/>
      <c r="K91" s="323" t="s">
        <v>685</v>
      </c>
    </row>
    <row r="92" spans="1:11" s="48" customFormat="1">
      <c r="A92" s="13"/>
      <c r="B92" s="339" t="s">
        <v>701</v>
      </c>
      <c r="C92" s="120"/>
      <c r="D92" s="280">
        <f>(3.7+2)*2</f>
        <v>11.4</v>
      </c>
      <c r="E92" s="280"/>
      <c r="F92" s="280">
        <v>3.2</v>
      </c>
      <c r="G92" s="281">
        <v>1</v>
      </c>
      <c r="H92" s="281">
        <v>1</v>
      </c>
      <c r="I92" s="287">
        <f t="shared" si="3"/>
        <v>36.480000000000004</v>
      </c>
      <c r="J92" s="279"/>
      <c r="K92" s="323" t="s">
        <v>720</v>
      </c>
    </row>
    <row r="93" spans="1:11" s="48" customFormat="1">
      <c r="A93" s="13"/>
      <c r="B93" s="341" t="s">
        <v>200</v>
      </c>
      <c r="C93" s="120"/>
      <c r="D93" s="280">
        <v>0.9</v>
      </c>
      <c r="E93" s="280"/>
      <c r="F93" s="280">
        <v>2.2000000000000002</v>
      </c>
      <c r="G93" s="281">
        <v>1</v>
      </c>
      <c r="H93" s="281">
        <v>-1</v>
      </c>
      <c r="I93" s="287">
        <f t="shared" si="3"/>
        <v>-1.9800000000000002</v>
      </c>
      <c r="J93" s="279"/>
      <c r="K93" s="323"/>
    </row>
    <row r="94" spans="1:11" s="48" customFormat="1">
      <c r="A94" s="13"/>
      <c r="B94" s="341" t="s">
        <v>199</v>
      </c>
      <c r="C94" s="120"/>
      <c r="D94" s="280">
        <v>1</v>
      </c>
      <c r="E94" s="280"/>
      <c r="F94" s="280">
        <v>1.1000000000000001</v>
      </c>
      <c r="G94" s="281">
        <v>1</v>
      </c>
      <c r="H94" s="281">
        <v>-1</v>
      </c>
      <c r="I94" s="287">
        <f t="shared" si="3"/>
        <v>-1.1000000000000001</v>
      </c>
      <c r="J94" s="279"/>
      <c r="K94" s="323"/>
    </row>
    <row r="95" spans="1:11" s="48" customFormat="1">
      <c r="A95" s="13"/>
      <c r="B95" s="339" t="s">
        <v>741</v>
      </c>
      <c r="C95" s="120"/>
      <c r="D95" s="280">
        <f>0.7*4</f>
        <v>2.8</v>
      </c>
      <c r="E95" s="280"/>
      <c r="F95" s="280">
        <v>3.2</v>
      </c>
      <c r="G95" s="281">
        <v>4</v>
      </c>
      <c r="H95" s="281">
        <v>1</v>
      </c>
      <c r="I95" s="287">
        <f t="shared" si="3"/>
        <v>35.839999999999996</v>
      </c>
      <c r="J95" s="279"/>
      <c r="K95" s="323" t="s">
        <v>720</v>
      </c>
    </row>
    <row r="96" spans="1:11" s="48" customFormat="1">
      <c r="A96" s="13"/>
      <c r="B96" s="339" t="s">
        <v>716</v>
      </c>
      <c r="C96" s="120"/>
      <c r="D96" s="280">
        <f>0.7*3+0.277</f>
        <v>2.3769999999999998</v>
      </c>
      <c r="E96" s="280"/>
      <c r="F96" s="280">
        <v>3.2</v>
      </c>
      <c r="G96" s="281">
        <v>2</v>
      </c>
      <c r="H96" s="281">
        <v>1</v>
      </c>
      <c r="I96" s="287">
        <f t="shared" si="3"/>
        <v>15.2128</v>
      </c>
      <c r="J96" s="279"/>
      <c r="K96" s="323" t="s">
        <v>720</v>
      </c>
    </row>
    <row r="97" spans="1:11" s="48" customFormat="1">
      <c r="A97" s="13"/>
      <c r="B97" s="339" t="s">
        <v>717</v>
      </c>
      <c r="C97" s="120"/>
      <c r="D97" s="280">
        <f>(0.3+0.4)*2</f>
        <v>1.4</v>
      </c>
      <c r="E97" s="280"/>
      <c r="F97" s="280">
        <v>3.2</v>
      </c>
      <c r="G97" s="281">
        <v>4</v>
      </c>
      <c r="H97" s="281">
        <v>1</v>
      </c>
      <c r="I97" s="287">
        <f t="shared" si="3"/>
        <v>17.919999999999998</v>
      </c>
      <c r="J97" s="279"/>
      <c r="K97" s="323" t="s">
        <v>720</v>
      </c>
    </row>
    <row r="98" spans="1:11" s="48" customFormat="1">
      <c r="A98" s="13"/>
      <c r="B98" s="339" t="s">
        <v>718</v>
      </c>
      <c r="C98" s="120"/>
      <c r="D98" s="280">
        <f>(0.3+0.4)*2-0.1*2</f>
        <v>1.2</v>
      </c>
      <c r="E98" s="280"/>
      <c r="F98" s="280">
        <v>3.2</v>
      </c>
      <c r="G98" s="281">
        <v>2</v>
      </c>
      <c r="H98" s="281">
        <v>1</v>
      </c>
      <c r="I98" s="287">
        <f t="shared" si="3"/>
        <v>7.68</v>
      </c>
      <c r="J98" s="279"/>
      <c r="K98" s="323" t="s">
        <v>720</v>
      </c>
    </row>
    <row r="99" spans="1:11" s="48" customFormat="1">
      <c r="A99" s="13"/>
      <c r="B99" s="339" t="s">
        <v>742</v>
      </c>
      <c r="C99" s="120"/>
      <c r="D99" s="280">
        <f>(0.3+0.4)*2</f>
        <v>1.4</v>
      </c>
      <c r="E99" s="280"/>
      <c r="F99" s="280">
        <v>3.2</v>
      </c>
      <c r="G99" s="281">
        <v>2</v>
      </c>
      <c r="H99" s="281">
        <v>1</v>
      </c>
      <c r="I99" s="287">
        <f t="shared" si="3"/>
        <v>8.9599999999999991</v>
      </c>
      <c r="J99" s="279"/>
      <c r="K99" s="323" t="s">
        <v>720</v>
      </c>
    </row>
    <row r="100" spans="1:11" s="52" customFormat="1">
      <c r="A100" s="272"/>
      <c r="B100" s="222" t="s">
        <v>417</v>
      </c>
      <c r="C100" s="121"/>
      <c r="D100" s="274"/>
      <c r="E100" s="274"/>
      <c r="F100" s="274"/>
      <c r="G100" s="273"/>
      <c r="H100" s="273"/>
      <c r="I100" s="287"/>
      <c r="J100" s="123"/>
      <c r="K100" s="292"/>
    </row>
    <row r="101" spans="1:11" s="48" customFormat="1">
      <c r="A101" s="13"/>
      <c r="B101" s="339" t="s">
        <v>719</v>
      </c>
      <c r="C101" s="120"/>
      <c r="D101" s="280">
        <v>8</v>
      </c>
      <c r="E101" s="280"/>
      <c r="F101" s="280">
        <v>3.2</v>
      </c>
      <c r="G101" s="281">
        <v>1</v>
      </c>
      <c r="H101" s="281">
        <v>1</v>
      </c>
      <c r="I101" s="287">
        <f t="shared" ref="I101:I139" si="4">PRODUCT(D101:H101)</f>
        <v>25.6</v>
      </c>
      <c r="J101" s="279"/>
      <c r="K101" s="323" t="s">
        <v>743</v>
      </c>
    </row>
    <row r="102" spans="1:11" s="48" customFormat="1">
      <c r="A102" s="13"/>
      <c r="B102" s="341" t="s">
        <v>406</v>
      </c>
      <c r="C102" s="120"/>
      <c r="D102" s="280">
        <v>2.4</v>
      </c>
      <c r="E102" s="280"/>
      <c r="F102" s="280">
        <v>1.7</v>
      </c>
      <c r="G102" s="281">
        <v>1</v>
      </c>
      <c r="H102" s="281">
        <v>-1</v>
      </c>
      <c r="I102" s="287">
        <f t="shared" si="4"/>
        <v>-4.08</v>
      </c>
      <c r="J102" s="279"/>
      <c r="K102" s="323" t="s">
        <v>677</v>
      </c>
    </row>
    <row r="103" spans="1:11" s="48" customFormat="1">
      <c r="A103" s="13"/>
      <c r="B103" s="341" t="s">
        <v>413</v>
      </c>
      <c r="C103" s="120"/>
      <c r="D103" s="280">
        <v>1.2</v>
      </c>
      <c r="E103" s="280"/>
      <c r="F103" s="280">
        <v>1.7</v>
      </c>
      <c r="G103" s="281">
        <v>1</v>
      </c>
      <c r="H103" s="281">
        <v>-1</v>
      </c>
      <c r="I103" s="287">
        <f t="shared" si="4"/>
        <v>-2.04</v>
      </c>
      <c r="J103" s="279"/>
      <c r="K103" s="323" t="s">
        <v>677</v>
      </c>
    </row>
    <row r="104" spans="1:11" s="48" customFormat="1">
      <c r="A104" s="13"/>
      <c r="B104" s="339" t="s">
        <v>723</v>
      </c>
      <c r="C104" s="120"/>
      <c r="D104" s="280">
        <v>6.05</v>
      </c>
      <c r="E104" s="280"/>
      <c r="F104" s="280">
        <v>3.2</v>
      </c>
      <c r="G104" s="281">
        <v>1</v>
      </c>
      <c r="H104" s="281">
        <v>2</v>
      </c>
      <c r="I104" s="287">
        <f t="shared" si="4"/>
        <v>38.72</v>
      </c>
      <c r="J104" s="279"/>
      <c r="K104" s="323" t="s">
        <v>743</v>
      </c>
    </row>
    <row r="105" spans="1:11" s="48" customFormat="1">
      <c r="A105" s="13"/>
      <c r="B105" s="339" t="s">
        <v>724</v>
      </c>
      <c r="C105" s="120"/>
      <c r="D105" s="280">
        <v>5.9</v>
      </c>
      <c r="E105" s="280"/>
      <c r="F105" s="280">
        <v>3.2</v>
      </c>
      <c r="G105" s="281">
        <v>1</v>
      </c>
      <c r="H105" s="281">
        <v>1</v>
      </c>
      <c r="I105" s="287">
        <f t="shared" si="4"/>
        <v>18.880000000000003</v>
      </c>
      <c r="J105" s="279"/>
      <c r="K105" s="323" t="s">
        <v>743</v>
      </c>
    </row>
    <row r="106" spans="1:11" s="48" customFormat="1">
      <c r="A106" s="13"/>
      <c r="B106" s="339" t="s">
        <v>725</v>
      </c>
      <c r="C106" s="120"/>
      <c r="D106" s="280">
        <v>6.05</v>
      </c>
      <c r="E106" s="280"/>
      <c r="F106" s="280">
        <v>3.2</v>
      </c>
      <c r="G106" s="281">
        <v>1</v>
      </c>
      <c r="H106" s="281">
        <v>2</v>
      </c>
      <c r="I106" s="287">
        <f t="shared" si="4"/>
        <v>38.72</v>
      </c>
      <c r="J106" s="279"/>
      <c r="K106" s="323" t="s">
        <v>743</v>
      </c>
    </row>
    <row r="107" spans="1:11" s="48" customFormat="1">
      <c r="A107" s="13"/>
      <c r="B107" s="339" t="s">
        <v>726</v>
      </c>
      <c r="C107" s="120"/>
      <c r="D107" s="280">
        <v>5.8</v>
      </c>
      <c r="E107" s="280"/>
      <c r="F107" s="280">
        <v>3.2</v>
      </c>
      <c r="G107" s="281">
        <v>1</v>
      </c>
      <c r="H107" s="281">
        <v>1</v>
      </c>
      <c r="I107" s="287">
        <f t="shared" si="4"/>
        <v>18.559999999999999</v>
      </c>
      <c r="J107" s="279"/>
      <c r="K107" s="323" t="s">
        <v>743</v>
      </c>
    </row>
    <row r="108" spans="1:11" s="48" customFormat="1">
      <c r="A108" s="13"/>
      <c r="B108" s="339" t="s">
        <v>405</v>
      </c>
      <c r="C108" s="120"/>
      <c r="D108" s="280">
        <v>13.9</v>
      </c>
      <c r="E108" s="280"/>
      <c r="F108" s="280">
        <v>3.2</v>
      </c>
      <c r="G108" s="281">
        <v>1</v>
      </c>
      <c r="H108" s="281">
        <v>1</v>
      </c>
      <c r="I108" s="287">
        <f t="shared" si="4"/>
        <v>44.480000000000004</v>
      </c>
      <c r="J108" s="279"/>
      <c r="K108" s="323" t="s">
        <v>743</v>
      </c>
    </row>
    <row r="109" spans="1:11" s="48" customFormat="1">
      <c r="A109" s="13"/>
      <c r="B109" s="341" t="s">
        <v>727</v>
      </c>
      <c r="C109" s="120"/>
      <c r="D109" s="280">
        <v>2.4</v>
      </c>
      <c r="E109" s="280"/>
      <c r="F109" s="280">
        <v>1.7</v>
      </c>
      <c r="G109" s="281">
        <v>1</v>
      </c>
      <c r="H109" s="281">
        <v>-1</v>
      </c>
      <c r="I109" s="287">
        <f t="shared" si="4"/>
        <v>-4.08</v>
      </c>
      <c r="J109" s="279"/>
      <c r="K109" s="323" t="s">
        <v>677</v>
      </c>
    </row>
    <row r="110" spans="1:11" s="48" customFormat="1">
      <c r="A110" s="13"/>
      <c r="B110" s="341" t="s">
        <v>727</v>
      </c>
      <c r="C110" s="120"/>
      <c r="D110" s="280">
        <v>1.2</v>
      </c>
      <c r="E110" s="280"/>
      <c r="F110" s="280">
        <v>1.7</v>
      </c>
      <c r="G110" s="281">
        <v>1</v>
      </c>
      <c r="H110" s="281">
        <v>-1</v>
      </c>
      <c r="I110" s="287">
        <f t="shared" si="4"/>
        <v>-2.04</v>
      </c>
      <c r="J110" s="279"/>
      <c r="K110" s="323" t="s">
        <v>677</v>
      </c>
    </row>
    <row r="111" spans="1:11" s="48" customFormat="1">
      <c r="A111" s="13"/>
      <c r="B111" s="339" t="s">
        <v>730</v>
      </c>
      <c r="C111" s="120"/>
      <c r="D111" s="280">
        <f>1.55+1+1.5+1+10.985+1.356</f>
        <v>17.391000000000002</v>
      </c>
      <c r="E111" s="280"/>
      <c r="F111" s="280">
        <v>3.2</v>
      </c>
      <c r="G111" s="281">
        <v>1</v>
      </c>
      <c r="H111" s="281">
        <v>1</v>
      </c>
      <c r="I111" s="287">
        <f t="shared" si="4"/>
        <v>55.65120000000001</v>
      </c>
      <c r="J111" s="279"/>
      <c r="K111" s="323" t="s">
        <v>743</v>
      </c>
    </row>
    <row r="112" spans="1:11" s="48" customFormat="1">
      <c r="A112" s="13"/>
      <c r="B112" s="341" t="s">
        <v>731</v>
      </c>
      <c r="C112" s="120"/>
      <c r="D112" s="280">
        <f>1+1.5+1+10.985+1.356</f>
        <v>15.840999999999999</v>
      </c>
      <c r="E112" s="280"/>
      <c r="F112" s="280">
        <v>1.8</v>
      </c>
      <c r="G112" s="281">
        <v>1</v>
      </c>
      <c r="H112" s="281">
        <v>-1</v>
      </c>
      <c r="I112" s="287">
        <f t="shared" si="4"/>
        <v>-28.5138</v>
      </c>
      <c r="J112" s="279"/>
      <c r="K112" s="323" t="s">
        <v>679</v>
      </c>
    </row>
    <row r="113" spans="1:11" s="48" customFormat="1">
      <c r="A113" s="13"/>
      <c r="B113" s="339" t="s">
        <v>414</v>
      </c>
      <c r="C113" s="120"/>
      <c r="D113" s="280">
        <f>1.55+1+1.5+1+10.985+1.356</f>
        <v>17.391000000000002</v>
      </c>
      <c r="E113" s="280"/>
      <c r="F113" s="280">
        <v>3.2</v>
      </c>
      <c r="G113" s="281">
        <v>1</v>
      </c>
      <c r="H113" s="281">
        <v>1</v>
      </c>
      <c r="I113" s="287">
        <f t="shared" si="4"/>
        <v>55.65120000000001</v>
      </c>
      <c r="J113" s="279"/>
      <c r="K113" s="323" t="s">
        <v>743</v>
      </c>
    </row>
    <row r="114" spans="1:11" s="48" customFormat="1">
      <c r="A114" s="13"/>
      <c r="B114" s="341" t="s">
        <v>731</v>
      </c>
      <c r="C114" s="120"/>
      <c r="D114" s="280">
        <f>1+1.5+1+10.985+1.356</f>
        <v>15.840999999999999</v>
      </c>
      <c r="E114" s="280"/>
      <c r="F114" s="280">
        <v>1.8</v>
      </c>
      <c r="G114" s="281">
        <v>1</v>
      </c>
      <c r="H114" s="281">
        <v>-1</v>
      </c>
      <c r="I114" s="287">
        <f t="shared" si="4"/>
        <v>-28.5138</v>
      </c>
      <c r="J114" s="279"/>
      <c r="K114" s="323" t="s">
        <v>679</v>
      </c>
    </row>
    <row r="115" spans="1:11" s="48" customFormat="1">
      <c r="A115" s="13"/>
      <c r="B115" s="339" t="s">
        <v>732</v>
      </c>
      <c r="C115" s="120"/>
      <c r="D115" s="280">
        <v>5.7</v>
      </c>
      <c r="E115" s="280"/>
      <c r="F115" s="280">
        <v>3.2</v>
      </c>
      <c r="G115" s="281">
        <v>1</v>
      </c>
      <c r="H115" s="281">
        <v>1</v>
      </c>
      <c r="I115" s="287">
        <f t="shared" si="4"/>
        <v>18.240000000000002</v>
      </c>
      <c r="J115" s="279"/>
      <c r="K115" s="323" t="s">
        <v>743</v>
      </c>
    </row>
    <row r="116" spans="1:11" s="48" customFormat="1">
      <c r="A116" s="13"/>
      <c r="B116" s="341" t="s">
        <v>200</v>
      </c>
      <c r="C116" s="120"/>
      <c r="D116" s="280">
        <v>0.9</v>
      </c>
      <c r="E116" s="280"/>
      <c r="F116" s="280">
        <v>2.2000000000000002</v>
      </c>
      <c r="G116" s="281">
        <v>1</v>
      </c>
      <c r="H116" s="281">
        <v>-1</v>
      </c>
      <c r="I116" s="287">
        <f t="shared" si="4"/>
        <v>-1.9800000000000002</v>
      </c>
      <c r="J116" s="279"/>
      <c r="K116" s="323"/>
    </row>
    <row r="117" spans="1:11" s="48" customFormat="1">
      <c r="A117" s="13"/>
      <c r="B117" s="339" t="s">
        <v>744</v>
      </c>
      <c r="C117" s="120"/>
      <c r="D117" s="280">
        <f>15.1+0.87</f>
        <v>15.969999999999999</v>
      </c>
      <c r="E117" s="280"/>
      <c r="F117" s="280">
        <v>3.2</v>
      </c>
      <c r="G117" s="281">
        <v>1</v>
      </c>
      <c r="H117" s="281">
        <v>1</v>
      </c>
      <c r="I117" s="287">
        <f t="shared" si="4"/>
        <v>51.103999999999999</v>
      </c>
      <c r="J117" s="279"/>
      <c r="K117" s="323" t="s">
        <v>743</v>
      </c>
    </row>
    <row r="118" spans="1:11" s="48" customFormat="1">
      <c r="A118" s="13"/>
      <c r="B118" s="341" t="s">
        <v>734</v>
      </c>
      <c r="C118" s="120"/>
      <c r="D118" s="280">
        <v>1.45</v>
      </c>
      <c r="E118" s="280"/>
      <c r="F118" s="280">
        <v>2.2000000000000002</v>
      </c>
      <c r="G118" s="281">
        <v>1</v>
      </c>
      <c r="H118" s="281">
        <v>-1</v>
      </c>
      <c r="I118" s="287">
        <f t="shared" si="4"/>
        <v>-3.19</v>
      </c>
      <c r="J118" s="279"/>
      <c r="K118" s="323"/>
    </row>
    <row r="119" spans="1:11" s="48" customFormat="1">
      <c r="A119" s="13"/>
      <c r="B119" s="341" t="s">
        <v>736</v>
      </c>
      <c r="C119" s="120"/>
      <c r="D119" s="280">
        <v>0.9</v>
      </c>
      <c r="E119" s="280"/>
      <c r="F119" s="280">
        <v>2.2000000000000002</v>
      </c>
      <c r="G119" s="281">
        <v>2</v>
      </c>
      <c r="H119" s="281">
        <v>-1</v>
      </c>
      <c r="I119" s="287">
        <f t="shared" si="4"/>
        <v>-3.9600000000000004</v>
      </c>
      <c r="J119" s="279"/>
      <c r="K119" s="323"/>
    </row>
    <row r="120" spans="1:11" s="48" customFormat="1">
      <c r="A120" s="13"/>
      <c r="B120" s="341" t="s">
        <v>737</v>
      </c>
      <c r="C120" s="120"/>
      <c r="D120" s="280">
        <v>1</v>
      </c>
      <c r="E120" s="280"/>
      <c r="F120" s="280">
        <v>1.1000000000000001</v>
      </c>
      <c r="G120" s="281">
        <v>1</v>
      </c>
      <c r="H120" s="281">
        <v>-1</v>
      </c>
      <c r="I120" s="287">
        <f t="shared" si="4"/>
        <v>-1.1000000000000001</v>
      </c>
      <c r="J120" s="279"/>
      <c r="K120" s="323"/>
    </row>
    <row r="121" spans="1:11" s="48" customFormat="1">
      <c r="A121" s="13"/>
      <c r="B121" s="341" t="s">
        <v>745</v>
      </c>
      <c r="C121" s="120"/>
      <c r="D121" s="280">
        <v>0.9</v>
      </c>
      <c r="E121" s="280"/>
      <c r="F121" s="280">
        <v>2.2000000000000002</v>
      </c>
      <c r="G121" s="281">
        <v>1</v>
      </c>
      <c r="H121" s="281">
        <v>-1</v>
      </c>
      <c r="I121" s="287">
        <f t="shared" si="4"/>
        <v>-1.9800000000000002</v>
      </c>
      <c r="J121" s="279"/>
      <c r="K121" s="323"/>
    </row>
    <row r="122" spans="1:11" s="48" customFormat="1">
      <c r="A122" s="13"/>
      <c r="B122" s="339" t="s">
        <v>738</v>
      </c>
      <c r="C122" s="120"/>
      <c r="D122" s="280">
        <f>15.1+0.2*4+0.3*2</f>
        <v>16.5</v>
      </c>
      <c r="E122" s="280"/>
      <c r="F122" s="280">
        <v>3.2</v>
      </c>
      <c r="G122" s="281">
        <v>1</v>
      </c>
      <c r="H122" s="281">
        <v>1</v>
      </c>
      <c r="I122" s="287">
        <f t="shared" si="4"/>
        <v>52.800000000000004</v>
      </c>
      <c r="J122" s="279"/>
      <c r="K122" s="323" t="s">
        <v>743</v>
      </c>
    </row>
    <row r="123" spans="1:11" s="48" customFormat="1">
      <c r="A123" s="13"/>
      <c r="B123" s="341" t="s">
        <v>727</v>
      </c>
      <c r="C123" s="120"/>
      <c r="D123" s="280">
        <v>2.4</v>
      </c>
      <c r="E123" s="280"/>
      <c r="F123" s="280">
        <v>1.7</v>
      </c>
      <c r="G123" s="281">
        <v>3</v>
      </c>
      <c r="H123" s="281">
        <v>-1</v>
      </c>
      <c r="I123" s="287">
        <f t="shared" si="4"/>
        <v>-12.24</v>
      </c>
      <c r="J123" s="279"/>
      <c r="K123" s="323"/>
    </row>
    <row r="124" spans="1:11" s="48" customFormat="1">
      <c r="A124" s="13"/>
      <c r="B124" s="339" t="s">
        <v>696</v>
      </c>
      <c r="C124" s="120"/>
      <c r="D124" s="280">
        <f>(5.9+2.8)*2</f>
        <v>17.399999999999999</v>
      </c>
      <c r="E124" s="280"/>
      <c r="F124" s="280">
        <f>3.65-0.15</f>
        <v>3.5</v>
      </c>
      <c r="G124" s="281">
        <v>1</v>
      </c>
      <c r="H124" s="281">
        <v>1</v>
      </c>
      <c r="I124" s="287">
        <f t="shared" si="4"/>
        <v>60.899999999999991</v>
      </c>
      <c r="J124" s="279"/>
      <c r="K124" s="323"/>
    </row>
    <row r="125" spans="1:11" s="52" customFormat="1">
      <c r="A125" s="272"/>
      <c r="B125" s="341" t="s">
        <v>407</v>
      </c>
      <c r="C125" s="121"/>
      <c r="D125" s="274">
        <v>2.5</v>
      </c>
      <c r="E125" s="274">
        <f>2.8/2</f>
        <v>1.4</v>
      </c>
      <c r="F125" s="274"/>
      <c r="G125" s="273">
        <v>1</v>
      </c>
      <c r="H125" s="273">
        <v>1</v>
      </c>
      <c r="I125" s="287">
        <f t="shared" si="4"/>
        <v>3.5</v>
      </c>
      <c r="J125" s="123"/>
      <c r="K125" s="292"/>
    </row>
    <row r="126" spans="1:11" s="48" customFormat="1">
      <c r="A126" s="13"/>
      <c r="B126" s="341" t="s">
        <v>408</v>
      </c>
      <c r="C126" s="120"/>
      <c r="D126" s="280">
        <v>2.5</v>
      </c>
      <c r="E126" s="274">
        <f>2.8/2</f>
        <v>1.4</v>
      </c>
      <c r="F126" s="280"/>
      <c r="G126" s="281">
        <v>1</v>
      </c>
      <c r="H126" s="281">
        <v>1</v>
      </c>
      <c r="I126" s="287">
        <f t="shared" si="4"/>
        <v>3.5</v>
      </c>
      <c r="J126" s="279"/>
      <c r="K126" s="323"/>
    </row>
    <row r="127" spans="1:11" s="48" customFormat="1">
      <c r="A127" s="13"/>
      <c r="B127" s="341" t="s">
        <v>699</v>
      </c>
      <c r="C127" s="120"/>
      <c r="D127" s="280">
        <v>2.8</v>
      </c>
      <c r="E127" s="280">
        <v>1.6</v>
      </c>
      <c r="F127" s="280"/>
      <c r="G127" s="281">
        <v>2</v>
      </c>
      <c r="H127" s="281">
        <v>1</v>
      </c>
      <c r="I127" s="287">
        <f t="shared" si="4"/>
        <v>8.9599999999999991</v>
      </c>
      <c r="J127" s="279"/>
      <c r="K127" s="323"/>
    </row>
    <row r="128" spans="1:11" s="48" customFormat="1">
      <c r="A128" s="13"/>
      <c r="B128" s="341" t="s">
        <v>411</v>
      </c>
      <c r="C128" s="13"/>
      <c r="D128" s="280">
        <v>1.45</v>
      </c>
      <c r="E128" s="280"/>
      <c r="F128" s="280">
        <v>2.4500000000000002</v>
      </c>
      <c r="G128" s="281">
        <v>1</v>
      </c>
      <c r="H128" s="281">
        <v>-1</v>
      </c>
      <c r="I128" s="287">
        <f t="shared" si="4"/>
        <v>-3.5525000000000002</v>
      </c>
      <c r="J128" s="279"/>
      <c r="K128" s="323"/>
    </row>
    <row r="129" spans="1:11" s="48" customFormat="1">
      <c r="A129" s="13"/>
      <c r="B129" s="341" t="s">
        <v>412</v>
      </c>
      <c r="C129" s="120"/>
      <c r="D129" s="280">
        <v>1.2</v>
      </c>
      <c r="E129" s="280"/>
      <c r="F129" s="280">
        <v>1.7</v>
      </c>
      <c r="G129" s="281">
        <v>1</v>
      </c>
      <c r="H129" s="281">
        <v>-1</v>
      </c>
      <c r="I129" s="287">
        <f t="shared" si="4"/>
        <v>-2.04</v>
      </c>
      <c r="J129" s="279"/>
      <c r="K129" s="323" t="s">
        <v>685</v>
      </c>
    </row>
    <row r="130" spans="1:11" s="48" customFormat="1">
      <c r="A130" s="13"/>
      <c r="B130" s="339" t="s">
        <v>700</v>
      </c>
      <c r="C130" s="120"/>
      <c r="D130" s="280">
        <f>5.9*2+5.7</f>
        <v>17.5</v>
      </c>
      <c r="E130" s="280"/>
      <c r="F130" s="280">
        <f>3.65-0.15</f>
        <v>3.5</v>
      </c>
      <c r="G130" s="281">
        <v>1</v>
      </c>
      <c r="H130" s="281">
        <v>1</v>
      </c>
      <c r="I130" s="287">
        <f t="shared" si="4"/>
        <v>61.25</v>
      </c>
      <c r="J130" s="279"/>
      <c r="K130" s="323" t="s">
        <v>697</v>
      </c>
    </row>
    <row r="131" spans="1:11" s="48" customFormat="1">
      <c r="A131" s="13"/>
      <c r="B131" s="341" t="s">
        <v>199</v>
      </c>
      <c r="C131" s="120"/>
      <c r="D131" s="280">
        <v>3</v>
      </c>
      <c r="E131" s="280"/>
      <c r="F131" s="280">
        <v>1.7</v>
      </c>
      <c r="G131" s="281">
        <v>1</v>
      </c>
      <c r="H131" s="281">
        <v>-1</v>
      </c>
      <c r="I131" s="287">
        <f t="shared" si="4"/>
        <v>-5.0999999999999996</v>
      </c>
      <c r="J131" s="279"/>
      <c r="K131" s="323" t="s">
        <v>685</v>
      </c>
    </row>
    <row r="132" spans="1:11" s="48" customFormat="1">
      <c r="A132" s="13"/>
      <c r="B132" s="339" t="s">
        <v>701</v>
      </c>
      <c r="C132" s="120"/>
      <c r="D132" s="280">
        <f>(3.7+2)*2</f>
        <v>11.4</v>
      </c>
      <c r="E132" s="280"/>
      <c r="F132" s="280">
        <v>3.2</v>
      </c>
      <c r="G132" s="281">
        <v>1</v>
      </c>
      <c r="H132" s="281">
        <v>1</v>
      </c>
      <c r="I132" s="287">
        <f t="shared" si="4"/>
        <v>36.480000000000004</v>
      </c>
      <c r="J132" s="279"/>
      <c r="K132" s="323" t="s">
        <v>743</v>
      </c>
    </row>
    <row r="133" spans="1:11" s="48" customFormat="1">
      <c r="A133" s="13"/>
      <c r="B133" s="341" t="s">
        <v>200</v>
      </c>
      <c r="C133" s="120"/>
      <c r="D133" s="280">
        <v>0.9</v>
      </c>
      <c r="E133" s="280"/>
      <c r="F133" s="280">
        <v>2.2000000000000002</v>
      </c>
      <c r="G133" s="281">
        <v>1</v>
      </c>
      <c r="H133" s="281">
        <v>-1</v>
      </c>
      <c r="I133" s="287">
        <f t="shared" si="4"/>
        <v>-1.9800000000000002</v>
      </c>
      <c r="J133" s="279"/>
      <c r="K133" s="323"/>
    </row>
    <row r="134" spans="1:11" s="48" customFormat="1">
      <c r="A134" s="13"/>
      <c r="B134" s="341" t="s">
        <v>199</v>
      </c>
      <c r="C134" s="120"/>
      <c r="D134" s="280">
        <v>1</v>
      </c>
      <c r="E134" s="280"/>
      <c r="F134" s="280">
        <v>1.1000000000000001</v>
      </c>
      <c r="G134" s="281">
        <v>1</v>
      </c>
      <c r="H134" s="281">
        <v>-1</v>
      </c>
      <c r="I134" s="287">
        <f t="shared" si="4"/>
        <v>-1.1000000000000001</v>
      </c>
      <c r="J134" s="279"/>
      <c r="K134" s="323"/>
    </row>
    <row r="135" spans="1:11" s="48" customFormat="1">
      <c r="A135" s="13"/>
      <c r="B135" s="339" t="s">
        <v>741</v>
      </c>
      <c r="C135" s="120"/>
      <c r="D135" s="280">
        <f>0.7*4</f>
        <v>2.8</v>
      </c>
      <c r="E135" s="280"/>
      <c r="F135" s="280">
        <v>3.2</v>
      </c>
      <c r="G135" s="281">
        <v>4</v>
      </c>
      <c r="H135" s="281">
        <v>1</v>
      </c>
      <c r="I135" s="287">
        <f t="shared" si="4"/>
        <v>35.839999999999996</v>
      </c>
      <c r="J135" s="279"/>
      <c r="K135" s="323" t="s">
        <v>743</v>
      </c>
    </row>
    <row r="136" spans="1:11" s="48" customFormat="1">
      <c r="A136" s="13"/>
      <c r="B136" s="339" t="s">
        <v>716</v>
      </c>
      <c r="C136" s="120"/>
      <c r="D136" s="280">
        <f>0.7*3+0.28</f>
        <v>2.38</v>
      </c>
      <c r="E136" s="280"/>
      <c r="F136" s="280">
        <v>3.2</v>
      </c>
      <c r="G136" s="281">
        <v>2</v>
      </c>
      <c r="H136" s="281">
        <v>1</v>
      </c>
      <c r="I136" s="287">
        <f t="shared" si="4"/>
        <v>15.231999999999999</v>
      </c>
      <c r="J136" s="279"/>
      <c r="K136" s="323" t="s">
        <v>743</v>
      </c>
    </row>
    <row r="137" spans="1:11" s="48" customFormat="1">
      <c r="A137" s="13"/>
      <c r="B137" s="339" t="s">
        <v>717</v>
      </c>
      <c r="C137" s="120"/>
      <c r="D137" s="280">
        <f>(0.3+0.4)*2</f>
        <v>1.4</v>
      </c>
      <c r="E137" s="280"/>
      <c r="F137" s="280">
        <v>3.2</v>
      </c>
      <c r="G137" s="281">
        <v>4</v>
      </c>
      <c r="H137" s="281">
        <v>1</v>
      </c>
      <c r="I137" s="287">
        <f t="shared" si="4"/>
        <v>17.919999999999998</v>
      </c>
      <c r="J137" s="279"/>
      <c r="K137" s="323" t="s">
        <v>743</v>
      </c>
    </row>
    <row r="138" spans="1:11" s="48" customFormat="1">
      <c r="A138" s="13"/>
      <c r="B138" s="339" t="s">
        <v>718</v>
      </c>
      <c r="C138" s="120"/>
      <c r="D138" s="280">
        <f>(0.3+0.4)*2-0.1*2</f>
        <v>1.2</v>
      </c>
      <c r="E138" s="280"/>
      <c r="F138" s="280">
        <v>3.2</v>
      </c>
      <c r="G138" s="281">
        <v>2</v>
      </c>
      <c r="H138" s="281">
        <v>1</v>
      </c>
      <c r="I138" s="287">
        <f t="shared" si="4"/>
        <v>7.68</v>
      </c>
      <c r="J138" s="279"/>
      <c r="K138" s="323" t="s">
        <v>743</v>
      </c>
    </row>
    <row r="139" spans="1:11" s="48" customFormat="1">
      <c r="A139" s="13"/>
      <c r="B139" s="339" t="s">
        <v>742</v>
      </c>
      <c r="C139" s="120"/>
      <c r="D139" s="280">
        <f>(0.3+0.4)*2</f>
        <v>1.4</v>
      </c>
      <c r="E139" s="280"/>
      <c r="F139" s="280">
        <v>3.2</v>
      </c>
      <c r="G139" s="281">
        <v>2</v>
      </c>
      <c r="H139" s="281">
        <v>1</v>
      </c>
      <c r="I139" s="287">
        <f t="shared" si="4"/>
        <v>8.9599999999999991</v>
      </c>
      <c r="J139" s="279"/>
      <c r="K139" s="323" t="s">
        <v>743</v>
      </c>
    </row>
    <row r="140" spans="1:11" s="48" customFormat="1">
      <c r="A140" s="13"/>
      <c r="B140" s="222" t="s">
        <v>418</v>
      </c>
      <c r="C140" s="120"/>
      <c r="D140" s="280"/>
      <c r="E140" s="280"/>
      <c r="F140" s="280"/>
      <c r="G140" s="281"/>
      <c r="H140" s="281"/>
      <c r="I140" s="287"/>
      <c r="J140" s="279"/>
      <c r="K140" s="323"/>
    </row>
    <row r="141" spans="1:11" s="48" customFormat="1">
      <c r="A141" s="13"/>
      <c r="B141" s="339" t="s">
        <v>410</v>
      </c>
      <c r="C141" s="120"/>
      <c r="D141" s="280">
        <f>5.8+4.6+2.8+4.95+2.35</f>
        <v>20.5</v>
      </c>
      <c r="E141" s="280"/>
      <c r="F141" s="280">
        <v>2.4</v>
      </c>
      <c r="G141" s="281">
        <v>1</v>
      </c>
      <c r="H141" s="281">
        <v>1</v>
      </c>
      <c r="I141" s="287">
        <f t="shared" ref="I141:I145" si="5">PRODUCT(D141:H141)</f>
        <v>49.199999999999996</v>
      </c>
      <c r="J141" s="279"/>
      <c r="K141" s="323" t="s">
        <v>746</v>
      </c>
    </row>
    <row r="142" spans="1:11" s="48" customFormat="1">
      <c r="A142" s="13"/>
      <c r="B142" s="342" t="s">
        <v>747</v>
      </c>
      <c r="C142" s="120"/>
      <c r="D142" s="280">
        <v>1.65</v>
      </c>
      <c r="E142" s="280"/>
      <c r="F142" s="280">
        <v>2</v>
      </c>
      <c r="G142" s="281">
        <v>1</v>
      </c>
      <c r="H142" s="281">
        <v>-1</v>
      </c>
      <c r="I142" s="287">
        <f t="shared" si="5"/>
        <v>-3.3</v>
      </c>
      <c r="J142" s="279"/>
      <c r="K142" s="323"/>
    </row>
    <row r="143" spans="1:11" s="48" customFormat="1">
      <c r="A143" s="13"/>
      <c r="B143" s="339" t="s">
        <v>748</v>
      </c>
      <c r="C143" s="120"/>
      <c r="D143" s="280">
        <f>(4.5+2.25)*2</f>
        <v>13.5</v>
      </c>
      <c r="E143" s="280"/>
      <c r="F143" s="280">
        <v>2.4</v>
      </c>
      <c r="G143" s="281">
        <v>1</v>
      </c>
      <c r="H143" s="281">
        <v>1</v>
      </c>
      <c r="I143" s="287">
        <f t="shared" si="5"/>
        <v>32.4</v>
      </c>
      <c r="J143" s="279"/>
      <c r="K143" s="323" t="s">
        <v>746</v>
      </c>
    </row>
    <row r="144" spans="1:11" s="48" customFormat="1">
      <c r="A144" s="13"/>
      <c r="B144" s="342" t="s">
        <v>747</v>
      </c>
      <c r="C144" s="120"/>
      <c r="D144" s="280">
        <v>0.9</v>
      </c>
      <c r="E144" s="280"/>
      <c r="F144" s="280">
        <v>2</v>
      </c>
      <c r="G144" s="281">
        <v>1</v>
      </c>
      <c r="H144" s="281">
        <v>-1</v>
      </c>
      <c r="I144" s="287">
        <f t="shared" si="5"/>
        <v>-1.8</v>
      </c>
      <c r="J144" s="279"/>
      <c r="K144" s="323"/>
    </row>
    <row r="145" spans="1:11" s="48" customFormat="1">
      <c r="A145" s="13"/>
      <c r="B145" s="342" t="s">
        <v>749</v>
      </c>
      <c r="C145" s="120"/>
      <c r="D145" s="280">
        <v>1</v>
      </c>
      <c r="E145" s="280"/>
      <c r="F145" s="280">
        <v>1</v>
      </c>
      <c r="G145" s="281">
        <v>1</v>
      </c>
      <c r="H145" s="281">
        <v>-1</v>
      </c>
      <c r="I145" s="287">
        <f t="shared" si="5"/>
        <v>-1</v>
      </c>
      <c r="J145" s="279"/>
      <c r="K145" s="323"/>
    </row>
    <row r="146" spans="1:11" s="814" customFormat="1">
      <c r="A146" s="808">
        <v>6</v>
      </c>
      <c r="B146" s="809" t="s">
        <v>111</v>
      </c>
      <c r="C146" s="808" t="s">
        <v>1</v>
      </c>
      <c r="D146" s="810"/>
      <c r="E146" s="810"/>
      <c r="F146" s="810"/>
      <c r="G146" s="811"/>
      <c r="H146" s="811"/>
      <c r="I146" s="812"/>
      <c r="J146" s="58">
        <f>SUM(I147:I256)</f>
        <v>1541.9157960000007</v>
      </c>
      <c r="K146" s="813">
        <f>J146-I153+J153-I159+J159+J173+J174-(I197+I198)*2+(J197+J198)*2</f>
        <v>1485.7387960000008</v>
      </c>
    </row>
    <row r="147" spans="1:11" s="110" customFormat="1">
      <c r="A147" s="108"/>
      <c r="B147" s="290" t="s">
        <v>750</v>
      </c>
      <c r="C147" s="108"/>
      <c r="D147" s="285"/>
      <c r="E147" s="285"/>
      <c r="F147" s="285"/>
      <c r="G147" s="284"/>
      <c r="H147" s="284"/>
      <c r="I147" s="288"/>
      <c r="J147" s="279"/>
      <c r="K147" s="324"/>
    </row>
    <row r="148" spans="1:11" s="52" customFormat="1">
      <c r="A148" s="272"/>
      <c r="B148" s="290" t="s">
        <v>751</v>
      </c>
      <c r="C148" s="272"/>
      <c r="D148" s="274">
        <f>1.2+15</f>
        <v>16.2</v>
      </c>
      <c r="E148" s="274"/>
      <c r="F148" s="274">
        <v>4.1500000000000004</v>
      </c>
      <c r="G148" s="273">
        <v>1</v>
      </c>
      <c r="H148" s="273">
        <v>1</v>
      </c>
      <c r="I148" s="275">
        <f t="shared" ref="I148:I176" si="6">PRODUCT(D148:H148)</f>
        <v>67.23</v>
      </c>
      <c r="J148" s="325"/>
      <c r="K148" s="292" t="s">
        <v>677</v>
      </c>
    </row>
    <row r="149" spans="1:11" s="52" customFormat="1">
      <c r="A149" s="272"/>
      <c r="B149" s="271" t="s">
        <v>752</v>
      </c>
      <c r="C149" s="272"/>
      <c r="D149" s="274">
        <v>2.6</v>
      </c>
      <c r="E149" s="274">
        <v>0.5</v>
      </c>
      <c r="F149" s="274"/>
      <c r="G149" s="273">
        <v>1</v>
      </c>
      <c r="H149" s="273">
        <v>2</v>
      </c>
      <c r="I149" s="275">
        <f t="shared" si="6"/>
        <v>2.6</v>
      </c>
      <c r="J149" s="325"/>
      <c r="K149" s="292"/>
    </row>
    <row r="150" spans="1:11" s="52" customFormat="1">
      <c r="A150" s="272"/>
      <c r="B150" s="271" t="s">
        <v>753</v>
      </c>
      <c r="C150" s="272"/>
      <c r="D150" s="274">
        <f>2.6+0.5*2</f>
        <v>3.6</v>
      </c>
      <c r="E150" s="274"/>
      <c r="F150" s="274">
        <v>0.1</v>
      </c>
      <c r="G150" s="273">
        <v>1</v>
      </c>
      <c r="H150" s="273">
        <v>1</v>
      </c>
      <c r="I150" s="275">
        <f t="shared" si="6"/>
        <v>0.36000000000000004</v>
      </c>
      <c r="J150" s="325"/>
      <c r="K150" s="292"/>
    </row>
    <row r="151" spans="1:11" s="52" customFormat="1">
      <c r="A151" s="272"/>
      <c r="B151" s="271" t="s">
        <v>754</v>
      </c>
      <c r="C151" s="272"/>
      <c r="D151" s="274">
        <v>1.7</v>
      </c>
      <c r="E151" s="274">
        <v>0.5</v>
      </c>
      <c r="F151" s="274"/>
      <c r="G151" s="273">
        <v>1</v>
      </c>
      <c r="H151" s="273">
        <v>2</v>
      </c>
      <c r="I151" s="275">
        <f t="shared" si="6"/>
        <v>1.7</v>
      </c>
      <c r="J151" s="325"/>
      <c r="K151" s="292"/>
    </row>
    <row r="152" spans="1:11" s="52" customFormat="1">
      <c r="A152" s="272"/>
      <c r="B152" s="271" t="s">
        <v>753</v>
      </c>
      <c r="C152" s="272"/>
      <c r="D152" s="274">
        <f>1.7+0.5*2</f>
        <v>2.7</v>
      </c>
      <c r="E152" s="274"/>
      <c r="F152" s="274">
        <v>0.1</v>
      </c>
      <c r="G152" s="273">
        <v>1</v>
      </c>
      <c r="H152" s="273">
        <v>1</v>
      </c>
      <c r="I152" s="275">
        <f t="shared" si="6"/>
        <v>0.27</v>
      </c>
      <c r="J152" s="325"/>
      <c r="K152" s="292"/>
    </row>
    <row r="153" spans="1:11" s="766" customFormat="1" ht="31.5">
      <c r="A153" s="767"/>
      <c r="B153" s="768" t="s">
        <v>755</v>
      </c>
      <c r="C153" s="767"/>
      <c r="D153" s="769">
        <v>15</v>
      </c>
      <c r="E153" s="769"/>
      <c r="F153" s="769">
        <v>3.38</v>
      </c>
      <c r="G153" s="770">
        <v>1</v>
      </c>
      <c r="H153" s="770">
        <v>-1</v>
      </c>
      <c r="I153" s="771">
        <f t="shared" si="6"/>
        <v>-50.699999999999996</v>
      </c>
      <c r="J153" s="772">
        <f>D148*F153*H153</f>
        <v>-54.755999999999993</v>
      </c>
      <c r="K153" s="276" t="s">
        <v>1758</v>
      </c>
    </row>
    <row r="154" spans="1:11" s="52" customFormat="1">
      <c r="A154" s="272"/>
      <c r="B154" s="290" t="s">
        <v>756</v>
      </c>
      <c r="C154" s="272"/>
      <c r="D154" s="274">
        <f>1.2+15</f>
        <v>16.2</v>
      </c>
      <c r="E154" s="274"/>
      <c r="F154" s="274">
        <v>4.1500000000000004</v>
      </c>
      <c r="G154" s="273">
        <v>1</v>
      </c>
      <c r="H154" s="273">
        <v>1</v>
      </c>
      <c r="I154" s="275">
        <f t="shared" si="6"/>
        <v>67.23</v>
      </c>
      <c r="J154" s="325"/>
      <c r="K154" s="292" t="s">
        <v>677</v>
      </c>
    </row>
    <row r="155" spans="1:11" s="52" customFormat="1">
      <c r="A155" s="272"/>
      <c r="B155" s="271" t="s">
        <v>752</v>
      </c>
      <c r="C155" s="272"/>
      <c r="D155" s="274">
        <v>2.6</v>
      </c>
      <c r="E155" s="274">
        <v>0.5</v>
      </c>
      <c r="F155" s="274"/>
      <c r="G155" s="273">
        <v>2</v>
      </c>
      <c r="H155" s="273">
        <v>2</v>
      </c>
      <c r="I155" s="275">
        <f t="shared" si="6"/>
        <v>5.2</v>
      </c>
      <c r="J155" s="325"/>
      <c r="K155" s="292"/>
    </row>
    <row r="156" spans="1:11" s="52" customFormat="1">
      <c r="A156" s="272"/>
      <c r="B156" s="271" t="s">
        <v>753</v>
      </c>
      <c r="C156" s="272"/>
      <c r="D156" s="274">
        <f>2.6+0.5*2</f>
        <v>3.6</v>
      </c>
      <c r="E156" s="274"/>
      <c r="F156" s="274">
        <v>0.1</v>
      </c>
      <c r="G156" s="273">
        <v>2</v>
      </c>
      <c r="H156" s="273">
        <v>1</v>
      </c>
      <c r="I156" s="275">
        <f t="shared" si="6"/>
        <v>0.72000000000000008</v>
      </c>
      <c r="J156" s="325"/>
      <c r="K156" s="292"/>
    </row>
    <row r="157" spans="1:11" s="52" customFormat="1">
      <c r="A157" s="272"/>
      <c r="B157" s="271" t="s">
        <v>754</v>
      </c>
      <c r="C157" s="272"/>
      <c r="D157" s="274">
        <v>1.7</v>
      </c>
      <c r="E157" s="274">
        <v>0.5</v>
      </c>
      <c r="F157" s="274"/>
      <c r="G157" s="273">
        <v>1</v>
      </c>
      <c r="H157" s="273">
        <v>2</v>
      </c>
      <c r="I157" s="275">
        <f t="shared" si="6"/>
        <v>1.7</v>
      </c>
      <c r="J157" s="325"/>
      <c r="K157" s="292"/>
    </row>
    <row r="158" spans="1:11" s="52" customFormat="1">
      <c r="A158" s="272"/>
      <c r="B158" s="271" t="s">
        <v>753</v>
      </c>
      <c r="C158" s="272"/>
      <c r="D158" s="274">
        <f>1.7+0.5*2</f>
        <v>2.7</v>
      </c>
      <c r="E158" s="274"/>
      <c r="F158" s="274">
        <v>0.1</v>
      </c>
      <c r="G158" s="273">
        <v>1</v>
      </c>
      <c r="H158" s="273">
        <v>1</v>
      </c>
      <c r="I158" s="275">
        <f t="shared" si="6"/>
        <v>0.27</v>
      </c>
      <c r="J158" s="325"/>
      <c r="K158" s="292"/>
    </row>
    <row r="159" spans="1:11" s="766" customFormat="1" ht="31.5">
      <c r="A159" s="767"/>
      <c r="B159" s="768" t="s">
        <v>755</v>
      </c>
      <c r="C159" s="767"/>
      <c r="D159" s="769">
        <v>15</v>
      </c>
      <c r="E159" s="769"/>
      <c r="F159" s="769">
        <v>3.38</v>
      </c>
      <c r="G159" s="770">
        <v>1</v>
      </c>
      <c r="H159" s="770">
        <v>-1</v>
      </c>
      <c r="I159" s="771">
        <f t="shared" si="6"/>
        <v>-50.699999999999996</v>
      </c>
      <c r="J159" s="772">
        <f>D154*F159*H159</f>
        <v>-54.755999999999993</v>
      </c>
      <c r="K159" s="276" t="s">
        <v>1758</v>
      </c>
    </row>
    <row r="160" spans="1:11" s="52" customFormat="1">
      <c r="A160" s="272"/>
      <c r="B160" s="290" t="s">
        <v>757</v>
      </c>
      <c r="C160" s="272"/>
      <c r="D160" s="274">
        <v>36</v>
      </c>
      <c r="E160" s="274"/>
      <c r="F160" s="274">
        <v>4.1500000000000004</v>
      </c>
      <c r="G160" s="273">
        <v>1</v>
      </c>
      <c r="H160" s="273">
        <v>1</v>
      </c>
      <c r="I160" s="275">
        <f t="shared" si="6"/>
        <v>149.4</v>
      </c>
      <c r="J160" s="325"/>
      <c r="K160" s="292" t="s">
        <v>685</v>
      </c>
    </row>
    <row r="161" spans="1:11" s="52" customFormat="1">
      <c r="A161" s="272"/>
      <c r="B161" s="271" t="s">
        <v>752</v>
      </c>
      <c r="C161" s="272"/>
      <c r="D161" s="274">
        <v>3</v>
      </c>
      <c r="E161" s="274">
        <v>0.5</v>
      </c>
      <c r="F161" s="274"/>
      <c r="G161" s="273">
        <v>5</v>
      </c>
      <c r="H161" s="273">
        <v>2</v>
      </c>
      <c r="I161" s="275">
        <f t="shared" si="6"/>
        <v>15</v>
      </c>
      <c r="J161" s="325"/>
      <c r="K161" s="292"/>
    </row>
    <row r="162" spans="1:11" s="52" customFormat="1">
      <c r="A162" s="272"/>
      <c r="B162" s="271" t="s">
        <v>753</v>
      </c>
      <c r="C162" s="272"/>
      <c r="D162" s="274">
        <f>3+0.5*2</f>
        <v>4</v>
      </c>
      <c r="E162" s="274"/>
      <c r="F162" s="274">
        <v>0.1</v>
      </c>
      <c r="G162" s="273">
        <v>5</v>
      </c>
      <c r="H162" s="273">
        <v>1</v>
      </c>
      <c r="I162" s="275">
        <f t="shared" si="6"/>
        <v>2</v>
      </c>
      <c r="J162" s="325"/>
      <c r="K162" s="292"/>
    </row>
    <row r="163" spans="1:11" s="52" customFormat="1">
      <c r="A163" s="272"/>
      <c r="B163" s="271" t="s">
        <v>758</v>
      </c>
      <c r="C163" s="272"/>
      <c r="D163" s="274">
        <v>2.4</v>
      </c>
      <c r="E163" s="274"/>
      <c r="F163" s="274">
        <v>1.7</v>
      </c>
      <c r="G163" s="273">
        <v>4</v>
      </c>
      <c r="H163" s="273">
        <v>-1</v>
      </c>
      <c r="I163" s="275">
        <f t="shared" si="6"/>
        <v>-16.32</v>
      </c>
      <c r="J163" s="325"/>
      <c r="K163" s="292"/>
    </row>
    <row r="164" spans="1:11" s="52" customFormat="1">
      <c r="A164" s="272"/>
      <c r="B164" s="271" t="s">
        <v>759</v>
      </c>
      <c r="C164" s="272"/>
      <c r="D164" s="274">
        <v>0.6</v>
      </c>
      <c r="E164" s="274"/>
      <c r="F164" s="274">
        <v>0.45</v>
      </c>
      <c r="G164" s="273">
        <v>6</v>
      </c>
      <c r="H164" s="273">
        <v>-1</v>
      </c>
      <c r="I164" s="275">
        <f t="shared" si="6"/>
        <v>-1.62</v>
      </c>
      <c r="J164" s="325"/>
      <c r="K164" s="292"/>
    </row>
    <row r="165" spans="1:11" s="52" customFormat="1">
      <c r="A165" s="272"/>
      <c r="B165" s="290" t="s">
        <v>760</v>
      </c>
      <c r="C165" s="272"/>
      <c r="D165" s="274">
        <v>36</v>
      </c>
      <c r="E165" s="274"/>
      <c r="F165" s="274">
        <v>4.1500000000000004</v>
      </c>
      <c r="G165" s="273">
        <v>1</v>
      </c>
      <c r="H165" s="273">
        <v>1</v>
      </c>
      <c r="I165" s="275">
        <f t="shared" si="6"/>
        <v>149.4</v>
      </c>
      <c r="J165" s="325"/>
      <c r="K165" s="292" t="s">
        <v>679</v>
      </c>
    </row>
    <row r="166" spans="1:11" s="52" customFormat="1">
      <c r="A166" s="272"/>
      <c r="B166" s="271" t="s">
        <v>761</v>
      </c>
      <c r="C166" s="272"/>
      <c r="D166" s="274">
        <f>13.085</f>
        <v>13.085000000000001</v>
      </c>
      <c r="E166" s="274">
        <v>0.5</v>
      </c>
      <c r="F166" s="274"/>
      <c r="G166" s="273">
        <v>2</v>
      </c>
      <c r="H166" s="273">
        <v>2</v>
      </c>
      <c r="I166" s="275">
        <f t="shared" si="6"/>
        <v>26.17</v>
      </c>
      <c r="J166" s="325"/>
      <c r="K166" s="292"/>
    </row>
    <row r="167" spans="1:11" s="52" customFormat="1">
      <c r="A167" s="272"/>
      <c r="B167" s="271" t="s">
        <v>753</v>
      </c>
      <c r="C167" s="272"/>
      <c r="D167" s="274">
        <f>13.085+0.5*2</f>
        <v>14.085000000000001</v>
      </c>
      <c r="E167" s="274"/>
      <c r="F167" s="274">
        <v>0.1</v>
      </c>
      <c r="G167" s="273">
        <v>2</v>
      </c>
      <c r="H167" s="273">
        <v>1</v>
      </c>
      <c r="I167" s="275">
        <f t="shared" si="6"/>
        <v>2.8170000000000002</v>
      </c>
      <c r="J167" s="325"/>
      <c r="K167" s="292"/>
    </row>
    <row r="168" spans="1:11" s="52" customFormat="1">
      <c r="A168" s="272"/>
      <c r="B168" s="271" t="s">
        <v>762</v>
      </c>
      <c r="C168" s="272"/>
      <c r="D168" s="274">
        <f>3</f>
        <v>3</v>
      </c>
      <c r="E168" s="274"/>
      <c r="F168" s="274">
        <v>3.4</v>
      </c>
      <c r="G168" s="273">
        <v>2</v>
      </c>
      <c r="H168" s="273">
        <v>-1</v>
      </c>
      <c r="I168" s="275">
        <f t="shared" si="6"/>
        <v>-20.399999999999999</v>
      </c>
      <c r="J168" s="325"/>
      <c r="K168" s="292"/>
    </row>
    <row r="169" spans="1:11" s="52" customFormat="1">
      <c r="A169" s="272"/>
      <c r="B169" s="271"/>
      <c r="C169" s="272"/>
      <c r="D169" s="274">
        <f>11.6</f>
        <v>11.6</v>
      </c>
      <c r="E169" s="274"/>
      <c r="F169" s="274">
        <v>0.4</v>
      </c>
      <c r="G169" s="273">
        <v>2</v>
      </c>
      <c r="H169" s="273">
        <v>-1</v>
      </c>
      <c r="I169" s="275">
        <f t="shared" si="6"/>
        <v>-9.2799999999999994</v>
      </c>
      <c r="J169" s="325"/>
      <c r="K169" s="292"/>
    </row>
    <row r="170" spans="1:11" s="52" customFormat="1">
      <c r="A170" s="272"/>
      <c r="B170" s="271" t="s">
        <v>705</v>
      </c>
      <c r="C170" s="272"/>
      <c r="D170" s="274">
        <f>1.65</f>
        <v>1.65</v>
      </c>
      <c r="E170" s="274"/>
      <c r="F170" s="274">
        <v>2.9</v>
      </c>
      <c r="G170" s="273">
        <v>2</v>
      </c>
      <c r="H170" s="273">
        <v>-1</v>
      </c>
      <c r="I170" s="275">
        <f t="shared" si="6"/>
        <v>-9.5699999999999985</v>
      </c>
      <c r="J170" s="325"/>
      <c r="K170" s="292"/>
    </row>
    <row r="171" spans="1:11" s="52" customFormat="1">
      <c r="A171" s="272"/>
      <c r="B171" s="271"/>
      <c r="C171" s="272"/>
      <c r="D171" s="274">
        <f>4.1</f>
        <v>4.0999999999999996</v>
      </c>
      <c r="E171" s="274"/>
      <c r="F171" s="274">
        <v>2.9</v>
      </c>
      <c r="G171" s="273">
        <v>2</v>
      </c>
      <c r="H171" s="273">
        <v>-1</v>
      </c>
      <c r="I171" s="275">
        <f t="shared" si="6"/>
        <v>-23.779999999999998</v>
      </c>
      <c r="J171" s="325"/>
      <c r="K171" s="292"/>
    </row>
    <row r="172" spans="1:11" s="52" customFormat="1">
      <c r="A172" s="272"/>
      <c r="B172" s="271"/>
      <c r="C172" s="272"/>
      <c r="D172" s="274">
        <f>4.4</f>
        <v>4.4000000000000004</v>
      </c>
      <c r="E172" s="274"/>
      <c r="F172" s="274">
        <v>2.9</v>
      </c>
      <c r="G172" s="273">
        <v>2</v>
      </c>
      <c r="H172" s="273">
        <v>-1</v>
      </c>
      <c r="I172" s="275">
        <f t="shared" si="6"/>
        <v>-25.52</v>
      </c>
      <c r="J172" s="325"/>
      <c r="K172" s="292"/>
    </row>
    <row r="173" spans="1:11" s="766" customFormat="1">
      <c r="A173" s="759"/>
      <c r="B173" s="760" t="s">
        <v>1756</v>
      </c>
      <c r="C173" s="759"/>
      <c r="D173" s="761"/>
      <c r="E173" s="761"/>
      <c r="F173" s="761"/>
      <c r="G173" s="762"/>
      <c r="H173" s="762"/>
      <c r="I173" s="763"/>
      <c r="J173" s="764">
        <f>4.3*F165*-1</f>
        <v>-17.845000000000002</v>
      </c>
      <c r="K173" s="765"/>
    </row>
    <row r="174" spans="1:11" s="766" customFormat="1">
      <c r="A174" s="759"/>
      <c r="B174" s="760" t="s">
        <v>1757</v>
      </c>
      <c r="C174" s="759"/>
      <c r="D174" s="761"/>
      <c r="E174" s="761"/>
      <c r="F174" s="761"/>
      <c r="G174" s="762"/>
      <c r="H174" s="762"/>
      <c r="I174" s="763"/>
      <c r="J174" s="764">
        <f>1.4*2*F160*-1</f>
        <v>-11.620000000000001</v>
      </c>
      <c r="K174" s="765"/>
    </row>
    <row r="175" spans="1:11" s="52" customFormat="1">
      <c r="A175" s="272"/>
      <c r="B175" s="290" t="s">
        <v>763</v>
      </c>
      <c r="C175" s="272"/>
      <c r="D175" s="274">
        <f>4.98*2+7.8</f>
        <v>17.760000000000002</v>
      </c>
      <c r="E175" s="274"/>
      <c r="F175" s="274">
        <v>0.85</v>
      </c>
      <c r="G175" s="273">
        <v>1</v>
      </c>
      <c r="H175" s="273">
        <v>1</v>
      </c>
      <c r="I175" s="275">
        <f t="shared" si="6"/>
        <v>15.096</v>
      </c>
      <c r="J175" s="325"/>
      <c r="K175" s="292" t="s">
        <v>764</v>
      </c>
    </row>
    <row r="176" spans="1:11" s="52" customFormat="1">
      <c r="A176" s="272"/>
      <c r="B176" s="290" t="s">
        <v>765</v>
      </c>
      <c r="C176" s="272"/>
      <c r="D176" s="274">
        <v>7.8</v>
      </c>
      <c r="E176" s="274">
        <v>4.9800000000000004</v>
      </c>
      <c r="F176" s="274"/>
      <c r="G176" s="273">
        <v>1</v>
      </c>
      <c r="H176" s="273">
        <v>1</v>
      </c>
      <c r="I176" s="275">
        <f t="shared" si="6"/>
        <v>38.844000000000001</v>
      </c>
      <c r="J176" s="325"/>
      <c r="K176" s="292" t="s">
        <v>766</v>
      </c>
    </row>
    <row r="177" spans="1:11" s="110" customFormat="1">
      <c r="A177" s="326"/>
      <c r="B177" s="290" t="s">
        <v>416</v>
      </c>
      <c r="C177" s="326"/>
      <c r="D177" s="327"/>
      <c r="E177" s="327"/>
      <c r="F177" s="327"/>
      <c r="G177" s="328"/>
      <c r="H177" s="328"/>
      <c r="I177" s="329"/>
      <c r="J177" s="330"/>
      <c r="K177" s="324"/>
    </row>
    <row r="178" spans="1:11" s="52" customFormat="1">
      <c r="A178" s="272"/>
      <c r="B178" s="290" t="s">
        <v>751</v>
      </c>
      <c r="C178" s="272"/>
      <c r="D178" s="274">
        <f>1.2+15</f>
        <v>16.2</v>
      </c>
      <c r="E178" s="274"/>
      <c r="F178" s="274">
        <v>3.65</v>
      </c>
      <c r="G178" s="273">
        <v>1</v>
      </c>
      <c r="H178" s="273">
        <v>1</v>
      </c>
      <c r="I178" s="275">
        <f t="shared" ref="I178:I205" si="7">PRODUCT(D178:H178)</f>
        <v>59.129999999999995</v>
      </c>
      <c r="J178" s="325"/>
      <c r="K178" s="292" t="s">
        <v>677</v>
      </c>
    </row>
    <row r="179" spans="1:11" s="52" customFormat="1">
      <c r="A179" s="272"/>
      <c r="B179" s="271" t="s">
        <v>752</v>
      </c>
      <c r="C179" s="272"/>
      <c r="D179" s="274">
        <v>3</v>
      </c>
      <c r="E179" s="274">
        <v>0.5</v>
      </c>
      <c r="F179" s="274"/>
      <c r="G179" s="273">
        <v>1</v>
      </c>
      <c r="H179" s="273">
        <v>2</v>
      </c>
      <c r="I179" s="275">
        <f t="shared" si="7"/>
        <v>3</v>
      </c>
      <c r="J179" s="325"/>
      <c r="K179" s="292"/>
    </row>
    <row r="180" spans="1:11" s="52" customFormat="1">
      <c r="A180" s="272"/>
      <c r="B180" s="271" t="s">
        <v>753</v>
      </c>
      <c r="C180" s="272"/>
      <c r="D180" s="274">
        <f>3+0.5*2</f>
        <v>4</v>
      </c>
      <c r="E180" s="274"/>
      <c r="F180" s="274">
        <v>0.1</v>
      </c>
      <c r="G180" s="273">
        <v>1</v>
      </c>
      <c r="H180" s="273">
        <v>1</v>
      </c>
      <c r="I180" s="275">
        <f t="shared" si="7"/>
        <v>0.4</v>
      </c>
      <c r="J180" s="325"/>
      <c r="K180" s="292"/>
    </row>
    <row r="181" spans="1:11" s="52" customFormat="1">
      <c r="A181" s="272"/>
      <c r="B181" s="271" t="s">
        <v>752</v>
      </c>
      <c r="C181" s="272"/>
      <c r="D181" s="274">
        <v>1.6</v>
      </c>
      <c r="E181" s="274">
        <v>0.5</v>
      </c>
      <c r="F181" s="274"/>
      <c r="G181" s="273">
        <v>1</v>
      </c>
      <c r="H181" s="273">
        <v>2</v>
      </c>
      <c r="I181" s="275">
        <f t="shared" si="7"/>
        <v>1.6</v>
      </c>
      <c r="J181" s="325"/>
      <c r="K181" s="292"/>
    </row>
    <row r="182" spans="1:11" s="52" customFormat="1">
      <c r="A182" s="272"/>
      <c r="B182" s="271" t="s">
        <v>753</v>
      </c>
      <c r="C182" s="272"/>
      <c r="D182" s="274">
        <f>1.6+0.5*2</f>
        <v>2.6</v>
      </c>
      <c r="E182" s="274"/>
      <c r="F182" s="274">
        <v>0.1</v>
      </c>
      <c r="G182" s="273">
        <v>1</v>
      </c>
      <c r="H182" s="273">
        <v>1</v>
      </c>
      <c r="I182" s="275">
        <f t="shared" si="7"/>
        <v>0.26</v>
      </c>
      <c r="J182" s="325"/>
      <c r="K182" s="292"/>
    </row>
    <row r="183" spans="1:11" s="52" customFormat="1">
      <c r="A183" s="272"/>
      <c r="B183" s="271" t="s">
        <v>767</v>
      </c>
      <c r="C183" s="272"/>
      <c r="D183" s="274">
        <v>1.2</v>
      </c>
      <c r="E183" s="274"/>
      <c r="F183" s="274">
        <v>2.08</v>
      </c>
      <c r="G183" s="273">
        <v>1</v>
      </c>
      <c r="H183" s="273">
        <v>-1</v>
      </c>
      <c r="I183" s="275">
        <f t="shared" si="7"/>
        <v>-2.496</v>
      </c>
      <c r="J183" s="325"/>
      <c r="K183" s="292"/>
    </row>
    <row r="184" spans="1:11" s="52" customFormat="1">
      <c r="A184" s="272"/>
      <c r="B184" s="271" t="s">
        <v>758</v>
      </c>
      <c r="C184" s="272"/>
      <c r="D184" s="274">
        <v>2.4</v>
      </c>
      <c r="E184" s="274"/>
      <c r="F184" s="274">
        <v>1.7</v>
      </c>
      <c r="G184" s="273">
        <v>1</v>
      </c>
      <c r="H184" s="273">
        <v>-1</v>
      </c>
      <c r="I184" s="275">
        <f t="shared" si="7"/>
        <v>-4.08</v>
      </c>
      <c r="J184" s="325"/>
      <c r="K184" s="292"/>
    </row>
    <row r="185" spans="1:11" s="52" customFormat="1">
      <c r="A185" s="272"/>
      <c r="B185" s="271" t="s">
        <v>413</v>
      </c>
      <c r="C185" s="272"/>
      <c r="D185" s="274">
        <v>1.2</v>
      </c>
      <c r="E185" s="274"/>
      <c r="F185" s="274">
        <v>1.7</v>
      </c>
      <c r="G185" s="273">
        <v>1</v>
      </c>
      <c r="H185" s="273">
        <v>-1</v>
      </c>
      <c r="I185" s="275">
        <f t="shared" si="7"/>
        <v>-2.04</v>
      </c>
      <c r="J185" s="325"/>
      <c r="K185" s="292"/>
    </row>
    <row r="186" spans="1:11" s="52" customFormat="1">
      <c r="A186" s="272"/>
      <c r="B186" s="290" t="s">
        <v>756</v>
      </c>
      <c r="C186" s="272"/>
      <c r="D186" s="274">
        <f>1.2+15</f>
        <v>16.2</v>
      </c>
      <c r="E186" s="274"/>
      <c r="F186" s="274">
        <v>3.65</v>
      </c>
      <c r="G186" s="273">
        <v>1</v>
      </c>
      <c r="H186" s="273">
        <v>1</v>
      </c>
      <c r="I186" s="275">
        <f t="shared" si="7"/>
        <v>59.129999999999995</v>
      </c>
      <c r="J186" s="325"/>
      <c r="K186" s="292" t="s">
        <v>677</v>
      </c>
    </row>
    <row r="187" spans="1:11" s="52" customFormat="1">
      <c r="A187" s="272"/>
      <c r="B187" s="271" t="s">
        <v>752</v>
      </c>
      <c r="C187" s="272"/>
      <c r="D187" s="274">
        <v>3</v>
      </c>
      <c r="E187" s="274">
        <v>0.5</v>
      </c>
      <c r="F187" s="274"/>
      <c r="G187" s="273">
        <v>2</v>
      </c>
      <c r="H187" s="273">
        <v>2</v>
      </c>
      <c r="I187" s="275">
        <f t="shared" si="7"/>
        <v>6</v>
      </c>
      <c r="J187" s="325"/>
      <c r="K187" s="292"/>
    </row>
    <row r="188" spans="1:11" s="52" customFormat="1">
      <c r="A188" s="272"/>
      <c r="B188" s="271" t="s">
        <v>753</v>
      </c>
      <c r="C188" s="272"/>
      <c r="D188" s="274">
        <f>3+0.5*2</f>
        <v>4</v>
      </c>
      <c r="E188" s="274"/>
      <c r="F188" s="274">
        <v>0.1</v>
      </c>
      <c r="G188" s="273">
        <v>2</v>
      </c>
      <c r="H188" s="273">
        <v>1</v>
      </c>
      <c r="I188" s="275">
        <f t="shared" si="7"/>
        <v>0.8</v>
      </c>
      <c r="J188" s="325"/>
      <c r="K188" s="292"/>
    </row>
    <row r="189" spans="1:11" s="52" customFormat="1">
      <c r="A189" s="272"/>
      <c r="B189" s="271" t="s">
        <v>752</v>
      </c>
      <c r="C189" s="272"/>
      <c r="D189" s="274">
        <v>1.6</v>
      </c>
      <c r="E189" s="274">
        <v>0.5</v>
      </c>
      <c r="F189" s="274"/>
      <c r="G189" s="273">
        <v>1</v>
      </c>
      <c r="H189" s="273">
        <v>2</v>
      </c>
      <c r="I189" s="275">
        <f t="shared" si="7"/>
        <v>1.6</v>
      </c>
      <c r="J189" s="325"/>
      <c r="K189" s="292"/>
    </row>
    <row r="190" spans="1:11" s="52" customFormat="1">
      <c r="A190" s="272"/>
      <c r="B190" s="271" t="s">
        <v>753</v>
      </c>
      <c r="C190" s="272"/>
      <c r="D190" s="274">
        <f>1.6+0.5*2</f>
        <v>2.6</v>
      </c>
      <c r="E190" s="274"/>
      <c r="F190" s="274">
        <v>0.1</v>
      </c>
      <c r="G190" s="273">
        <v>1</v>
      </c>
      <c r="H190" s="273">
        <v>1</v>
      </c>
      <c r="I190" s="275">
        <f t="shared" si="7"/>
        <v>0.26</v>
      </c>
      <c r="J190" s="325"/>
      <c r="K190" s="292"/>
    </row>
    <row r="191" spans="1:11" s="52" customFormat="1">
      <c r="A191" s="272"/>
      <c r="B191" s="271" t="s">
        <v>767</v>
      </c>
      <c r="C191" s="272"/>
      <c r="D191" s="274">
        <v>1.2</v>
      </c>
      <c r="E191" s="274"/>
      <c r="F191" s="274">
        <v>2.08</v>
      </c>
      <c r="G191" s="273">
        <v>1</v>
      </c>
      <c r="H191" s="273">
        <v>-1</v>
      </c>
      <c r="I191" s="275">
        <f t="shared" si="7"/>
        <v>-2.496</v>
      </c>
      <c r="J191" s="325"/>
      <c r="K191" s="292"/>
    </row>
    <row r="192" spans="1:11" s="52" customFormat="1">
      <c r="A192" s="272"/>
      <c r="B192" s="271" t="s">
        <v>758</v>
      </c>
      <c r="C192" s="272"/>
      <c r="D192" s="274">
        <v>2.4</v>
      </c>
      <c r="E192" s="274"/>
      <c r="F192" s="274">
        <v>1.7</v>
      </c>
      <c r="G192" s="273">
        <v>2</v>
      </c>
      <c r="H192" s="273">
        <v>-1</v>
      </c>
      <c r="I192" s="275">
        <f t="shared" si="7"/>
        <v>-8.16</v>
      </c>
      <c r="J192" s="325"/>
      <c r="K192" s="292"/>
    </row>
    <row r="193" spans="1:11" s="52" customFormat="1">
      <c r="A193" s="272"/>
      <c r="B193" s="271" t="s">
        <v>413</v>
      </c>
      <c r="C193" s="272"/>
      <c r="D193" s="274">
        <v>1.2</v>
      </c>
      <c r="E193" s="274"/>
      <c r="F193" s="274">
        <v>1.7</v>
      </c>
      <c r="G193" s="273">
        <v>1</v>
      </c>
      <c r="H193" s="273">
        <v>-1</v>
      </c>
      <c r="I193" s="275">
        <f t="shared" si="7"/>
        <v>-2.04</v>
      </c>
      <c r="J193" s="325"/>
      <c r="K193" s="292"/>
    </row>
    <row r="194" spans="1:11" s="52" customFormat="1">
      <c r="A194" s="272"/>
      <c r="B194" s="290" t="s">
        <v>757</v>
      </c>
      <c r="C194" s="272"/>
      <c r="D194" s="274">
        <v>36</v>
      </c>
      <c r="E194" s="274"/>
      <c r="F194" s="274">
        <v>3.65</v>
      </c>
      <c r="G194" s="273">
        <v>1</v>
      </c>
      <c r="H194" s="273">
        <v>1</v>
      </c>
      <c r="I194" s="275">
        <f t="shared" si="7"/>
        <v>131.4</v>
      </c>
      <c r="J194" s="325"/>
      <c r="K194" s="292" t="s">
        <v>685</v>
      </c>
    </row>
    <row r="195" spans="1:11" s="52" customFormat="1">
      <c r="A195" s="272"/>
      <c r="B195" s="271" t="s">
        <v>768</v>
      </c>
      <c r="C195" s="272"/>
      <c r="D195" s="274">
        <v>3</v>
      </c>
      <c r="E195" s="274">
        <v>0.5</v>
      </c>
      <c r="F195" s="274"/>
      <c r="G195" s="273">
        <v>6</v>
      </c>
      <c r="H195" s="273">
        <v>2</v>
      </c>
      <c r="I195" s="275">
        <f t="shared" si="7"/>
        <v>18</v>
      </c>
      <c r="J195" s="325"/>
      <c r="K195" s="292"/>
    </row>
    <row r="196" spans="1:11" s="52" customFormat="1">
      <c r="A196" s="272"/>
      <c r="B196" s="271" t="s">
        <v>753</v>
      </c>
      <c r="C196" s="272"/>
      <c r="D196" s="274">
        <f>3+0.5*2</f>
        <v>4</v>
      </c>
      <c r="E196" s="274"/>
      <c r="F196" s="274">
        <v>0.1</v>
      </c>
      <c r="G196" s="273">
        <v>6</v>
      </c>
      <c r="H196" s="273">
        <v>1</v>
      </c>
      <c r="I196" s="275">
        <f t="shared" si="7"/>
        <v>2.4000000000000004</v>
      </c>
      <c r="J196" s="325"/>
      <c r="K196" s="292"/>
    </row>
    <row r="197" spans="1:11" s="766" customFormat="1">
      <c r="A197" s="767"/>
      <c r="B197" s="768" t="s">
        <v>769</v>
      </c>
      <c r="C197" s="767"/>
      <c r="D197" s="769">
        <v>1.6</v>
      </c>
      <c r="E197" s="769">
        <v>0.5</v>
      </c>
      <c r="F197" s="769"/>
      <c r="G197" s="770">
        <v>6</v>
      </c>
      <c r="H197" s="770">
        <v>2</v>
      </c>
      <c r="I197" s="771">
        <f t="shared" si="7"/>
        <v>9.6000000000000014</v>
      </c>
      <c r="J197" s="772">
        <f>D197*E197*H197</f>
        <v>1.6</v>
      </c>
      <c r="K197" s="276" t="s">
        <v>1759</v>
      </c>
    </row>
    <row r="198" spans="1:11" s="766" customFormat="1">
      <c r="A198" s="767"/>
      <c r="B198" s="768" t="s">
        <v>753</v>
      </c>
      <c r="C198" s="767"/>
      <c r="D198" s="769">
        <f>1.6+0.5*2</f>
        <v>2.6</v>
      </c>
      <c r="E198" s="769"/>
      <c r="F198" s="769">
        <v>0.1</v>
      </c>
      <c r="G198" s="770">
        <v>6</v>
      </c>
      <c r="H198" s="770">
        <v>1</v>
      </c>
      <c r="I198" s="771">
        <f t="shared" si="7"/>
        <v>1.56</v>
      </c>
      <c r="J198" s="772">
        <f>D198*F198*H198</f>
        <v>0.26</v>
      </c>
      <c r="K198" s="276" t="s">
        <v>1759</v>
      </c>
    </row>
    <row r="199" spans="1:11" s="52" customFormat="1">
      <c r="A199" s="272"/>
      <c r="B199" s="271" t="s">
        <v>758</v>
      </c>
      <c r="C199" s="272"/>
      <c r="D199" s="274">
        <v>2.4</v>
      </c>
      <c r="E199" s="274"/>
      <c r="F199" s="274">
        <v>1.7</v>
      </c>
      <c r="G199" s="273">
        <v>5</v>
      </c>
      <c r="H199" s="273">
        <v>-1</v>
      </c>
      <c r="I199" s="275">
        <f t="shared" si="7"/>
        <v>-20.399999999999999</v>
      </c>
      <c r="J199" s="325"/>
      <c r="K199" s="292"/>
    </row>
    <row r="200" spans="1:11" s="52" customFormat="1">
      <c r="A200" s="272"/>
      <c r="B200" s="271" t="s">
        <v>759</v>
      </c>
      <c r="C200" s="272"/>
      <c r="D200" s="274">
        <v>0.6</v>
      </c>
      <c r="E200" s="274"/>
      <c r="F200" s="274">
        <v>0.45</v>
      </c>
      <c r="G200" s="273">
        <v>4</v>
      </c>
      <c r="H200" s="273">
        <v>-1</v>
      </c>
      <c r="I200" s="275">
        <f t="shared" si="7"/>
        <v>-1.08</v>
      </c>
      <c r="J200" s="325"/>
      <c r="K200" s="292"/>
    </row>
    <row r="201" spans="1:11" s="52" customFormat="1">
      <c r="A201" s="272"/>
      <c r="B201" s="271" t="s">
        <v>770</v>
      </c>
      <c r="C201" s="272"/>
      <c r="D201" s="274">
        <v>1.2</v>
      </c>
      <c r="E201" s="274"/>
      <c r="F201" s="274">
        <v>1.7</v>
      </c>
      <c r="G201" s="273">
        <v>1</v>
      </c>
      <c r="H201" s="273">
        <v>-1</v>
      </c>
      <c r="I201" s="275">
        <f t="shared" si="7"/>
        <v>-2.04</v>
      </c>
      <c r="J201" s="325"/>
      <c r="K201" s="292"/>
    </row>
    <row r="202" spans="1:11" s="52" customFormat="1">
      <c r="A202" s="272"/>
      <c r="B202" s="290" t="s">
        <v>760</v>
      </c>
      <c r="C202" s="272"/>
      <c r="D202" s="274">
        <v>36</v>
      </c>
      <c r="E202" s="274"/>
      <c r="F202" s="274">
        <v>3.65</v>
      </c>
      <c r="G202" s="273">
        <v>1</v>
      </c>
      <c r="H202" s="273">
        <v>1</v>
      </c>
      <c r="I202" s="275">
        <f t="shared" si="7"/>
        <v>131.4</v>
      </c>
      <c r="J202" s="325"/>
      <c r="K202" s="292" t="s">
        <v>679</v>
      </c>
    </row>
    <row r="203" spans="1:11" s="52" customFormat="1">
      <c r="A203" s="272"/>
      <c r="B203" s="271" t="s">
        <v>761</v>
      </c>
      <c r="C203" s="272"/>
      <c r="D203" s="274">
        <v>14</v>
      </c>
      <c r="E203" s="274">
        <v>0.5</v>
      </c>
      <c r="F203" s="274"/>
      <c r="G203" s="273">
        <v>2</v>
      </c>
      <c r="H203" s="273">
        <v>2</v>
      </c>
      <c r="I203" s="275">
        <f t="shared" si="7"/>
        <v>28</v>
      </c>
      <c r="J203" s="325"/>
      <c r="K203" s="292"/>
    </row>
    <row r="204" spans="1:11" s="52" customFormat="1">
      <c r="A204" s="272"/>
      <c r="B204" s="271" t="s">
        <v>753</v>
      </c>
      <c r="C204" s="272"/>
      <c r="D204" s="274">
        <f>14+0.5*2</f>
        <v>15</v>
      </c>
      <c r="E204" s="274"/>
      <c r="F204" s="274">
        <v>0.1</v>
      </c>
      <c r="G204" s="273">
        <v>2</v>
      </c>
      <c r="H204" s="273">
        <v>1</v>
      </c>
      <c r="I204" s="275">
        <f t="shared" si="7"/>
        <v>3</v>
      </c>
      <c r="J204" s="325"/>
      <c r="K204" s="292"/>
    </row>
    <row r="205" spans="1:11" s="52" customFormat="1">
      <c r="A205" s="272"/>
      <c r="B205" s="271" t="s">
        <v>705</v>
      </c>
      <c r="C205" s="272"/>
      <c r="D205" s="274">
        <v>13.5</v>
      </c>
      <c r="E205" s="274"/>
      <c r="F205" s="274">
        <v>1.8</v>
      </c>
      <c r="G205" s="273">
        <v>2</v>
      </c>
      <c r="H205" s="273">
        <v>-1</v>
      </c>
      <c r="I205" s="275">
        <f t="shared" si="7"/>
        <v>-48.6</v>
      </c>
      <c r="J205" s="325"/>
      <c r="K205" s="292"/>
    </row>
    <row r="206" spans="1:11" s="110" customFormat="1">
      <c r="A206" s="326"/>
      <c r="B206" s="331" t="s">
        <v>417</v>
      </c>
      <c r="C206" s="332"/>
      <c r="D206" s="327"/>
      <c r="E206" s="327"/>
      <c r="F206" s="327"/>
      <c r="G206" s="328"/>
      <c r="H206" s="328"/>
      <c r="I206" s="329"/>
      <c r="J206" s="330"/>
      <c r="K206" s="324"/>
    </row>
    <row r="207" spans="1:11" s="52" customFormat="1">
      <c r="A207" s="272"/>
      <c r="B207" s="290" t="s">
        <v>751</v>
      </c>
      <c r="C207" s="272"/>
      <c r="D207" s="274">
        <f>1.2+15</f>
        <v>16.2</v>
      </c>
      <c r="E207" s="274"/>
      <c r="F207" s="274">
        <v>3.65</v>
      </c>
      <c r="G207" s="273">
        <v>1</v>
      </c>
      <c r="H207" s="273">
        <v>1</v>
      </c>
      <c r="I207" s="275">
        <f t="shared" ref="I207:I234" si="8">PRODUCT(D207:H207)</f>
        <v>59.129999999999995</v>
      </c>
      <c r="J207" s="325"/>
      <c r="K207" s="292" t="s">
        <v>677</v>
      </c>
    </row>
    <row r="208" spans="1:11" s="52" customFormat="1">
      <c r="A208" s="272"/>
      <c r="B208" s="271" t="s">
        <v>752</v>
      </c>
      <c r="C208" s="272"/>
      <c r="D208" s="274">
        <v>3</v>
      </c>
      <c r="E208" s="274">
        <v>0.5</v>
      </c>
      <c r="F208" s="274"/>
      <c r="G208" s="273">
        <v>1</v>
      </c>
      <c r="H208" s="273">
        <v>2</v>
      </c>
      <c r="I208" s="275">
        <f t="shared" si="8"/>
        <v>3</v>
      </c>
      <c r="J208" s="325"/>
      <c r="K208" s="292"/>
    </row>
    <row r="209" spans="1:11" s="52" customFormat="1">
      <c r="A209" s="272"/>
      <c r="B209" s="271" t="s">
        <v>753</v>
      </c>
      <c r="C209" s="272"/>
      <c r="D209" s="274">
        <f>3+0.5*2</f>
        <v>4</v>
      </c>
      <c r="E209" s="274"/>
      <c r="F209" s="274">
        <v>0.1</v>
      </c>
      <c r="G209" s="273">
        <v>1</v>
      </c>
      <c r="H209" s="273">
        <v>1</v>
      </c>
      <c r="I209" s="275">
        <f t="shared" si="8"/>
        <v>0.4</v>
      </c>
      <c r="J209" s="325"/>
      <c r="K209" s="292"/>
    </row>
    <row r="210" spans="1:11" s="52" customFormat="1">
      <c r="A210" s="272"/>
      <c r="B210" s="271" t="s">
        <v>752</v>
      </c>
      <c r="C210" s="272"/>
      <c r="D210" s="274">
        <v>1.6</v>
      </c>
      <c r="E210" s="274">
        <v>0.5</v>
      </c>
      <c r="F210" s="274"/>
      <c r="G210" s="273">
        <v>1</v>
      </c>
      <c r="H210" s="273">
        <v>2</v>
      </c>
      <c r="I210" s="275">
        <f t="shared" si="8"/>
        <v>1.6</v>
      </c>
      <c r="J210" s="325"/>
      <c r="K210" s="292"/>
    </row>
    <row r="211" spans="1:11" s="52" customFormat="1">
      <c r="A211" s="272"/>
      <c r="B211" s="271" t="s">
        <v>753</v>
      </c>
      <c r="C211" s="272"/>
      <c r="D211" s="274">
        <f>1.6+0.5*2</f>
        <v>2.6</v>
      </c>
      <c r="E211" s="274"/>
      <c r="F211" s="274">
        <v>0.1</v>
      </c>
      <c r="G211" s="273">
        <v>1</v>
      </c>
      <c r="H211" s="273">
        <v>1</v>
      </c>
      <c r="I211" s="275">
        <f t="shared" si="8"/>
        <v>0.26</v>
      </c>
      <c r="J211" s="325"/>
      <c r="K211" s="292"/>
    </row>
    <row r="212" spans="1:11" s="52" customFormat="1">
      <c r="A212" s="272"/>
      <c r="B212" s="271" t="s">
        <v>767</v>
      </c>
      <c r="C212" s="272"/>
      <c r="D212" s="274">
        <v>1.2</v>
      </c>
      <c r="E212" s="274"/>
      <c r="F212" s="274">
        <v>2.08</v>
      </c>
      <c r="G212" s="273">
        <v>1</v>
      </c>
      <c r="H212" s="273">
        <v>-1</v>
      </c>
      <c r="I212" s="275">
        <f t="shared" si="8"/>
        <v>-2.496</v>
      </c>
      <c r="J212" s="325"/>
      <c r="K212" s="292"/>
    </row>
    <row r="213" spans="1:11" s="52" customFormat="1">
      <c r="A213" s="272"/>
      <c r="B213" s="271" t="s">
        <v>758</v>
      </c>
      <c r="C213" s="272"/>
      <c r="D213" s="274">
        <v>2.4</v>
      </c>
      <c r="E213" s="274"/>
      <c r="F213" s="274">
        <v>1.7</v>
      </c>
      <c r="G213" s="273">
        <v>1</v>
      </c>
      <c r="H213" s="273">
        <v>-1</v>
      </c>
      <c r="I213" s="275">
        <f t="shared" si="8"/>
        <v>-4.08</v>
      </c>
      <c r="J213" s="325"/>
      <c r="K213" s="292"/>
    </row>
    <row r="214" spans="1:11" s="52" customFormat="1">
      <c r="A214" s="272"/>
      <c r="B214" s="271" t="s">
        <v>413</v>
      </c>
      <c r="C214" s="272"/>
      <c r="D214" s="274">
        <v>1.2</v>
      </c>
      <c r="E214" s="274"/>
      <c r="F214" s="274">
        <v>1.7</v>
      </c>
      <c r="G214" s="273">
        <v>1</v>
      </c>
      <c r="H214" s="273">
        <v>-1</v>
      </c>
      <c r="I214" s="275">
        <f t="shared" si="8"/>
        <v>-2.04</v>
      </c>
      <c r="J214" s="325"/>
      <c r="K214" s="292"/>
    </row>
    <row r="215" spans="1:11" s="52" customFormat="1">
      <c r="A215" s="272"/>
      <c r="B215" s="290" t="s">
        <v>756</v>
      </c>
      <c r="C215" s="272"/>
      <c r="D215" s="274">
        <f>1.2+15</f>
        <v>16.2</v>
      </c>
      <c r="E215" s="274"/>
      <c r="F215" s="274">
        <v>3.65</v>
      </c>
      <c r="G215" s="273">
        <v>1</v>
      </c>
      <c r="H215" s="273">
        <v>1</v>
      </c>
      <c r="I215" s="275">
        <f t="shared" si="8"/>
        <v>59.129999999999995</v>
      </c>
      <c r="J215" s="325"/>
      <c r="K215" s="292" t="s">
        <v>677</v>
      </c>
    </row>
    <row r="216" spans="1:11" s="52" customFormat="1">
      <c r="A216" s="272"/>
      <c r="B216" s="271" t="s">
        <v>752</v>
      </c>
      <c r="C216" s="272"/>
      <c r="D216" s="274">
        <v>3</v>
      </c>
      <c r="E216" s="274">
        <v>0.5</v>
      </c>
      <c r="F216" s="274"/>
      <c r="G216" s="273">
        <v>2</v>
      </c>
      <c r="H216" s="273">
        <v>2</v>
      </c>
      <c r="I216" s="275">
        <f t="shared" si="8"/>
        <v>6</v>
      </c>
      <c r="J216" s="325"/>
      <c r="K216" s="292"/>
    </row>
    <row r="217" spans="1:11" s="52" customFormat="1">
      <c r="A217" s="272"/>
      <c r="B217" s="271" t="s">
        <v>753</v>
      </c>
      <c r="C217" s="272"/>
      <c r="D217" s="274">
        <f>3+0.5*2</f>
        <v>4</v>
      </c>
      <c r="E217" s="274"/>
      <c r="F217" s="274">
        <v>0.1</v>
      </c>
      <c r="G217" s="273">
        <v>2</v>
      </c>
      <c r="H217" s="273">
        <v>1</v>
      </c>
      <c r="I217" s="275">
        <f t="shared" si="8"/>
        <v>0.8</v>
      </c>
      <c r="J217" s="325"/>
      <c r="K217" s="292"/>
    </row>
    <row r="218" spans="1:11" s="52" customFormat="1">
      <c r="A218" s="272"/>
      <c r="B218" s="271" t="s">
        <v>752</v>
      </c>
      <c r="C218" s="272"/>
      <c r="D218" s="274">
        <v>1.6</v>
      </c>
      <c r="E218" s="274">
        <v>0.5</v>
      </c>
      <c r="F218" s="274"/>
      <c r="G218" s="273">
        <v>1</v>
      </c>
      <c r="H218" s="273">
        <v>2</v>
      </c>
      <c r="I218" s="275">
        <f t="shared" si="8"/>
        <v>1.6</v>
      </c>
      <c r="J218" s="325"/>
      <c r="K218" s="292"/>
    </row>
    <row r="219" spans="1:11" s="52" customFormat="1">
      <c r="A219" s="272"/>
      <c r="B219" s="271" t="s">
        <v>753</v>
      </c>
      <c r="C219" s="272"/>
      <c r="D219" s="274">
        <f>1.6+0.5*2</f>
        <v>2.6</v>
      </c>
      <c r="E219" s="274"/>
      <c r="F219" s="274">
        <v>0.1</v>
      </c>
      <c r="G219" s="273">
        <v>1</v>
      </c>
      <c r="H219" s="273">
        <v>1</v>
      </c>
      <c r="I219" s="275">
        <f t="shared" si="8"/>
        <v>0.26</v>
      </c>
      <c r="J219" s="325"/>
      <c r="K219" s="292"/>
    </row>
    <row r="220" spans="1:11" s="52" customFormat="1">
      <c r="A220" s="272"/>
      <c r="B220" s="271" t="s">
        <v>767</v>
      </c>
      <c r="C220" s="272"/>
      <c r="D220" s="274">
        <v>1.2</v>
      </c>
      <c r="E220" s="274"/>
      <c r="F220" s="274">
        <v>2.08</v>
      </c>
      <c r="G220" s="273">
        <v>1</v>
      </c>
      <c r="H220" s="273">
        <v>-1</v>
      </c>
      <c r="I220" s="275">
        <f t="shared" si="8"/>
        <v>-2.496</v>
      </c>
      <c r="J220" s="325"/>
      <c r="K220" s="292"/>
    </row>
    <row r="221" spans="1:11" s="52" customFormat="1">
      <c r="A221" s="272"/>
      <c r="B221" s="271" t="s">
        <v>758</v>
      </c>
      <c r="C221" s="272"/>
      <c r="D221" s="274">
        <v>2.4</v>
      </c>
      <c r="E221" s="274"/>
      <c r="F221" s="274">
        <v>1.7</v>
      </c>
      <c r="G221" s="273">
        <v>2</v>
      </c>
      <c r="H221" s="273">
        <v>-1</v>
      </c>
      <c r="I221" s="275">
        <f t="shared" si="8"/>
        <v>-8.16</v>
      </c>
      <c r="J221" s="325"/>
      <c r="K221" s="292"/>
    </row>
    <row r="222" spans="1:11" s="52" customFormat="1">
      <c r="A222" s="272"/>
      <c r="B222" s="271" t="s">
        <v>413</v>
      </c>
      <c r="C222" s="272"/>
      <c r="D222" s="274">
        <v>1.2</v>
      </c>
      <c r="E222" s="274"/>
      <c r="F222" s="274">
        <v>1.7</v>
      </c>
      <c r="G222" s="273">
        <v>1</v>
      </c>
      <c r="H222" s="273">
        <v>-1</v>
      </c>
      <c r="I222" s="275">
        <f t="shared" si="8"/>
        <v>-2.04</v>
      </c>
      <c r="J222" s="325"/>
      <c r="K222" s="292"/>
    </row>
    <row r="223" spans="1:11" s="52" customFormat="1">
      <c r="A223" s="272"/>
      <c r="B223" s="290" t="s">
        <v>757</v>
      </c>
      <c r="C223" s="272"/>
      <c r="D223" s="274">
        <v>36</v>
      </c>
      <c r="E223" s="274"/>
      <c r="F223" s="274">
        <v>3.65</v>
      </c>
      <c r="G223" s="273">
        <v>1</v>
      </c>
      <c r="H223" s="273">
        <v>1</v>
      </c>
      <c r="I223" s="275">
        <f t="shared" si="8"/>
        <v>131.4</v>
      </c>
      <c r="J223" s="325"/>
      <c r="K223" s="292" t="s">
        <v>685</v>
      </c>
    </row>
    <row r="224" spans="1:11" s="52" customFormat="1">
      <c r="A224" s="272"/>
      <c r="B224" s="271" t="s">
        <v>768</v>
      </c>
      <c r="C224" s="272"/>
      <c r="D224" s="274">
        <v>3</v>
      </c>
      <c r="E224" s="274">
        <v>0.5</v>
      </c>
      <c r="F224" s="274"/>
      <c r="G224" s="273">
        <v>6</v>
      </c>
      <c r="H224" s="273">
        <v>2</v>
      </c>
      <c r="I224" s="275">
        <f t="shared" si="8"/>
        <v>18</v>
      </c>
      <c r="J224" s="325"/>
      <c r="K224" s="292"/>
    </row>
    <row r="225" spans="1:11" s="52" customFormat="1">
      <c r="A225" s="272"/>
      <c r="B225" s="271" t="s">
        <v>753</v>
      </c>
      <c r="C225" s="272"/>
      <c r="D225" s="274">
        <f>3+0.5*2</f>
        <v>4</v>
      </c>
      <c r="E225" s="274"/>
      <c r="F225" s="274">
        <v>0.1</v>
      </c>
      <c r="G225" s="273">
        <v>6</v>
      </c>
      <c r="H225" s="273">
        <v>1</v>
      </c>
      <c r="I225" s="275">
        <f t="shared" si="8"/>
        <v>2.4000000000000004</v>
      </c>
      <c r="J225" s="325"/>
      <c r="K225" s="292"/>
    </row>
    <row r="226" spans="1:11" s="766" customFormat="1">
      <c r="A226" s="767"/>
      <c r="B226" s="768" t="s">
        <v>769</v>
      </c>
      <c r="C226" s="767"/>
      <c r="D226" s="769">
        <v>1.6</v>
      </c>
      <c r="E226" s="769">
        <v>0.5</v>
      </c>
      <c r="F226" s="769"/>
      <c r="G226" s="770">
        <v>6</v>
      </c>
      <c r="H226" s="770">
        <v>2</v>
      </c>
      <c r="I226" s="771">
        <f t="shared" si="8"/>
        <v>9.6000000000000014</v>
      </c>
      <c r="J226" s="772">
        <f>D226*E226*H226</f>
        <v>1.6</v>
      </c>
      <c r="K226" s="276" t="s">
        <v>1759</v>
      </c>
    </row>
    <row r="227" spans="1:11" s="766" customFormat="1">
      <c r="A227" s="767"/>
      <c r="B227" s="768" t="s">
        <v>753</v>
      </c>
      <c r="C227" s="767"/>
      <c r="D227" s="769">
        <f>1.6+0.5*2</f>
        <v>2.6</v>
      </c>
      <c r="E227" s="769"/>
      <c r="F227" s="769">
        <v>0.1</v>
      </c>
      <c r="G227" s="770">
        <v>6</v>
      </c>
      <c r="H227" s="770">
        <v>1</v>
      </c>
      <c r="I227" s="771">
        <f t="shared" si="8"/>
        <v>1.56</v>
      </c>
      <c r="J227" s="772">
        <f>D227*F227*H227</f>
        <v>0.26</v>
      </c>
      <c r="K227" s="276" t="s">
        <v>1759</v>
      </c>
    </row>
    <row r="228" spans="1:11" s="52" customFormat="1">
      <c r="A228" s="272"/>
      <c r="B228" s="271" t="s">
        <v>758</v>
      </c>
      <c r="C228" s="272"/>
      <c r="D228" s="274">
        <v>2.4</v>
      </c>
      <c r="E228" s="274"/>
      <c r="F228" s="274">
        <v>1.7</v>
      </c>
      <c r="G228" s="273">
        <v>5</v>
      </c>
      <c r="H228" s="273">
        <v>-1</v>
      </c>
      <c r="I228" s="275">
        <f t="shared" si="8"/>
        <v>-20.399999999999999</v>
      </c>
      <c r="J228" s="325"/>
      <c r="K228" s="292"/>
    </row>
    <row r="229" spans="1:11" s="52" customFormat="1">
      <c r="A229" s="272"/>
      <c r="B229" s="271" t="s">
        <v>759</v>
      </c>
      <c r="C229" s="272"/>
      <c r="D229" s="274">
        <v>0.6</v>
      </c>
      <c r="E229" s="274"/>
      <c r="F229" s="274">
        <v>0.45</v>
      </c>
      <c r="G229" s="273">
        <v>4</v>
      </c>
      <c r="H229" s="273">
        <v>-1</v>
      </c>
      <c r="I229" s="275">
        <f t="shared" si="8"/>
        <v>-1.08</v>
      </c>
      <c r="J229" s="325"/>
      <c r="K229" s="292"/>
    </row>
    <row r="230" spans="1:11" s="52" customFormat="1">
      <c r="A230" s="272"/>
      <c r="B230" s="271" t="s">
        <v>770</v>
      </c>
      <c r="C230" s="272"/>
      <c r="D230" s="274">
        <v>1.2</v>
      </c>
      <c r="E230" s="274"/>
      <c r="F230" s="274">
        <v>1.7</v>
      </c>
      <c r="G230" s="273">
        <v>1</v>
      </c>
      <c r="H230" s="273">
        <v>-1</v>
      </c>
      <c r="I230" s="275">
        <f t="shared" si="8"/>
        <v>-2.04</v>
      </c>
      <c r="J230" s="325"/>
      <c r="K230" s="292"/>
    </row>
    <row r="231" spans="1:11" s="52" customFormat="1">
      <c r="A231" s="272"/>
      <c r="B231" s="290" t="s">
        <v>760</v>
      </c>
      <c r="C231" s="272"/>
      <c r="D231" s="274">
        <v>36</v>
      </c>
      <c r="E231" s="274"/>
      <c r="F231" s="274">
        <v>3.65</v>
      </c>
      <c r="G231" s="273">
        <v>1</v>
      </c>
      <c r="H231" s="273">
        <v>1</v>
      </c>
      <c r="I231" s="275">
        <f t="shared" si="8"/>
        <v>131.4</v>
      </c>
      <c r="J231" s="325"/>
      <c r="K231" s="292" t="s">
        <v>679</v>
      </c>
    </row>
    <row r="232" spans="1:11" s="52" customFormat="1">
      <c r="A232" s="272"/>
      <c r="B232" s="271" t="s">
        <v>761</v>
      </c>
      <c r="C232" s="272"/>
      <c r="D232" s="274">
        <v>14</v>
      </c>
      <c r="E232" s="274">
        <v>0.5</v>
      </c>
      <c r="F232" s="274"/>
      <c r="G232" s="273">
        <v>2</v>
      </c>
      <c r="H232" s="273">
        <v>2</v>
      </c>
      <c r="I232" s="275">
        <f t="shared" si="8"/>
        <v>28</v>
      </c>
      <c r="J232" s="325"/>
      <c r="K232" s="292"/>
    </row>
    <row r="233" spans="1:11" s="52" customFormat="1">
      <c r="A233" s="272"/>
      <c r="B233" s="271" t="s">
        <v>753</v>
      </c>
      <c r="C233" s="272"/>
      <c r="D233" s="274">
        <f>14+0.5*2</f>
        <v>15</v>
      </c>
      <c r="E233" s="274"/>
      <c r="F233" s="274">
        <v>0.1</v>
      </c>
      <c r="G233" s="273">
        <v>2</v>
      </c>
      <c r="H233" s="273">
        <v>1</v>
      </c>
      <c r="I233" s="275">
        <f t="shared" si="8"/>
        <v>3</v>
      </c>
      <c r="J233" s="325"/>
      <c r="K233" s="292"/>
    </row>
    <row r="234" spans="1:11" s="52" customFormat="1">
      <c r="A234" s="272"/>
      <c r="B234" s="271" t="s">
        <v>705</v>
      </c>
      <c r="C234" s="272"/>
      <c r="D234" s="274">
        <v>13.5</v>
      </c>
      <c r="E234" s="274"/>
      <c r="F234" s="274">
        <v>1.8</v>
      </c>
      <c r="G234" s="273">
        <v>2</v>
      </c>
      <c r="H234" s="273">
        <v>-1</v>
      </c>
      <c r="I234" s="275">
        <f t="shared" si="8"/>
        <v>-48.6</v>
      </c>
      <c r="J234" s="325"/>
      <c r="K234" s="292"/>
    </row>
    <row r="235" spans="1:11" s="110" customFormat="1">
      <c r="A235" s="326"/>
      <c r="B235" s="331" t="s">
        <v>418</v>
      </c>
      <c r="C235" s="332"/>
      <c r="D235" s="327"/>
      <c r="E235" s="327"/>
      <c r="F235" s="327"/>
      <c r="G235" s="328"/>
      <c r="H235" s="328"/>
      <c r="I235" s="329"/>
      <c r="J235" s="330"/>
      <c r="K235" s="324"/>
    </row>
    <row r="236" spans="1:11" s="110" customFormat="1">
      <c r="A236" s="326"/>
      <c r="B236" s="331" t="s">
        <v>419</v>
      </c>
      <c r="C236" s="332"/>
      <c r="D236" s="327"/>
      <c r="E236" s="327"/>
      <c r="F236" s="327"/>
      <c r="G236" s="328"/>
      <c r="H236" s="328"/>
      <c r="I236" s="329"/>
      <c r="J236" s="330"/>
      <c r="K236" s="324"/>
    </row>
    <row r="237" spans="1:11" s="52" customFormat="1">
      <c r="A237" s="272"/>
      <c r="B237" s="271" t="s">
        <v>751</v>
      </c>
      <c r="C237" s="272"/>
      <c r="D237" s="274">
        <v>15</v>
      </c>
      <c r="E237" s="274"/>
      <c r="F237" s="274">
        <v>2.4</v>
      </c>
      <c r="G237" s="273">
        <v>1</v>
      </c>
      <c r="H237" s="273">
        <v>1</v>
      </c>
      <c r="I237" s="275">
        <f t="shared" ref="I237:I246" si="9">PRODUCT(D237:H237)</f>
        <v>36</v>
      </c>
      <c r="J237" s="325"/>
      <c r="K237" s="292" t="s">
        <v>677</v>
      </c>
    </row>
    <row r="238" spans="1:11" s="52" customFormat="1">
      <c r="A238" s="272"/>
      <c r="B238" s="271" t="s">
        <v>771</v>
      </c>
      <c r="C238" s="272"/>
      <c r="D238" s="274">
        <v>15</v>
      </c>
      <c r="E238" s="274">
        <v>0.2</v>
      </c>
      <c r="F238" s="274"/>
      <c r="G238" s="273">
        <v>1</v>
      </c>
      <c r="H238" s="273">
        <v>1</v>
      </c>
      <c r="I238" s="275">
        <f t="shared" si="9"/>
        <v>3</v>
      </c>
      <c r="J238" s="325"/>
      <c r="K238" s="292"/>
    </row>
    <row r="239" spans="1:11" s="52" customFormat="1">
      <c r="A239" s="272"/>
      <c r="B239" s="271" t="s">
        <v>756</v>
      </c>
      <c r="C239" s="272"/>
      <c r="D239" s="274">
        <v>15</v>
      </c>
      <c r="E239" s="274"/>
      <c r="F239" s="274">
        <v>2.4</v>
      </c>
      <c r="G239" s="273">
        <v>1</v>
      </c>
      <c r="H239" s="273">
        <v>1</v>
      </c>
      <c r="I239" s="275">
        <f t="shared" si="9"/>
        <v>36</v>
      </c>
      <c r="J239" s="325"/>
      <c r="K239" s="292" t="s">
        <v>677</v>
      </c>
    </row>
    <row r="240" spans="1:11" s="52" customFormat="1">
      <c r="A240" s="272"/>
      <c r="B240" s="271" t="s">
        <v>771</v>
      </c>
      <c r="C240" s="272"/>
      <c r="D240" s="274">
        <v>15</v>
      </c>
      <c r="E240" s="274">
        <v>0.2</v>
      </c>
      <c r="F240" s="274"/>
      <c r="G240" s="273">
        <v>1</v>
      </c>
      <c r="H240" s="273">
        <v>1</v>
      </c>
      <c r="I240" s="275">
        <f t="shared" si="9"/>
        <v>3</v>
      </c>
      <c r="J240" s="325"/>
      <c r="K240" s="292"/>
    </row>
    <row r="241" spans="1:11" s="52" customFormat="1">
      <c r="A241" s="272"/>
      <c r="B241" s="271" t="s">
        <v>757</v>
      </c>
      <c r="C241" s="272"/>
      <c r="D241" s="274">
        <f>5*2</f>
        <v>10</v>
      </c>
      <c r="E241" s="274"/>
      <c r="F241" s="274">
        <v>2.4</v>
      </c>
      <c r="G241" s="273">
        <v>1</v>
      </c>
      <c r="H241" s="273">
        <v>1</v>
      </c>
      <c r="I241" s="275">
        <f t="shared" si="9"/>
        <v>24</v>
      </c>
      <c r="J241" s="325"/>
      <c r="K241" s="292" t="s">
        <v>685</v>
      </c>
    </row>
    <row r="242" spans="1:11" s="52" customFormat="1">
      <c r="A242" s="272"/>
      <c r="B242" s="271"/>
      <c r="C242" s="272"/>
      <c r="D242" s="274">
        <v>26</v>
      </c>
      <c r="E242" s="274"/>
      <c r="F242" s="274">
        <v>1.1000000000000001</v>
      </c>
      <c r="G242" s="273"/>
      <c r="H242" s="273"/>
      <c r="I242" s="275"/>
      <c r="J242" s="325"/>
      <c r="K242" s="292"/>
    </row>
    <row r="243" spans="1:11" s="52" customFormat="1">
      <c r="A243" s="272"/>
      <c r="B243" s="271" t="s">
        <v>771</v>
      </c>
      <c r="C243" s="272"/>
      <c r="D243" s="274">
        <v>36</v>
      </c>
      <c r="E243" s="274">
        <v>0.2</v>
      </c>
      <c r="F243" s="274"/>
      <c r="G243" s="273">
        <v>1</v>
      </c>
      <c r="H243" s="273">
        <v>1</v>
      </c>
      <c r="I243" s="275">
        <f t="shared" ref="I243" si="10">PRODUCT(D243:H243)</f>
        <v>7.2</v>
      </c>
      <c r="J243" s="325"/>
      <c r="K243" s="292"/>
    </row>
    <row r="244" spans="1:11" s="52" customFormat="1">
      <c r="A244" s="272"/>
      <c r="B244" s="271" t="s">
        <v>760</v>
      </c>
      <c r="C244" s="272"/>
      <c r="D244" s="274">
        <f>5*2</f>
        <v>10</v>
      </c>
      <c r="E244" s="274"/>
      <c r="F244" s="274">
        <v>2.4</v>
      </c>
      <c r="G244" s="273">
        <v>1</v>
      </c>
      <c r="H244" s="273">
        <v>1</v>
      </c>
      <c r="I244" s="275">
        <f t="shared" si="9"/>
        <v>24</v>
      </c>
      <c r="J244" s="325"/>
      <c r="K244" s="292" t="s">
        <v>679</v>
      </c>
    </row>
    <row r="245" spans="1:11" s="52" customFormat="1">
      <c r="A245" s="272"/>
      <c r="B245" s="271"/>
      <c r="C245" s="272"/>
      <c r="D245" s="274">
        <f>10*2</f>
        <v>20</v>
      </c>
      <c r="E245" s="274"/>
      <c r="F245" s="274">
        <v>1.1000000000000001</v>
      </c>
      <c r="G245" s="273">
        <v>1</v>
      </c>
      <c r="H245" s="273">
        <v>1</v>
      </c>
      <c r="I245" s="275">
        <f t="shared" si="9"/>
        <v>22</v>
      </c>
      <c r="J245" s="325"/>
      <c r="K245" s="292"/>
    </row>
    <row r="246" spans="1:11" s="52" customFormat="1">
      <c r="A246" s="272"/>
      <c r="B246" s="271" t="s">
        <v>771</v>
      </c>
      <c r="C246" s="272"/>
      <c r="D246" s="274">
        <f>36-6</f>
        <v>30</v>
      </c>
      <c r="E246" s="274">
        <v>0.2</v>
      </c>
      <c r="F246" s="274"/>
      <c r="G246" s="273">
        <v>1</v>
      </c>
      <c r="H246" s="273">
        <v>1</v>
      </c>
      <c r="I246" s="275">
        <f t="shared" si="9"/>
        <v>6</v>
      </c>
      <c r="J246" s="325"/>
      <c r="K246" s="292"/>
    </row>
    <row r="247" spans="1:11" s="110" customFormat="1">
      <c r="A247" s="326"/>
      <c r="B247" s="331" t="s">
        <v>772</v>
      </c>
      <c r="C247" s="332"/>
      <c r="D247" s="327"/>
      <c r="E247" s="327"/>
      <c r="F247" s="327"/>
      <c r="G247" s="328"/>
      <c r="H247" s="328"/>
      <c r="I247" s="329"/>
      <c r="J247" s="330"/>
      <c r="K247" s="324"/>
    </row>
    <row r="248" spans="1:11" s="52" customFormat="1">
      <c r="A248" s="272"/>
      <c r="B248" s="271" t="s">
        <v>773</v>
      </c>
      <c r="C248" s="272"/>
      <c r="D248" s="274">
        <f>3.3+4.9+7.9+5.05+6.3</f>
        <v>27.450000000000003</v>
      </c>
      <c r="E248" s="274"/>
      <c r="F248" s="274">
        <v>2.2000000000000002</v>
      </c>
      <c r="G248" s="273">
        <v>1</v>
      </c>
      <c r="H248" s="273">
        <v>1</v>
      </c>
      <c r="I248" s="275">
        <f t="shared" ref="I248:I256" si="11">PRODUCT(D248:H248)</f>
        <v>60.390000000000008</v>
      </c>
      <c r="J248" s="325"/>
      <c r="K248" s="292" t="s">
        <v>774</v>
      </c>
    </row>
    <row r="249" spans="1:11" s="52" customFormat="1">
      <c r="A249" s="272"/>
      <c r="B249" s="271" t="s">
        <v>775</v>
      </c>
      <c r="C249" s="272"/>
      <c r="D249" s="274">
        <f>3.3+4.9+13.9+4.9</f>
        <v>27</v>
      </c>
      <c r="E249" s="274"/>
      <c r="F249" s="274">
        <v>2.2000000000000002</v>
      </c>
      <c r="G249" s="273">
        <v>1</v>
      </c>
      <c r="H249" s="273">
        <v>1</v>
      </c>
      <c r="I249" s="275">
        <f t="shared" si="11"/>
        <v>59.400000000000006</v>
      </c>
      <c r="J249" s="325"/>
      <c r="K249" s="292" t="s">
        <v>774</v>
      </c>
    </row>
    <row r="250" spans="1:11" s="52" customFormat="1">
      <c r="A250" s="272"/>
      <c r="B250" s="271" t="s">
        <v>776</v>
      </c>
      <c r="C250" s="272"/>
      <c r="D250" s="274">
        <f>(0.8+1.5+1+10.834+1.972)*2</f>
        <v>32.212000000000003</v>
      </c>
      <c r="E250" s="274"/>
      <c r="F250" s="274">
        <v>2.2000000000000002</v>
      </c>
      <c r="G250" s="273">
        <v>1</v>
      </c>
      <c r="H250" s="273">
        <v>1</v>
      </c>
      <c r="I250" s="275">
        <f t="shared" si="11"/>
        <v>70.866400000000013</v>
      </c>
      <c r="J250" s="325"/>
      <c r="K250" s="292" t="s">
        <v>774</v>
      </c>
    </row>
    <row r="251" spans="1:11" s="52" customFormat="1">
      <c r="A251" s="272"/>
      <c r="B251" s="271" t="s">
        <v>777</v>
      </c>
      <c r="C251" s="272"/>
      <c r="D251" s="274">
        <v>25.85</v>
      </c>
      <c r="E251" s="274"/>
      <c r="F251" s="274">
        <v>2.2000000000000002</v>
      </c>
      <c r="G251" s="273">
        <v>1</v>
      </c>
      <c r="H251" s="273">
        <v>1</v>
      </c>
      <c r="I251" s="275">
        <f t="shared" si="11"/>
        <v>56.870000000000005</v>
      </c>
      <c r="J251" s="325"/>
      <c r="K251" s="292" t="s">
        <v>774</v>
      </c>
    </row>
    <row r="252" spans="1:11" s="110" customFormat="1">
      <c r="A252" s="326"/>
      <c r="B252" s="331" t="s">
        <v>778</v>
      </c>
      <c r="C252" s="332"/>
      <c r="D252" s="327"/>
      <c r="E252" s="327"/>
      <c r="F252" s="327"/>
      <c r="G252" s="328"/>
      <c r="H252" s="328"/>
      <c r="I252" s="329"/>
      <c r="J252" s="330"/>
      <c r="K252" s="324"/>
    </row>
    <row r="253" spans="1:11" s="52" customFormat="1">
      <c r="A253" s="272"/>
      <c r="B253" s="271" t="s">
        <v>779</v>
      </c>
      <c r="C253" s="272"/>
      <c r="D253" s="274">
        <f>1.2*2+10.096</f>
        <v>12.496</v>
      </c>
      <c r="E253" s="274"/>
      <c r="F253" s="274">
        <v>0.55000000000000004</v>
      </c>
      <c r="G253" s="273">
        <v>1</v>
      </c>
      <c r="H253" s="273">
        <v>1</v>
      </c>
      <c r="I253" s="275">
        <f t="shared" si="11"/>
        <v>6.8728000000000007</v>
      </c>
      <c r="J253" s="325"/>
      <c r="K253" s="292" t="s">
        <v>679</v>
      </c>
    </row>
    <row r="254" spans="1:11" s="52" customFormat="1">
      <c r="A254" s="272"/>
      <c r="B254" s="271" t="s">
        <v>780</v>
      </c>
      <c r="C254" s="272"/>
      <c r="D254" s="274">
        <v>10.096</v>
      </c>
      <c r="E254" s="274">
        <v>1.3</v>
      </c>
      <c r="F254" s="274"/>
      <c r="G254" s="273">
        <v>1</v>
      </c>
      <c r="H254" s="273">
        <v>1</v>
      </c>
      <c r="I254" s="275">
        <f t="shared" si="11"/>
        <v>13.1248</v>
      </c>
      <c r="J254" s="325"/>
      <c r="K254" s="292" t="s">
        <v>781</v>
      </c>
    </row>
    <row r="255" spans="1:11" s="52" customFormat="1">
      <c r="A255" s="272"/>
      <c r="B255" s="271" t="s">
        <v>782</v>
      </c>
      <c r="C255" s="272"/>
      <c r="D255" s="274">
        <f>1.836*2+1.3*2+9.3</f>
        <v>15.572000000000001</v>
      </c>
      <c r="E255" s="274"/>
      <c r="F255" s="274">
        <f>(2.3+3.986)/2</f>
        <v>3.1429999999999998</v>
      </c>
      <c r="G255" s="273">
        <v>1</v>
      </c>
      <c r="H255" s="273">
        <v>1</v>
      </c>
      <c r="I255" s="275">
        <f t="shared" si="11"/>
        <v>48.942796000000001</v>
      </c>
      <c r="J255" s="325"/>
      <c r="K255" s="292" t="s">
        <v>781</v>
      </c>
    </row>
    <row r="256" spans="1:11" s="52" customFormat="1">
      <c r="A256" s="272"/>
      <c r="B256" s="271" t="s">
        <v>185</v>
      </c>
      <c r="C256" s="272"/>
      <c r="D256" s="274">
        <v>1.042</v>
      </c>
      <c r="E256" s="274"/>
      <c r="F256" s="274">
        <v>2</v>
      </c>
      <c r="G256" s="273">
        <v>1</v>
      </c>
      <c r="H256" s="273">
        <v>-1</v>
      </c>
      <c r="I256" s="275">
        <f t="shared" si="11"/>
        <v>-2.0840000000000001</v>
      </c>
      <c r="J256" s="325"/>
      <c r="K256" s="292" t="s">
        <v>774</v>
      </c>
    </row>
    <row r="257" spans="1:11" s="52" customFormat="1" ht="31.5">
      <c r="A257" s="13">
        <v>7</v>
      </c>
      <c r="B257" s="278" t="s">
        <v>112</v>
      </c>
      <c r="C257" s="13" t="s">
        <v>88</v>
      </c>
      <c r="D257" s="280"/>
      <c r="E257" s="280"/>
      <c r="F257" s="280"/>
      <c r="G257" s="281"/>
      <c r="H257" s="281"/>
      <c r="I257" s="247"/>
      <c r="J257" s="279">
        <v>1</v>
      </c>
      <c r="K257" s="292"/>
    </row>
    <row r="258" spans="1:11" s="52" customFormat="1">
      <c r="A258" s="13">
        <v>8</v>
      </c>
      <c r="B258" s="278" t="s">
        <v>113</v>
      </c>
      <c r="C258" s="13" t="s">
        <v>88</v>
      </c>
      <c r="D258" s="280"/>
      <c r="E258" s="280"/>
      <c r="F258" s="280"/>
      <c r="G258" s="281"/>
      <c r="H258" s="281"/>
      <c r="I258" s="247"/>
      <c r="J258" s="279">
        <v>1</v>
      </c>
      <c r="K258" s="292"/>
    </row>
    <row r="259" spans="1:11" s="52" customFormat="1" ht="31.5">
      <c r="A259" s="13">
        <v>9</v>
      </c>
      <c r="B259" s="278" t="s">
        <v>114</v>
      </c>
      <c r="C259" s="13" t="s">
        <v>1</v>
      </c>
      <c r="D259" s="280"/>
      <c r="E259" s="280"/>
      <c r="F259" s="280"/>
      <c r="G259" s="281"/>
      <c r="H259" s="281"/>
      <c r="I259" s="247"/>
      <c r="J259" s="279">
        <f>SUM(I261:I326)</f>
        <v>2211.2773999999999</v>
      </c>
      <c r="K259" s="292"/>
    </row>
    <row r="260" spans="1:11" s="52" customFormat="1">
      <c r="A260" s="13"/>
      <c r="B260" s="290" t="s">
        <v>196</v>
      </c>
      <c r="C260" s="13"/>
      <c r="D260" s="280"/>
      <c r="E260" s="280"/>
      <c r="F260" s="280"/>
      <c r="G260" s="281"/>
      <c r="H260" s="281"/>
      <c r="I260" s="287"/>
      <c r="J260" s="279"/>
      <c r="K260" s="292"/>
    </row>
    <row r="261" spans="1:11" s="52" customFormat="1">
      <c r="A261" s="13"/>
      <c r="B261" s="290" t="s">
        <v>783</v>
      </c>
      <c r="C261" s="272"/>
      <c r="D261" s="274"/>
      <c r="E261" s="274"/>
      <c r="F261" s="274"/>
      <c r="G261" s="273"/>
      <c r="H261" s="273"/>
      <c r="I261" s="275"/>
      <c r="J261" s="279"/>
      <c r="K261" s="292"/>
    </row>
    <row r="262" spans="1:11" s="52" customFormat="1">
      <c r="A262" s="13"/>
      <c r="B262" s="333" t="s">
        <v>784</v>
      </c>
      <c r="C262" s="272"/>
      <c r="D262" s="274">
        <v>5.95</v>
      </c>
      <c r="E262" s="274">
        <v>4.5999999999999996</v>
      </c>
      <c r="F262" s="274"/>
      <c r="G262" s="273">
        <v>1</v>
      </c>
      <c r="H262" s="273">
        <v>1</v>
      </c>
      <c r="I262" s="275">
        <f t="shared" ref="I262:I280" si="12">PRODUCT(D262:H262)</f>
        <v>27.369999999999997</v>
      </c>
      <c r="J262" s="279"/>
      <c r="K262" s="292" t="s">
        <v>785</v>
      </c>
    </row>
    <row r="263" spans="1:11" s="52" customFormat="1">
      <c r="A263" s="13"/>
      <c r="B263" s="333" t="s">
        <v>786</v>
      </c>
      <c r="C263" s="272"/>
      <c r="D263" s="274">
        <v>9.4499999999999993</v>
      </c>
      <c r="E263" s="274">
        <v>6.75</v>
      </c>
      <c r="F263" s="274"/>
      <c r="G263" s="273">
        <v>1</v>
      </c>
      <c r="H263" s="273">
        <v>1</v>
      </c>
      <c r="I263" s="275">
        <f t="shared" si="12"/>
        <v>63.787499999999994</v>
      </c>
      <c r="J263" s="279"/>
      <c r="K263" s="292" t="s">
        <v>785</v>
      </c>
    </row>
    <row r="264" spans="1:11" s="52" customFormat="1">
      <c r="A264" s="13"/>
      <c r="B264" s="271" t="s">
        <v>787</v>
      </c>
      <c r="C264" s="272"/>
      <c r="D264" s="274">
        <v>1</v>
      </c>
      <c r="E264" s="274">
        <v>0.7</v>
      </c>
      <c r="F264" s="274"/>
      <c r="G264" s="273">
        <v>1</v>
      </c>
      <c r="H264" s="273">
        <v>-1</v>
      </c>
      <c r="I264" s="275">
        <f t="shared" si="12"/>
        <v>-0.7</v>
      </c>
      <c r="J264" s="279"/>
      <c r="K264" s="292" t="s">
        <v>785</v>
      </c>
    </row>
    <row r="265" spans="1:11" s="52" customFormat="1">
      <c r="A265" s="13"/>
      <c r="B265" s="271" t="s">
        <v>788</v>
      </c>
      <c r="C265" s="272"/>
      <c r="D265" s="274">
        <v>0.5</v>
      </c>
      <c r="E265" s="274">
        <v>0.7</v>
      </c>
      <c r="F265" s="274"/>
      <c r="G265" s="273">
        <v>1</v>
      </c>
      <c r="H265" s="273">
        <v>-1</v>
      </c>
      <c r="I265" s="275">
        <f t="shared" si="12"/>
        <v>-0.35</v>
      </c>
      <c r="J265" s="279"/>
      <c r="K265" s="292" t="s">
        <v>785</v>
      </c>
    </row>
    <row r="266" spans="1:11" s="52" customFormat="1">
      <c r="A266" s="13"/>
      <c r="B266" s="271" t="s">
        <v>789</v>
      </c>
      <c r="C266" s="272"/>
      <c r="D266" s="274">
        <v>0.3</v>
      </c>
      <c r="E266" s="274">
        <v>0.2</v>
      </c>
      <c r="F266" s="274"/>
      <c r="G266" s="273">
        <v>2</v>
      </c>
      <c r="H266" s="273">
        <v>-1</v>
      </c>
      <c r="I266" s="275">
        <f t="shared" si="12"/>
        <v>-0.12</v>
      </c>
      <c r="J266" s="279"/>
      <c r="K266" s="292" t="s">
        <v>785</v>
      </c>
    </row>
    <row r="267" spans="1:11" s="52" customFormat="1">
      <c r="A267" s="13"/>
      <c r="B267" s="333" t="s">
        <v>790</v>
      </c>
      <c r="C267" s="272"/>
      <c r="D267" s="274">
        <v>5.95</v>
      </c>
      <c r="E267" s="274">
        <v>4.7</v>
      </c>
      <c r="F267" s="274"/>
      <c r="G267" s="273">
        <v>1</v>
      </c>
      <c r="H267" s="273">
        <v>1</v>
      </c>
      <c r="I267" s="275">
        <f t="shared" si="12"/>
        <v>27.965000000000003</v>
      </c>
      <c r="J267" s="279"/>
      <c r="K267" s="292" t="s">
        <v>785</v>
      </c>
    </row>
    <row r="268" spans="1:11" s="52" customFormat="1">
      <c r="A268" s="13"/>
      <c r="B268" s="333" t="s">
        <v>791</v>
      </c>
      <c r="C268" s="272"/>
      <c r="D268" s="274">
        <v>9.4499999999999993</v>
      </c>
      <c r="E268" s="274">
        <v>6.75</v>
      </c>
      <c r="F268" s="274"/>
      <c r="G268" s="273">
        <v>1</v>
      </c>
      <c r="H268" s="273">
        <v>1</v>
      </c>
      <c r="I268" s="275">
        <f t="shared" si="12"/>
        <v>63.787499999999994</v>
      </c>
      <c r="J268" s="279"/>
      <c r="K268" s="292" t="s">
        <v>785</v>
      </c>
    </row>
    <row r="269" spans="1:11" s="52" customFormat="1">
      <c r="A269" s="13"/>
      <c r="B269" s="271" t="s">
        <v>792</v>
      </c>
      <c r="C269" s="272"/>
      <c r="D269" s="274">
        <v>1</v>
      </c>
      <c r="E269" s="274">
        <v>0.7</v>
      </c>
      <c r="F269" s="274"/>
      <c r="G269" s="273">
        <v>1</v>
      </c>
      <c r="H269" s="273">
        <v>-1</v>
      </c>
      <c r="I269" s="275">
        <f t="shared" si="12"/>
        <v>-0.7</v>
      </c>
      <c r="J269" s="279"/>
      <c r="K269" s="292" t="s">
        <v>785</v>
      </c>
    </row>
    <row r="270" spans="1:11" s="52" customFormat="1">
      <c r="A270" s="13"/>
      <c r="B270" s="271" t="s">
        <v>793</v>
      </c>
      <c r="C270" s="272"/>
      <c r="D270" s="274">
        <v>0.5</v>
      </c>
      <c r="E270" s="274">
        <v>0.7</v>
      </c>
      <c r="F270" s="274"/>
      <c r="G270" s="273">
        <v>1</v>
      </c>
      <c r="H270" s="273">
        <v>-1</v>
      </c>
      <c r="I270" s="275">
        <f t="shared" si="12"/>
        <v>-0.35</v>
      </c>
      <c r="J270" s="279"/>
      <c r="K270" s="292" t="s">
        <v>785</v>
      </c>
    </row>
    <row r="271" spans="1:11" s="52" customFormat="1">
      <c r="A271" s="13"/>
      <c r="B271" s="271" t="s">
        <v>794</v>
      </c>
      <c r="C271" s="272"/>
      <c r="D271" s="274">
        <v>0.3</v>
      </c>
      <c r="E271" s="274">
        <v>0.2</v>
      </c>
      <c r="F271" s="274"/>
      <c r="G271" s="273">
        <v>2</v>
      </c>
      <c r="H271" s="273">
        <v>-1</v>
      </c>
      <c r="I271" s="275">
        <f t="shared" si="12"/>
        <v>-0.12</v>
      </c>
      <c r="J271" s="279"/>
      <c r="K271" s="292" t="s">
        <v>785</v>
      </c>
    </row>
    <row r="272" spans="1:11" s="52" customFormat="1">
      <c r="A272" s="13"/>
      <c r="B272" s="333" t="s">
        <v>795</v>
      </c>
      <c r="C272" s="272"/>
      <c r="D272" s="274">
        <v>6</v>
      </c>
      <c r="E272" s="274">
        <v>2.8</v>
      </c>
      <c r="F272" s="274"/>
      <c r="G272" s="273">
        <v>1</v>
      </c>
      <c r="H272" s="273">
        <v>1</v>
      </c>
      <c r="I272" s="275">
        <f t="shared" si="12"/>
        <v>16.799999999999997</v>
      </c>
      <c r="J272" s="279"/>
      <c r="K272" s="292" t="s">
        <v>785</v>
      </c>
    </row>
    <row r="273" spans="1:11" s="52" customFormat="1">
      <c r="A273" s="13"/>
      <c r="B273" s="333" t="s">
        <v>796</v>
      </c>
      <c r="C273" s="272"/>
      <c r="D273" s="274">
        <v>5.9</v>
      </c>
      <c r="E273" s="274">
        <v>4.9000000000000004</v>
      </c>
      <c r="F273" s="274"/>
      <c r="G273" s="273">
        <v>1</v>
      </c>
      <c r="H273" s="273">
        <v>1</v>
      </c>
      <c r="I273" s="275">
        <f t="shared" si="12"/>
        <v>28.910000000000004</v>
      </c>
      <c r="J273" s="279"/>
      <c r="K273" s="292" t="s">
        <v>785</v>
      </c>
    </row>
    <row r="274" spans="1:11" s="52" customFormat="1">
      <c r="A274" s="13"/>
      <c r="B274" s="333" t="s">
        <v>797</v>
      </c>
      <c r="C274" s="272"/>
      <c r="D274" s="274">
        <v>5.7</v>
      </c>
      <c r="E274" s="274">
        <v>5.3</v>
      </c>
      <c r="F274" s="274"/>
      <c r="G274" s="273">
        <v>1</v>
      </c>
      <c r="H274" s="273">
        <v>1</v>
      </c>
      <c r="I274" s="275">
        <f t="shared" si="12"/>
        <v>30.21</v>
      </c>
      <c r="J274" s="279"/>
      <c r="K274" s="292" t="s">
        <v>785</v>
      </c>
    </row>
    <row r="275" spans="1:11" s="52" customFormat="1">
      <c r="A275" s="13"/>
      <c r="B275" s="333" t="s">
        <v>798</v>
      </c>
      <c r="C275" s="272"/>
      <c r="D275" s="274">
        <v>15.1</v>
      </c>
      <c r="E275" s="274">
        <v>5.7</v>
      </c>
      <c r="F275" s="274"/>
      <c r="G275" s="273">
        <v>1</v>
      </c>
      <c r="H275" s="273">
        <v>1</v>
      </c>
      <c r="I275" s="275">
        <f t="shared" si="12"/>
        <v>86.070000000000007</v>
      </c>
      <c r="J275" s="279"/>
      <c r="K275" s="292" t="s">
        <v>785</v>
      </c>
    </row>
    <row r="276" spans="1:11" s="52" customFormat="1">
      <c r="A276" s="13"/>
      <c r="B276" s="271" t="s">
        <v>799</v>
      </c>
      <c r="C276" s="272"/>
      <c r="D276" s="274">
        <v>0.3</v>
      </c>
      <c r="E276" s="274">
        <v>0.2</v>
      </c>
      <c r="F276" s="274"/>
      <c r="G276" s="273">
        <v>2</v>
      </c>
      <c r="H276" s="273">
        <v>-1</v>
      </c>
      <c r="I276" s="275">
        <f t="shared" si="12"/>
        <v>-0.12</v>
      </c>
      <c r="J276" s="279"/>
      <c r="K276" s="292" t="s">
        <v>785</v>
      </c>
    </row>
    <row r="277" spans="1:11" s="52" customFormat="1">
      <c r="A277" s="13"/>
      <c r="B277" s="271" t="s">
        <v>800</v>
      </c>
      <c r="C277" s="272"/>
      <c r="D277" s="274">
        <v>0.3</v>
      </c>
      <c r="E277" s="274">
        <v>0.2</v>
      </c>
      <c r="F277" s="274"/>
      <c r="G277" s="273">
        <v>2</v>
      </c>
      <c r="H277" s="273">
        <v>-1</v>
      </c>
      <c r="I277" s="275">
        <f t="shared" si="12"/>
        <v>-0.12</v>
      </c>
      <c r="J277" s="279"/>
      <c r="K277" s="292" t="s">
        <v>785</v>
      </c>
    </row>
    <row r="278" spans="1:11" s="52" customFormat="1">
      <c r="A278" s="13"/>
      <c r="B278" s="333" t="s">
        <v>801</v>
      </c>
      <c r="C278" s="272"/>
      <c r="D278" s="274">
        <v>3.7</v>
      </c>
      <c r="E278" s="274">
        <v>2</v>
      </c>
      <c r="F278" s="274"/>
      <c r="G278" s="273">
        <v>1</v>
      </c>
      <c r="H278" s="273">
        <v>1</v>
      </c>
      <c r="I278" s="275">
        <f t="shared" si="12"/>
        <v>7.4</v>
      </c>
      <c r="J278" s="279"/>
      <c r="K278" s="292" t="s">
        <v>785</v>
      </c>
    </row>
    <row r="279" spans="1:11" s="52" customFormat="1">
      <c r="A279" s="13"/>
      <c r="B279" s="333" t="s">
        <v>802</v>
      </c>
      <c r="C279" s="272"/>
      <c r="D279" s="274">
        <v>13.391999999999999</v>
      </c>
      <c r="E279" s="274">
        <v>1.95</v>
      </c>
      <c r="F279" s="274"/>
      <c r="G279" s="273">
        <v>1</v>
      </c>
      <c r="H279" s="273">
        <v>1</v>
      </c>
      <c r="I279" s="275">
        <f t="shared" si="12"/>
        <v>26.1144</v>
      </c>
      <c r="J279" s="279"/>
      <c r="K279" s="292" t="s">
        <v>785</v>
      </c>
    </row>
    <row r="280" spans="1:11" s="52" customFormat="1">
      <c r="A280" s="13"/>
      <c r="B280" s="333" t="s">
        <v>803</v>
      </c>
      <c r="C280" s="272"/>
      <c r="D280" s="274">
        <v>13.55</v>
      </c>
      <c r="E280" s="274">
        <v>1.95</v>
      </c>
      <c r="F280" s="274"/>
      <c r="G280" s="273">
        <v>1</v>
      </c>
      <c r="H280" s="273">
        <v>1</v>
      </c>
      <c r="I280" s="275">
        <f t="shared" si="12"/>
        <v>26.422499999999999</v>
      </c>
      <c r="J280" s="279"/>
      <c r="K280" s="292" t="s">
        <v>785</v>
      </c>
    </row>
    <row r="281" spans="1:11" s="52" customFormat="1">
      <c r="A281" s="13"/>
      <c r="B281" s="290" t="s">
        <v>804</v>
      </c>
      <c r="C281" s="272"/>
      <c r="D281" s="274"/>
      <c r="E281" s="274"/>
      <c r="F281" s="274"/>
      <c r="G281" s="273"/>
      <c r="H281" s="273"/>
      <c r="I281" s="275"/>
      <c r="J281" s="279"/>
      <c r="K281" s="292"/>
    </row>
    <row r="282" spans="1:11" s="52" customFormat="1">
      <c r="A282" s="13"/>
      <c r="B282" s="333" t="s">
        <v>805</v>
      </c>
      <c r="C282" s="272"/>
      <c r="D282" s="274">
        <v>14.95</v>
      </c>
      <c r="E282" s="274">
        <v>8</v>
      </c>
      <c r="F282" s="274"/>
      <c r="G282" s="273">
        <v>1</v>
      </c>
      <c r="H282" s="273">
        <v>1</v>
      </c>
      <c r="I282" s="275">
        <f t="shared" ref="I282:I288" si="13">PRODUCT(D282:H282)</f>
        <v>119.6</v>
      </c>
      <c r="J282" s="279"/>
      <c r="K282" s="292" t="s">
        <v>806</v>
      </c>
    </row>
    <row r="283" spans="1:11" s="52" customFormat="1">
      <c r="A283" s="13"/>
      <c r="B283" s="271"/>
      <c r="C283" s="272"/>
      <c r="D283" s="274">
        <v>13.4</v>
      </c>
      <c r="E283" s="274">
        <v>1</v>
      </c>
      <c r="F283" s="274"/>
      <c r="G283" s="273">
        <v>1</v>
      </c>
      <c r="H283" s="273">
        <v>1</v>
      </c>
      <c r="I283" s="275">
        <f t="shared" si="13"/>
        <v>13.4</v>
      </c>
      <c r="J283" s="279"/>
      <c r="K283" s="292" t="s">
        <v>806</v>
      </c>
    </row>
    <row r="284" spans="1:11" s="52" customFormat="1">
      <c r="A284" s="13"/>
      <c r="B284" s="271"/>
      <c r="C284" s="272"/>
      <c r="D284" s="274">
        <v>11.776</v>
      </c>
      <c r="E284" s="274">
        <v>1</v>
      </c>
      <c r="F284" s="274"/>
      <c r="G284" s="273">
        <v>1</v>
      </c>
      <c r="H284" s="273">
        <v>1</v>
      </c>
      <c r="I284" s="275">
        <f t="shared" si="13"/>
        <v>11.776</v>
      </c>
      <c r="J284" s="279"/>
      <c r="K284" s="292" t="s">
        <v>806</v>
      </c>
    </row>
    <row r="285" spans="1:11" s="52" customFormat="1">
      <c r="A285" s="13"/>
      <c r="B285" s="271" t="s">
        <v>188</v>
      </c>
      <c r="C285" s="272"/>
      <c r="D285" s="274">
        <v>0.7</v>
      </c>
      <c r="E285" s="274">
        <v>0.7</v>
      </c>
      <c r="F285" s="274"/>
      <c r="G285" s="273">
        <v>3</v>
      </c>
      <c r="H285" s="273">
        <v>-1</v>
      </c>
      <c r="I285" s="275">
        <f>PRODUCT(D285:H285)</f>
        <v>-1.4699999999999998</v>
      </c>
      <c r="J285" s="279"/>
      <c r="K285" s="292" t="s">
        <v>806</v>
      </c>
    </row>
    <row r="286" spans="1:11" s="52" customFormat="1">
      <c r="A286" s="13"/>
      <c r="B286" s="271"/>
      <c r="C286" s="272"/>
      <c r="D286" s="274">
        <v>0.4</v>
      </c>
      <c r="E286" s="274">
        <v>0.3</v>
      </c>
      <c r="F286" s="274"/>
      <c r="G286" s="273">
        <v>3</v>
      </c>
      <c r="H286" s="273">
        <v>-1</v>
      </c>
      <c r="I286" s="275">
        <f>PRODUCT(D286:H286)</f>
        <v>-0.36</v>
      </c>
      <c r="J286" s="279"/>
      <c r="K286" s="292" t="s">
        <v>806</v>
      </c>
    </row>
    <row r="287" spans="1:11" s="52" customFormat="1">
      <c r="A287" s="13"/>
      <c r="B287" s="333" t="s">
        <v>807</v>
      </c>
      <c r="C287" s="272"/>
      <c r="D287" s="274">
        <v>3.7</v>
      </c>
      <c r="E287" s="274">
        <v>2</v>
      </c>
      <c r="F287" s="274"/>
      <c r="G287" s="273">
        <v>1</v>
      </c>
      <c r="H287" s="273">
        <v>1</v>
      </c>
      <c r="I287" s="275">
        <f t="shared" si="13"/>
        <v>7.4</v>
      </c>
      <c r="J287" s="279"/>
      <c r="K287" s="292" t="s">
        <v>806</v>
      </c>
    </row>
    <row r="288" spans="1:11" s="52" customFormat="1">
      <c r="A288" s="13"/>
      <c r="B288" s="333" t="s">
        <v>808</v>
      </c>
      <c r="C288" s="272"/>
      <c r="D288" s="274">
        <v>6.85</v>
      </c>
      <c r="E288" s="274">
        <v>6.15</v>
      </c>
      <c r="F288" s="274"/>
      <c r="G288" s="273">
        <v>1</v>
      </c>
      <c r="H288" s="273">
        <v>1</v>
      </c>
      <c r="I288" s="275">
        <f t="shared" si="13"/>
        <v>42.127499999999998</v>
      </c>
      <c r="J288" s="279"/>
      <c r="K288" s="292" t="s">
        <v>806</v>
      </c>
    </row>
    <row r="289" spans="1:11" s="52" customFormat="1">
      <c r="A289" s="13"/>
      <c r="B289" s="333" t="s">
        <v>809</v>
      </c>
      <c r="C289" s="272"/>
      <c r="D289" s="274">
        <v>14.9</v>
      </c>
      <c r="E289" s="274">
        <v>13.9</v>
      </c>
      <c r="F289" s="274"/>
      <c r="G289" s="273">
        <v>1</v>
      </c>
      <c r="H289" s="273">
        <v>1</v>
      </c>
      <c r="I289" s="275">
        <f>PRODUCT(D289:H289)</f>
        <v>207.11</v>
      </c>
      <c r="J289" s="279"/>
      <c r="K289" s="292" t="s">
        <v>806</v>
      </c>
    </row>
    <row r="290" spans="1:11" s="52" customFormat="1">
      <c r="A290" s="13"/>
      <c r="B290" s="271"/>
      <c r="C290" s="272"/>
      <c r="D290" s="274">
        <v>13.4</v>
      </c>
      <c r="E290" s="274">
        <v>1</v>
      </c>
      <c r="F290" s="274"/>
      <c r="G290" s="273">
        <v>1</v>
      </c>
      <c r="H290" s="273">
        <v>1</v>
      </c>
      <c r="I290" s="275">
        <f t="shared" ref="I290:I291" si="14">PRODUCT(D290:H290)</f>
        <v>13.4</v>
      </c>
      <c r="J290" s="279"/>
      <c r="K290" s="292" t="s">
        <v>806</v>
      </c>
    </row>
    <row r="291" spans="1:11" s="52" customFormat="1">
      <c r="A291" s="13"/>
      <c r="B291" s="271"/>
      <c r="C291" s="272"/>
      <c r="D291" s="274">
        <v>11.768000000000001</v>
      </c>
      <c r="E291" s="274">
        <v>1</v>
      </c>
      <c r="F291" s="274"/>
      <c r="G291" s="273">
        <v>1</v>
      </c>
      <c r="H291" s="273">
        <v>1</v>
      </c>
      <c r="I291" s="275">
        <f t="shared" si="14"/>
        <v>11.768000000000001</v>
      </c>
      <c r="J291" s="279"/>
      <c r="K291" s="292" t="s">
        <v>806</v>
      </c>
    </row>
    <row r="292" spans="1:11" s="52" customFormat="1">
      <c r="A292" s="13"/>
      <c r="B292" s="271" t="s">
        <v>188</v>
      </c>
      <c r="C292" s="272"/>
      <c r="D292" s="274">
        <v>0.7</v>
      </c>
      <c r="E292" s="274">
        <v>0.7</v>
      </c>
      <c r="F292" s="274"/>
      <c r="G292" s="273">
        <v>3</v>
      </c>
      <c r="H292" s="273">
        <v>-1</v>
      </c>
      <c r="I292" s="275">
        <f>PRODUCT(D292:H292)</f>
        <v>-1.4699999999999998</v>
      </c>
      <c r="J292" s="119"/>
      <c r="K292" s="292" t="s">
        <v>806</v>
      </c>
    </row>
    <row r="293" spans="1:11" s="52" customFormat="1">
      <c r="A293" s="13"/>
      <c r="B293" s="271"/>
      <c r="C293" s="272"/>
      <c r="D293" s="274">
        <v>0.4</v>
      </c>
      <c r="E293" s="274">
        <v>0.3</v>
      </c>
      <c r="F293" s="274"/>
      <c r="G293" s="273">
        <v>4</v>
      </c>
      <c r="H293" s="273">
        <v>-1</v>
      </c>
      <c r="I293" s="275">
        <f>PRODUCT(D293:H293)</f>
        <v>-0.48</v>
      </c>
      <c r="J293" s="279"/>
      <c r="K293" s="292" t="s">
        <v>806</v>
      </c>
    </row>
    <row r="294" spans="1:11" s="109" customFormat="1">
      <c r="A294" s="108"/>
      <c r="B294" s="290" t="s">
        <v>810</v>
      </c>
      <c r="C294" s="334"/>
      <c r="D294" s="335"/>
      <c r="E294" s="335"/>
      <c r="F294" s="335"/>
      <c r="G294" s="336"/>
      <c r="H294" s="336"/>
      <c r="I294" s="337"/>
      <c r="J294" s="279"/>
      <c r="K294" s="293"/>
    </row>
    <row r="295" spans="1:11" s="52" customFormat="1">
      <c r="A295" s="13"/>
      <c r="B295" s="333" t="s">
        <v>805</v>
      </c>
      <c r="C295" s="272"/>
      <c r="D295" s="274">
        <v>14.95</v>
      </c>
      <c r="E295" s="274">
        <v>8</v>
      </c>
      <c r="F295" s="274"/>
      <c r="G295" s="273">
        <v>1</v>
      </c>
      <c r="H295" s="273">
        <v>1</v>
      </c>
      <c r="I295" s="275">
        <f t="shared" ref="I295:I297" si="15">PRODUCT(D295:H295)</f>
        <v>119.6</v>
      </c>
      <c r="J295" s="279"/>
      <c r="K295" s="292" t="s">
        <v>811</v>
      </c>
    </row>
    <row r="296" spans="1:11" s="52" customFormat="1">
      <c r="A296" s="13"/>
      <c r="B296" s="271"/>
      <c r="C296" s="272"/>
      <c r="D296" s="274">
        <v>13.4</v>
      </c>
      <c r="E296" s="274">
        <v>1</v>
      </c>
      <c r="F296" s="274"/>
      <c r="G296" s="273">
        <v>1</v>
      </c>
      <c r="H296" s="273">
        <v>1</v>
      </c>
      <c r="I296" s="275">
        <f t="shared" si="15"/>
        <v>13.4</v>
      </c>
      <c r="J296" s="279"/>
      <c r="K296" s="292" t="s">
        <v>811</v>
      </c>
    </row>
    <row r="297" spans="1:11" s="52" customFormat="1">
      <c r="A297" s="13"/>
      <c r="B297" s="271"/>
      <c r="C297" s="272"/>
      <c r="D297" s="274">
        <v>11.776999999999999</v>
      </c>
      <c r="E297" s="274">
        <v>1</v>
      </c>
      <c r="F297" s="274"/>
      <c r="G297" s="273">
        <v>1</v>
      </c>
      <c r="H297" s="273">
        <v>1</v>
      </c>
      <c r="I297" s="275">
        <f t="shared" si="15"/>
        <v>11.776999999999999</v>
      </c>
      <c r="J297" s="279"/>
      <c r="K297" s="292" t="s">
        <v>811</v>
      </c>
    </row>
    <row r="298" spans="1:11" s="52" customFormat="1">
      <c r="A298" s="13"/>
      <c r="B298" s="271" t="s">
        <v>188</v>
      </c>
      <c r="C298" s="272"/>
      <c r="D298" s="274">
        <v>0.7</v>
      </c>
      <c r="E298" s="274">
        <v>0.7</v>
      </c>
      <c r="F298" s="274"/>
      <c r="G298" s="273">
        <v>3</v>
      </c>
      <c r="H298" s="273">
        <v>-1</v>
      </c>
      <c r="I298" s="275">
        <f>PRODUCT(D298:H298)</f>
        <v>-1.4699999999999998</v>
      </c>
      <c r="J298" s="279"/>
      <c r="K298" s="292" t="s">
        <v>811</v>
      </c>
    </row>
    <row r="299" spans="1:11" s="52" customFormat="1">
      <c r="A299" s="13"/>
      <c r="B299" s="271"/>
      <c r="C299" s="272"/>
      <c r="D299" s="274">
        <v>0.4</v>
      </c>
      <c r="E299" s="274">
        <v>0.3</v>
      </c>
      <c r="F299" s="274"/>
      <c r="G299" s="273">
        <v>3</v>
      </c>
      <c r="H299" s="273">
        <v>-1</v>
      </c>
      <c r="I299" s="275">
        <f>PRODUCT(D299:H299)</f>
        <v>-0.36</v>
      </c>
      <c r="J299" s="279"/>
      <c r="K299" s="292" t="s">
        <v>811</v>
      </c>
    </row>
    <row r="300" spans="1:11" s="52" customFormat="1">
      <c r="A300" s="13"/>
      <c r="B300" s="333" t="s">
        <v>807</v>
      </c>
      <c r="C300" s="272"/>
      <c r="D300" s="274">
        <v>3.7</v>
      </c>
      <c r="E300" s="274">
        <v>2</v>
      </c>
      <c r="F300" s="274"/>
      <c r="G300" s="273">
        <v>1</v>
      </c>
      <c r="H300" s="273">
        <v>1</v>
      </c>
      <c r="I300" s="275">
        <f t="shared" ref="I300:I301" si="16">PRODUCT(D300:H300)</f>
        <v>7.4</v>
      </c>
      <c r="J300" s="279"/>
      <c r="K300" s="292" t="s">
        <v>811</v>
      </c>
    </row>
    <row r="301" spans="1:11" s="52" customFormat="1">
      <c r="A301" s="13"/>
      <c r="B301" s="333" t="s">
        <v>808</v>
      </c>
      <c r="C301" s="272"/>
      <c r="D301" s="274">
        <v>6.75</v>
      </c>
      <c r="E301" s="274">
        <v>6</v>
      </c>
      <c r="F301" s="274"/>
      <c r="G301" s="273">
        <v>1</v>
      </c>
      <c r="H301" s="273">
        <v>1</v>
      </c>
      <c r="I301" s="275">
        <f t="shared" si="16"/>
        <v>40.5</v>
      </c>
      <c r="J301" s="279"/>
      <c r="K301" s="292" t="s">
        <v>811</v>
      </c>
    </row>
    <row r="302" spans="1:11" s="52" customFormat="1">
      <c r="A302" s="13"/>
      <c r="B302" s="333" t="s">
        <v>812</v>
      </c>
      <c r="C302" s="272"/>
      <c r="D302" s="274">
        <v>15.05</v>
      </c>
      <c r="E302" s="274">
        <v>8</v>
      </c>
      <c r="F302" s="274"/>
      <c r="G302" s="273">
        <v>1</v>
      </c>
      <c r="H302" s="273">
        <v>1</v>
      </c>
      <c r="I302" s="275">
        <f>PRODUCT(D302:H302)</f>
        <v>120.4</v>
      </c>
      <c r="J302" s="279"/>
      <c r="K302" s="292" t="s">
        <v>811</v>
      </c>
    </row>
    <row r="303" spans="1:11" s="52" customFormat="1">
      <c r="A303" s="13"/>
      <c r="B303" s="271"/>
      <c r="C303" s="272"/>
      <c r="D303" s="274">
        <v>13.4</v>
      </c>
      <c r="E303" s="274">
        <v>1</v>
      </c>
      <c r="F303" s="274"/>
      <c r="G303" s="273">
        <v>1</v>
      </c>
      <c r="H303" s="273">
        <v>1</v>
      </c>
      <c r="I303" s="275">
        <f t="shared" ref="I303:I304" si="17">PRODUCT(D303:H303)</f>
        <v>13.4</v>
      </c>
      <c r="J303" s="279"/>
      <c r="K303" s="292" t="s">
        <v>811</v>
      </c>
    </row>
    <row r="304" spans="1:11" s="52" customFormat="1">
      <c r="A304" s="13"/>
      <c r="B304" s="271"/>
      <c r="C304" s="272"/>
      <c r="D304" s="274">
        <v>11.776999999999999</v>
      </c>
      <c r="E304" s="274">
        <v>1</v>
      </c>
      <c r="F304" s="274"/>
      <c r="G304" s="273">
        <v>1</v>
      </c>
      <c r="H304" s="273">
        <v>1</v>
      </c>
      <c r="I304" s="275">
        <f t="shared" si="17"/>
        <v>11.776999999999999</v>
      </c>
      <c r="J304" s="279"/>
      <c r="K304" s="292" t="s">
        <v>811</v>
      </c>
    </row>
    <row r="305" spans="1:11" s="52" customFormat="1">
      <c r="A305" s="13"/>
      <c r="B305" s="271" t="s">
        <v>188</v>
      </c>
      <c r="C305" s="272"/>
      <c r="D305" s="274">
        <v>0.7</v>
      </c>
      <c r="E305" s="274">
        <v>0.7</v>
      </c>
      <c r="F305" s="274"/>
      <c r="G305" s="273">
        <v>3</v>
      </c>
      <c r="H305" s="273">
        <v>-1</v>
      </c>
      <c r="I305" s="275">
        <f>PRODUCT(D305:H305)</f>
        <v>-1.4699999999999998</v>
      </c>
      <c r="J305" s="119"/>
      <c r="K305" s="292" t="s">
        <v>811</v>
      </c>
    </row>
    <row r="306" spans="1:11" s="52" customFormat="1">
      <c r="A306" s="13"/>
      <c r="B306" s="271"/>
      <c r="C306" s="272"/>
      <c r="D306" s="274">
        <v>0.4</v>
      </c>
      <c r="E306" s="274">
        <v>0.3</v>
      </c>
      <c r="F306" s="274"/>
      <c r="G306" s="273">
        <v>4</v>
      </c>
      <c r="H306" s="273">
        <v>-1</v>
      </c>
      <c r="I306" s="275">
        <f>PRODUCT(D306:H306)</f>
        <v>-0.48</v>
      </c>
      <c r="J306" s="279"/>
      <c r="K306" s="292" t="s">
        <v>811</v>
      </c>
    </row>
    <row r="307" spans="1:11" s="52" customFormat="1">
      <c r="A307" s="13"/>
      <c r="B307" s="333" t="s">
        <v>796</v>
      </c>
      <c r="C307" s="272"/>
      <c r="D307" s="274">
        <v>5.9</v>
      </c>
      <c r="E307" s="274">
        <v>4.9000000000000004</v>
      </c>
      <c r="F307" s="274"/>
      <c r="G307" s="273">
        <v>1</v>
      </c>
      <c r="H307" s="273">
        <v>1</v>
      </c>
      <c r="I307" s="275">
        <f>PRODUCT(D307:H307)</f>
        <v>28.910000000000004</v>
      </c>
      <c r="J307" s="279"/>
      <c r="K307" s="292" t="s">
        <v>811</v>
      </c>
    </row>
    <row r="308" spans="1:11" s="52" customFormat="1">
      <c r="A308" s="13"/>
      <c r="B308" s="333" t="s">
        <v>813</v>
      </c>
      <c r="C308" s="272"/>
      <c r="D308" s="274">
        <v>9.9</v>
      </c>
      <c r="E308" s="274">
        <v>5.9</v>
      </c>
      <c r="F308" s="274"/>
      <c r="G308" s="273">
        <v>1</v>
      </c>
      <c r="H308" s="273">
        <v>1</v>
      </c>
      <c r="I308" s="275">
        <f>PRODUCT(D308:H308)</f>
        <v>58.410000000000004</v>
      </c>
      <c r="J308" s="279"/>
      <c r="K308" s="292" t="s">
        <v>811</v>
      </c>
    </row>
    <row r="309" spans="1:11" s="394" customFormat="1">
      <c r="A309" s="773"/>
      <c r="B309" s="774" t="s">
        <v>814</v>
      </c>
      <c r="C309" s="773"/>
      <c r="D309" s="775"/>
      <c r="E309" s="775"/>
      <c r="F309" s="775"/>
      <c r="G309" s="776"/>
      <c r="H309" s="776"/>
      <c r="I309" s="777"/>
      <c r="J309" s="778"/>
      <c r="K309" s="779"/>
    </row>
    <row r="310" spans="1:11" s="394" customFormat="1">
      <c r="A310" s="392"/>
      <c r="B310" s="780" t="s">
        <v>815</v>
      </c>
      <c r="C310" s="773"/>
      <c r="D310" s="775">
        <v>36.200000000000003</v>
      </c>
      <c r="E310" s="775">
        <v>15.8</v>
      </c>
      <c r="F310" s="775"/>
      <c r="G310" s="776">
        <v>1</v>
      </c>
      <c r="H310" s="776">
        <v>1</v>
      </c>
      <c r="I310" s="777">
        <f t="shared" ref="I310:I317" si="18">PRODUCT(D310:H310)</f>
        <v>571.96</v>
      </c>
      <c r="J310" s="393"/>
      <c r="K310" s="779" t="s">
        <v>816</v>
      </c>
    </row>
    <row r="311" spans="1:11" s="394" customFormat="1">
      <c r="A311" s="392"/>
      <c r="B311" s="407" t="s">
        <v>817</v>
      </c>
      <c r="C311" s="773"/>
      <c r="D311" s="775">
        <v>5.9</v>
      </c>
      <c r="E311" s="775">
        <v>5.2</v>
      </c>
      <c r="F311" s="775"/>
      <c r="G311" s="776">
        <v>1</v>
      </c>
      <c r="H311" s="776">
        <v>-1</v>
      </c>
      <c r="I311" s="777">
        <f t="shared" si="18"/>
        <v>-30.680000000000003</v>
      </c>
      <c r="J311" s="393"/>
      <c r="K311" s="779" t="s">
        <v>816</v>
      </c>
    </row>
    <row r="312" spans="1:11" s="394" customFormat="1">
      <c r="A312" s="392"/>
      <c r="B312" s="407" t="s">
        <v>818</v>
      </c>
      <c r="C312" s="773"/>
      <c r="D312" s="775">
        <v>1.75</v>
      </c>
      <c r="E312" s="775">
        <v>0.8</v>
      </c>
      <c r="F312" s="775"/>
      <c r="G312" s="776">
        <v>1</v>
      </c>
      <c r="H312" s="776">
        <v>-1</v>
      </c>
      <c r="I312" s="777">
        <f t="shared" si="18"/>
        <v>-1.4000000000000001</v>
      </c>
      <c r="J312" s="393"/>
      <c r="K312" s="779" t="s">
        <v>816</v>
      </c>
    </row>
    <row r="313" spans="1:11" s="394" customFormat="1">
      <c r="A313" s="392"/>
      <c r="B313" s="407"/>
      <c r="C313" s="773"/>
      <c r="D313" s="775">
        <v>3.25</v>
      </c>
      <c r="E313" s="775">
        <v>1</v>
      </c>
      <c r="F313" s="775"/>
      <c r="G313" s="776">
        <v>1</v>
      </c>
      <c r="H313" s="776">
        <v>-1</v>
      </c>
      <c r="I313" s="777">
        <f t="shared" si="18"/>
        <v>-3.25</v>
      </c>
      <c r="J313" s="393"/>
      <c r="K313" s="779" t="s">
        <v>816</v>
      </c>
    </row>
    <row r="314" spans="1:11" s="394" customFormat="1">
      <c r="A314" s="392"/>
      <c r="B314" s="407" t="s">
        <v>819</v>
      </c>
      <c r="C314" s="773"/>
      <c r="D314" s="775">
        <v>1.88</v>
      </c>
      <c r="E314" s="775">
        <v>0.8</v>
      </c>
      <c r="F314" s="775"/>
      <c r="G314" s="776">
        <v>1</v>
      </c>
      <c r="H314" s="776">
        <v>-1</v>
      </c>
      <c r="I314" s="777">
        <f t="shared" si="18"/>
        <v>-1.504</v>
      </c>
      <c r="J314" s="393"/>
      <c r="K314" s="779" t="s">
        <v>816</v>
      </c>
    </row>
    <row r="315" spans="1:11" s="394" customFormat="1">
      <c r="A315" s="392"/>
      <c r="B315" s="407"/>
      <c r="C315" s="773"/>
      <c r="D315" s="775">
        <v>3.4</v>
      </c>
      <c r="E315" s="775">
        <v>1</v>
      </c>
      <c r="F315" s="775"/>
      <c r="G315" s="776">
        <v>1</v>
      </c>
      <c r="H315" s="776">
        <v>-1</v>
      </c>
      <c r="I315" s="777">
        <f t="shared" si="18"/>
        <v>-3.4</v>
      </c>
      <c r="J315" s="393"/>
      <c r="K315" s="779" t="s">
        <v>816</v>
      </c>
    </row>
    <row r="316" spans="1:11" s="394" customFormat="1">
      <c r="A316" s="392"/>
      <c r="B316" s="407" t="s">
        <v>820</v>
      </c>
      <c r="C316" s="773"/>
      <c r="D316" s="775">
        <v>9.3000000000000007</v>
      </c>
      <c r="E316" s="775">
        <v>2</v>
      </c>
      <c r="F316" s="775"/>
      <c r="G316" s="776">
        <v>1</v>
      </c>
      <c r="H316" s="776">
        <v>-1</v>
      </c>
      <c r="I316" s="777">
        <f t="shared" si="18"/>
        <v>-18.600000000000001</v>
      </c>
      <c r="J316" s="393"/>
      <c r="K316" s="779" t="s">
        <v>816</v>
      </c>
    </row>
    <row r="317" spans="1:11" s="394" customFormat="1">
      <c r="A317" s="392"/>
      <c r="B317" s="407" t="s">
        <v>201</v>
      </c>
      <c r="C317" s="773"/>
      <c r="D317" s="775">
        <v>2.2000000000000002</v>
      </c>
      <c r="E317" s="775">
        <v>1.3049999999999999</v>
      </c>
      <c r="F317" s="775"/>
      <c r="G317" s="776">
        <v>1</v>
      </c>
      <c r="H317" s="776">
        <v>-1</v>
      </c>
      <c r="I317" s="777">
        <f t="shared" si="18"/>
        <v>-2.871</v>
      </c>
      <c r="J317" s="393"/>
      <c r="K317" s="779" t="s">
        <v>816</v>
      </c>
    </row>
    <row r="318" spans="1:11" s="52" customFormat="1">
      <c r="A318" s="13"/>
      <c r="B318" s="290" t="s">
        <v>197</v>
      </c>
      <c r="C318" s="13"/>
      <c r="D318" s="280"/>
      <c r="E318" s="280"/>
      <c r="F318" s="280"/>
      <c r="G318" s="281"/>
      <c r="H318" s="281"/>
      <c r="I318" s="287"/>
      <c r="J318" s="279"/>
      <c r="K318" s="292"/>
    </row>
    <row r="319" spans="1:11" s="52" customFormat="1">
      <c r="A319" s="13"/>
      <c r="B319" s="271" t="s">
        <v>182</v>
      </c>
      <c r="C319" s="272"/>
      <c r="D319" s="274">
        <v>7.1</v>
      </c>
      <c r="E319" s="274">
        <v>3.8</v>
      </c>
      <c r="F319" s="274"/>
      <c r="G319" s="273">
        <v>3</v>
      </c>
      <c r="H319" s="273">
        <v>1</v>
      </c>
      <c r="I319" s="275">
        <f t="shared" ref="I319:I320" si="19">PRODUCT(D319:H319)</f>
        <v>80.94</v>
      </c>
      <c r="J319" s="279"/>
      <c r="K319" s="292" t="s">
        <v>821</v>
      </c>
    </row>
    <row r="320" spans="1:11" s="52" customFormat="1">
      <c r="A320" s="13"/>
      <c r="B320" s="271"/>
      <c r="C320" s="272"/>
      <c r="D320" s="274">
        <v>2.1</v>
      </c>
      <c r="E320" s="274">
        <v>2.1</v>
      </c>
      <c r="F320" s="274"/>
      <c r="G320" s="273">
        <v>3</v>
      </c>
      <c r="H320" s="273">
        <v>1</v>
      </c>
      <c r="I320" s="275">
        <f t="shared" si="19"/>
        <v>13.23</v>
      </c>
      <c r="J320" s="279"/>
      <c r="K320" s="292" t="s">
        <v>821</v>
      </c>
    </row>
    <row r="321" spans="1:11" s="52" customFormat="1">
      <c r="A321" s="13"/>
      <c r="B321" s="290" t="s">
        <v>198</v>
      </c>
      <c r="C321" s="13"/>
      <c r="D321" s="280"/>
      <c r="E321" s="280"/>
      <c r="F321" s="280"/>
      <c r="G321" s="281"/>
      <c r="H321" s="281"/>
      <c r="I321" s="287"/>
      <c r="J321" s="279"/>
      <c r="K321" s="292"/>
    </row>
    <row r="322" spans="1:11" s="52" customFormat="1">
      <c r="A322" s="13"/>
      <c r="B322" s="333" t="s">
        <v>182</v>
      </c>
      <c r="C322" s="272"/>
      <c r="D322" s="274"/>
      <c r="E322" s="274"/>
      <c r="F322" s="274"/>
      <c r="G322" s="273"/>
      <c r="H322" s="273"/>
      <c r="I322" s="275"/>
      <c r="J322" s="279"/>
      <c r="K322" s="292"/>
    </row>
    <row r="323" spans="1:11" s="52" customFormat="1">
      <c r="A323" s="13"/>
      <c r="B323" s="271" t="s">
        <v>183</v>
      </c>
      <c r="C323" s="272"/>
      <c r="D323" s="274">
        <f>7.1*2+5.9*2</f>
        <v>26</v>
      </c>
      <c r="E323" s="274"/>
      <c r="F323" s="274">
        <v>3</v>
      </c>
      <c r="G323" s="273">
        <v>3</v>
      </c>
      <c r="H323" s="273">
        <v>1</v>
      </c>
      <c r="I323" s="275">
        <f t="shared" ref="I323:I326" si="20">PRODUCT(D323:H323)</f>
        <v>234</v>
      </c>
      <c r="J323" s="279"/>
      <c r="K323" s="292" t="s">
        <v>821</v>
      </c>
    </row>
    <row r="324" spans="1:11" s="52" customFormat="1">
      <c r="A324" s="13"/>
      <c r="B324" s="271" t="s">
        <v>185</v>
      </c>
      <c r="C324" s="272"/>
      <c r="D324" s="274">
        <v>0.9</v>
      </c>
      <c r="E324" s="274"/>
      <c r="F324" s="274">
        <v>2</v>
      </c>
      <c r="G324" s="273">
        <f>1*3</f>
        <v>3</v>
      </c>
      <c r="H324" s="273">
        <v>-1</v>
      </c>
      <c r="I324" s="275">
        <f t="shared" si="20"/>
        <v>-5.4</v>
      </c>
      <c r="J324" s="279"/>
      <c r="K324" s="292"/>
    </row>
    <row r="325" spans="1:11" s="52" customFormat="1">
      <c r="A325" s="13"/>
      <c r="B325" s="271" t="s">
        <v>184</v>
      </c>
      <c r="C325" s="272"/>
      <c r="D325" s="274">
        <f>1.05+1.3+2.45+2.7+1</f>
        <v>8.5</v>
      </c>
      <c r="E325" s="274"/>
      <c r="F325" s="274">
        <v>3</v>
      </c>
      <c r="G325" s="273">
        <v>3</v>
      </c>
      <c r="H325" s="273">
        <v>2</v>
      </c>
      <c r="I325" s="275">
        <f t="shared" si="20"/>
        <v>153</v>
      </c>
      <c r="J325" s="279"/>
      <c r="K325" s="292" t="s">
        <v>821</v>
      </c>
    </row>
    <row r="326" spans="1:11" s="52" customFormat="1">
      <c r="A326" s="13"/>
      <c r="B326" s="271" t="s">
        <v>185</v>
      </c>
      <c r="C326" s="272"/>
      <c r="D326" s="274">
        <v>0.9</v>
      </c>
      <c r="E326" s="274"/>
      <c r="F326" s="274">
        <v>2</v>
      </c>
      <c r="G326" s="273">
        <f>2*3</f>
        <v>6</v>
      </c>
      <c r="H326" s="273">
        <v>-2</v>
      </c>
      <c r="I326" s="275">
        <f t="shared" si="20"/>
        <v>-21.6</v>
      </c>
      <c r="J326" s="279"/>
      <c r="K326" s="292"/>
    </row>
    <row r="327" spans="1:11" s="52" customFormat="1" ht="47.25">
      <c r="A327" s="13">
        <v>10</v>
      </c>
      <c r="B327" s="278" t="s">
        <v>115</v>
      </c>
      <c r="C327" s="13" t="s">
        <v>88</v>
      </c>
      <c r="D327" s="280"/>
      <c r="E327" s="280"/>
      <c r="F327" s="280"/>
      <c r="G327" s="281"/>
      <c r="H327" s="281"/>
      <c r="I327" s="247"/>
      <c r="J327" s="279">
        <v>1</v>
      </c>
      <c r="K327" s="292" t="s">
        <v>822</v>
      </c>
    </row>
    <row r="328" spans="1:11" s="52" customFormat="1" ht="31.5">
      <c r="A328" s="13">
        <v>11</v>
      </c>
      <c r="B328" s="278" t="s">
        <v>116</v>
      </c>
      <c r="C328" s="13" t="s">
        <v>1</v>
      </c>
      <c r="D328" s="280"/>
      <c r="E328" s="280"/>
      <c r="F328" s="280"/>
      <c r="G328" s="281"/>
      <c r="H328" s="281"/>
      <c r="I328" s="247"/>
      <c r="J328" s="279" t="e">
        <f>SUM(I329:I346)</f>
        <v>#REF!</v>
      </c>
      <c r="K328" s="292"/>
    </row>
    <row r="329" spans="1:11" s="52" customFormat="1">
      <c r="A329" s="13"/>
      <c r="B329" s="290" t="s">
        <v>342</v>
      </c>
      <c r="C329" s="272"/>
      <c r="D329" s="274"/>
      <c r="E329" s="274"/>
      <c r="F329" s="274"/>
      <c r="G329" s="273"/>
      <c r="H329" s="273"/>
      <c r="I329" s="275">
        <f>$J$12</f>
        <v>1852.2149000000013</v>
      </c>
      <c r="J329" s="279"/>
      <c r="K329" s="292"/>
    </row>
    <row r="330" spans="1:11" s="52" customFormat="1">
      <c r="A330" s="13"/>
      <c r="B330" s="290" t="s">
        <v>341</v>
      </c>
      <c r="C330" s="272"/>
      <c r="D330" s="274"/>
      <c r="E330" s="274"/>
      <c r="F330" s="274"/>
      <c r="G330" s="273"/>
      <c r="H330" s="273"/>
      <c r="I330" s="275" t="e">
        <f>#REF!</f>
        <v>#REF!</v>
      </c>
      <c r="J330" s="279"/>
      <c r="K330" s="292"/>
    </row>
    <row r="331" spans="1:11" s="52" customFormat="1" ht="31.5">
      <c r="A331" s="13"/>
      <c r="B331" s="290" t="s">
        <v>823</v>
      </c>
      <c r="C331" s="272"/>
      <c r="D331" s="274"/>
      <c r="E331" s="274"/>
      <c r="F331" s="274"/>
      <c r="G331" s="273"/>
      <c r="H331" s="273"/>
      <c r="I331" s="275"/>
      <c r="J331" s="279"/>
      <c r="K331" s="292" t="s">
        <v>824</v>
      </c>
    </row>
    <row r="332" spans="1:11" s="52" customFormat="1">
      <c r="A332" s="13"/>
      <c r="B332" s="271" t="s">
        <v>195</v>
      </c>
      <c r="C332" s="13"/>
      <c r="D332" s="280">
        <v>4.95</v>
      </c>
      <c r="E332" s="280">
        <v>1.95</v>
      </c>
      <c r="F332" s="280"/>
      <c r="G332" s="281">
        <v>1</v>
      </c>
      <c r="H332" s="281">
        <v>-1</v>
      </c>
      <c r="I332" s="287">
        <f>PRODUCT(D332:H332)</f>
        <v>-9.6524999999999999</v>
      </c>
      <c r="J332" s="279"/>
      <c r="K332" s="292"/>
    </row>
    <row r="333" spans="1:11" s="52" customFormat="1">
      <c r="A333" s="13"/>
      <c r="B333" s="271" t="s">
        <v>189</v>
      </c>
      <c r="C333" s="13"/>
      <c r="D333" s="280">
        <v>4.95</v>
      </c>
      <c r="E333" s="280">
        <v>3.75</v>
      </c>
      <c r="F333" s="280"/>
      <c r="G333" s="281">
        <v>1</v>
      </c>
      <c r="H333" s="281">
        <v>-1</v>
      </c>
      <c r="I333" s="287">
        <f t="shared" ref="I333:I342" si="21">PRODUCT(D333:H333)</f>
        <v>-18.5625</v>
      </c>
      <c r="J333" s="279"/>
      <c r="K333" s="292"/>
    </row>
    <row r="334" spans="1:11" s="52" customFormat="1">
      <c r="A334" s="13"/>
      <c r="B334" s="271" t="s">
        <v>190</v>
      </c>
      <c r="C334" s="13"/>
      <c r="D334" s="280">
        <v>4.95</v>
      </c>
      <c r="E334" s="280">
        <v>3.75</v>
      </c>
      <c r="F334" s="280"/>
      <c r="G334" s="281">
        <v>1</v>
      </c>
      <c r="H334" s="281">
        <v>-1</v>
      </c>
      <c r="I334" s="287">
        <f t="shared" si="21"/>
        <v>-18.5625</v>
      </c>
      <c r="J334" s="279"/>
      <c r="K334" s="292"/>
    </row>
    <row r="335" spans="1:11" s="52" customFormat="1">
      <c r="A335" s="13"/>
      <c r="B335" s="271" t="s">
        <v>191</v>
      </c>
      <c r="C335" s="13"/>
      <c r="D335" s="280">
        <v>4.95</v>
      </c>
      <c r="E335" s="280">
        <v>4.75</v>
      </c>
      <c r="F335" s="280"/>
      <c r="G335" s="281">
        <v>1</v>
      </c>
      <c r="H335" s="281">
        <v>-1</v>
      </c>
      <c r="I335" s="287">
        <f t="shared" si="21"/>
        <v>-23.512499999999999</v>
      </c>
      <c r="J335" s="279"/>
      <c r="K335" s="292"/>
    </row>
    <row r="336" spans="1:11" s="52" customFormat="1">
      <c r="A336" s="13"/>
      <c r="B336" s="271"/>
      <c r="C336" s="13"/>
      <c r="D336" s="280">
        <v>4.7</v>
      </c>
      <c r="E336" s="280">
        <v>4.75</v>
      </c>
      <c r="F336" s="280"/>
      <c r="G336" s="281">
        <v>1</v>
      </c>
      <c r="H336" s="281">
        <v>-1</v>
      </c>
      <c r="I336" s="287">
        <f t="shared" si="21"/>
        <v>-22.324999999999999</v>
      </c>
      <c r="J336" s="279"/>
      <c r="K336" s="292"/>
    </row>
    <row r="337" spans="1:11" s="52" customFormat="1">
      <c r="A337" s="13"/>
      <c r="B337" s="271" t="s">
        <v>192</v>
      </c>
      <c r="C337" s="13"/>
      <c r="D337" s="280">
        <v>4.95</v>
      </c>
      <c r="E337" s="280">
        <v>3.75</v>
      </c>
      <c r="F337" s="280"/>
      <c r="G337" s="281">
        <v>1</v>
      </c>
      <c r="H337" s="281">
        <v>-1</v>
      </c>
      <c r="I337" s="287">
        <f t="shared" si="21"/>
        <v>-18.5625</v>
      </c>
      <c r="J337" s="279"/>
      <c r="K337" s="292"/>
    </row>
    <row r="338" spans="1:11" s="52" customFormat="1">
      <c r="A338" s="13"/>
      <c r="B338" s="271"/>
      <c r="C338" s="13"/>
      <c r="D338" s="280">
        <v>4.7</v>
      </c>
      <c r="E338" s="280">
        <v>3.75</v>
      </c>
      <c r="F338" s="280"/>
      <c r="G338" s="281">
        <v>1</v>
      </c>
      <c r="H338" s="281">
        <v>-1</v>
      </c>
      <c r="I338" s="287">
        <f t="shared" si="21"/>
        <v>-17.625</v>
      </c>
      <c r="J338" s="279"/>
      <c r="K338" s="292"/>
    </row>
    <row r="339" spans="1:11" s="52" customFormat="1">
      <c r="A339" s="13"/>
      <c r="B339" s="271" t="s">
        <v>193</v>
      </c>
      <c r="C339" s="13"/>
      <c r="D339" s="280">
        <v>4.95</v>
      </c>
      <c r="E339" s="280">
        <v>3.75</v>
      </c>
      <c r="F339" s="280"/>
      <c r="G339" s="281">
        <v>1</v>
      </c>
      <c r="H339" s="281">
        <v>-1</v>
      </c>
      <c r="I339" s="287">
        <f t="shared" si="21"/>
        <v>-18.5625</v>
      </c>
      <c r="J339" s="279"/>
      <c r="K339" s="292"/>
    </row>
    <row r="340" spans="1:11" s="52" customFormat="1">
      <c r="A340" s="13"/>
      <c r="B340" s="271"/>
      <c r="C340" s="13"/>
      <c r="D340" s="280">
        <v>4.7</v>
      </c>
      <c r="E340" s="280">
        <v>3.75</v>
      </c>
      <c r="F340" s="280"/>
      <c r="G340" s="281">
        <v>1</v>
      </c>
      <c r="H340" s="281">
        <v>-1</v>
      </c>
      <c r="I340" s="287">
        <f t="shared" si="21"/>
        <v>-17.625</v>
      </c>
      <c r="J340" s="279"/>
      <c r="K340" s="292"/>
    </row>
    <row r="341" spans="1:11" s="52" customFormat="1">
      <c r="A341" s="13"/>
      <c r="B341" s="271" t="s">
        <v>194</v>
      </c>
      <c r="C341" s="13"/>
      <c r="D341" s="280">
        <v>4.95</v>
      </c>
      <c r="E341" s="280">
        <v>2.0499999999999998</v>
      </c>
      <c r="F341" s="280"/>
      <c r="G341" s="281">
        <v>1</v>
      </c>
      <c r="H341" s="281">
        <v>-1</v>
      </c>
      <c r="I341" s="287">
        <f t="shared" si="21"/>
        <v>-10.147499999999999</v>
      </c>
      <c r="J341" s="279"/>
      <c r="K341" s="292"/>
    </row>
    <row r="342" spans="1:11" s="52" customFormat="1">
      <c r="A342" s="13"/>
      <c r="B342" s="271"/>
      <c r="C342" s="13"/>
      <c r="D342" s="280">
        <v>4.7</v>
      </c>
      <c r="E342" s="280">
        <v>3.9249999999999998</v>
      </c>
      <c r="F342" s="280"/>
      <c r="G342" s="281">
        <v>1</v>
      </c>
      <c r="H342" s="281">
        <v>-1</v>
      </c>
      <c r="I342" s="287">
        <f t="shared" si="21"/>
        <v>-18.447500000000002</v>
      </c>
      <c r="J342" s="279"/>
      <c r="K342" s="292"/>
    </row>
    <row r="343" spans="1:11" s="52" customFormat="1" ht="31.5">
      <c r="A343" s="13"/>
      <c r="B343" s="290" t="s">
        <v>825</v>
      </c>
      <c r="C343" s="272"/>
      <c r="D343" s="274"/>
      <c r="E343" s="274"/>
      <c r="F343" s="274"/>
      <c r="G343" s="273"/>
      <c r="H343" s="273"/>
      <c r="I343" s="275" t="e">
        <f>SUM(#REF!)</f>
        <v>#REF!</v>
      </c>
      <c r="J343" s="279"/>
      <c r="K343" s="292"/>
    </row>
    <row r="344" spans="1:11" s="52" customFormat="1">
      <c r="A344" s="13"/>
      <c r="B344" s="290" t="s">
        <v>420</v>
      </c>
      <c r="C344" s="272"/>
      <c r="D344" s="274"/>
      <c r="E344" s="274"/>
      <c r="F344" s="274"/>
      <c r="G344" s="273"/>
      <c r="H344" s="273"/>
      <c r="I344" s="275"/>
      <c r="J344" s="279"/>
      <c r="K344" s="292"/>
    </row>
    <row r="345" spans="1:11" s="52" customFormat="1">
      <c r="A345" s="13"/>
      <c r="B345" s="271" t="s">
        <v>404</v>
      </c>
      <c r="C345" s="272"/>
      <c r="D345" s="274">
        <f>5.9+2.5</f>
        <v>8.4</v>
      </c>
      <c r="E345" s="274"/>
      <c r="F345" s="274">
        <v>3.2</v>
      </c>
      <c r="G345" s="273">
        <v>1</v>
      </c>
      <c r="H345" s="273">
        <v>2</v>
      </c>
      <c r="I345" s="275">
        <f t="shared" ref="I345:I346" si="22">PRODUCT(D345:H345)</f>
        <v>53.760000000000005</v>
      </c>
      <c r="J345" s="279"/>
      <c r="K345" s="292"/>
    </row>
    <row r="346" spans="1:11" s="52" customFormat="1">
      <c r="A346" s="13"/>
      <c r="B346" s="271" t="s">
        <v>402</v>
      </c>
      <c r="C346" s="272"/>
      <c r="D346" s="274">
        <v>0.9</v>
      </c>
      <c r="E346" s="274"/>
      <c r="F346" s="274">
        <v>2.2000000000000002</v>
      </c>
      <c r="G346" s="273">
        <v>2</v>
      </c>
      <c r="H346" s="273">
        <v>-2</v>
      </c>
      <c r="I346" s="275">
        <f t="shared" si="22"/>
        <v>-7.9200000000000008</v>
      </c>
      <c r="J346" s="279"/>
      <c r="K346" s="292"/>
    </row>
    <row r="347" spans="1:11" s="52" customFormat="1" ht="63">
      <c r="A347" s="13">
        <v>12</v>
      </c>
      <c r="B347" s="278" t="s">
        <v>117</v>
      </c>
      <c r="C347" s="13" t="s">
        <v>1</v>
      </c>
      <c r="D347" s="280"/>
      <c r="E347" s="280"/>
      <c r="F347" s="280"/>
      <c r="G347" s="281"/>
      <c r="H347" s="281"/>
      <c r="I347" s="247"/>
      <c r="J347" s="279">
        <f>$J$146</f>
        <v>1541.9157960000007</v>
      </c>
      <c r="K347" s="292" t="s">
        <v>826</v>
      </c>
    </row>
    <row r="348" spans="1:11" s="52" customFormat="1">
      <c r="A348" s="13">
        <v>13</v>
      </c>
      <c r="B348" s="278" t="s">
        <v>118</v>
      </c>
      <c r="C348" s="13" t="s">
        <v>1</v>
      </c>
      <c r="D348" s="280"/>
      <c r="E348" s="280"/>
      <c r="F348" s="280"/>
      <c r="G348" s="281"/>
      <c r="H348" s="281"/>
      <c r="I348" s="247"/>
      <c r="J348" s="279">
        <f>SUM(I349)</f>
        <v>7.6136522000000006</v>
      </c>
      <c r="K348" s="292"/>
    </row>
    <row r="349" spans="1:11" s="52" customFormat="1">
      <c r="A349" s="13"/>
      <c r="B349" s="271" t="s">
        <v>403</v>
      </c>
      <c r="C349" s="272"/>
      <c r="D349" s="274">
        <v>2.585</v>
      </c>
      <c r="E349" s="274">
        <f>3.14*0.469</f>
        <v>1.4726600000000001</v>
      </c>
      <c r="F349" s="274"/>
      <c r="G349" s="273">
        <v>2</v>
      </c>
      <c r="H349" s="273">
        <v>1</v>
      </c>
      <c r="I349" s="275">
        <f>PRODUCT(D349:H349)</f>
        <v>7.6136522000000006</v>
      </c>
      <c r="J349" s="279"/>
      <c r="K349" s="292" t="s">
        <v>827</v>
      </c>
    </row>
    <row r="350" spans="1:11" collapsed="1">
      <c r="A350" s="321"/>
      <c r="B350" s="289"/>
      <c r="C350" s="277"/>
      <c r="D350" s="286"/>
      <c r="E350" s="277"/>
      <c r="F350" s="277"/>
      <c r="G350" s="277"/>
      <c r="H350" s="277"/>
      <c r="I350" s="283"/>
      <c r="K350" s="343"/>
    </row>
    <row r="351" spans="1:11">
      <c r="A351" s="277"/>
      <c r="B351" s="289"/>
      <c r="C351" s="277"/>
      <c r="D351" s="286"/>
      <c r="E351" s="277"/>
      <c r="F351" s="277"/>
      <c r="G351" s="277"/>
      <c r="H351" s="277"/>
      <c r="I351" s="320" t="s">
        <v>620</v>
      </c>
      <c r="J351" s="291"/>
      <c r="K351" s="343"/>
    </row>
    <row r="352" spans="1:11">
      <c r="A352" s="321"/>
      <c r="B352" s="283" t="s">
        <v>1770</v>
      </c>
      <c r="C352" s="277"/>
      <c r="D352" s="445"/>
      <c r="E352" s="277"/>
      <c r="F352" s="277"/>
      <c r="G352" s="277"/>
      <c r="H352" s="282"/>
      <c r="I352" s="315" t="s">
        <v>100</v>
      </c>
      <c r="J352" s="282"/>
      <c r="K352" s="343"/>
    </row>
  </sheetData>
  <mergeCells count="12">
    <mergeCell ref="A3:K3"/>
    <mergeCell ref="A1:K1"/>
    <mergeCell ref="A2:K2"/>
    <mergeCell ref="A5:A6"/>
    <mergeCell ref="B5:B6"/>
    <mergeCell ref="K5:K6"/>
    <mergeCell ref="C5:C6"/>
    <mergeCell ref="D5:F5"/>
    <mergeCell ref="I5:J5"/>
    <mergeCell ref="G5:G6"/>
    <mergeCell ref="H5:H6"/>
    <mergeCell ref="A4:K4"/>
  </mergeCells>
  <phoneticPr fontId="42" type="noConversion"/>
  <printOptions horizontalCentered="1"/>
  <pageMargins left="0.511811023622047" right="0.43307086614173201" top="0.43307086614173201" bottom="0.43307086614173201" header="0.31496062992126" footer="0.31496062992126"/>
  <pageSetup paperSize="9" scale="75" orientation="landscape" r:id="rId1"/>
  <headerFooter alignWithMargins="0">
    <oddFooter>&amp;R&amp;P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4"/>
  <sheetViews>
    <sheetView view="pageBreakPreview" topLeftCell="A40" zoomScale="98" zoomScaleNormal="100" zoomScaleSheetLayoutView="98" workbookViewId="0">
      <selection activeCell="Q9" sqref="Q9"/>
    </sheetView>
  </sheetViews>
  <sheetFormatPr defaultColWidth="9.140625" defaultRowHeight="15"/>
  <cols>
    <col min="1" max="1" width="7.140625" style="383" customWidth="1"/>
    <col min="2" max="2" width="6.7109375" style="384" customWidth="1"/>
    <col min="3" max="7" width="6" style="346" customWidth="1"/>
    <col min="8" max="9" width="9.140625" style="346"/>
    <col min="10" max="10" width="9.140625" style="385"/>
    <col min="11" max="13" width="9.140625" style="346"/>
    <col min="14" max="14" width="12.7109375" style="346" customWidth="1"/>
    <col min="15" max="15" width="9.140625" style="346" customWidth="1"/>
    <col min="16" max="16" width="12.140625" style="346" customWidth="1"/>
    <col min="17" max="16384" width="9.140625" style="346"/>
  </cols>
  <sheetData>
    <row r="1" spans="1:17" ht="24" customHeight="1">
      <c r="A1" s="946" t="s">
        <v>828</v>
      </c>
      <c r="B1" s="946"/>
      <c r="C1" s="946"/>
      <c r="D1" s="946"/>
      <c r="E1" s="946"/>
      <c r="F1" s="946"/>
      <c r="G1" s="946"/>
      <c r="H1" s="946"/>
      <c r="I1" s="946"/>
      <c r="J1" s="946"/>
      <c r="K1" s="946"/>
      <c r="L1" s="946"/>
      <c r="M1" s="946"/>
      <c r="N1" s="946"/>
      <c r="O1" s="946"/>
      <c r="P1" s="946"/>
    </row>
    <row r="2" spans="1:17">
      <c r="A2" s="947" t="str">
        <f>'Dien giai KL'!A2:K2</f>
        <v>CÔNG TRÌNH : THI CÔNG ………………</v>
      </c>
      <c r="B2" s="947"/>
      <c r="C2" s="947"/>
      <c r="D2" s="947"/>
      <c r="E2" s="947"/>
      <c r="F2" s="947"/>
      <c r="G2" s="947"/>
      <c r="H2" s="947"/>
      <c r="I2" s="947"/>
      <c r="J2" s="947"/>
      <c r="K2" s="947"/>
      <c r="L2" s="947"/>
      <c r="M2" s="947"/>
      <c r="N2" s="947"/>
      <c r="O2" s="947"/>
      <c r="P2" s="947"/>
    </row>
    <row r="3" spans="1:17">
      <c r="A3" s="947" t="str">
        <f>'Dien giai KL'!A3:K3</f>
        <v>ĐỊA ĐIỂM: ………………</v>
      </c>
      <c r="B3" s="947"/>
      <c r="C3" s="947"/>
      <c r="D3" s="947"/>
      <c r="E3" s="947"/>
      <c r="F3" s="947"/>
      <c r="G3" s="947"/>
      <c r="H3" s="947"/>
      <c r="I3" s="947"/>
      <c r="J3" s="947"/>
      <c r="K3" s="947"/>
      <c r="L3" s="947"/>
      <c r="M3" s="947"/>
      <c r="N3" s="947"/>
      <c r="O3" s="947"/>
      <c r="P3" s="947"/>
    </row>
    <row r="4" spans="1:17">
      <c r="A4" s="948" t="str">
        <f>'Dien giai KL'!A4:K4</f>
        <v>SỐ HỢP ĐỒNG: …………………</v>
      </c>
      <c r="B4" s="949"/>
      <c r="C4" s="949"/>
      <c r="D4" s="949"/>
      <c r="E4" s="949"/>
      <c r="F4" s="949"/>
      <c r="G4" s="949"/>
      <c r="H4" s="949"/>
      <c r="I4" s="949"/>
      <c r="J4" s="949"/>
      <c r="K4" s="949"/>
      <c r="L4" s="949"/>
      <c r="M4" s="949"/>
      <c r="N4" s="949"/>
      <c r="O4" s="949"/>
      <c r="P4" s="950"/>
    </row>
    <row r="5" spans="1:17" s="514" customFormat="1" ht="15" customHeight="1">
      <c r="A5" s="880" t="s">
        <v>829</v>
      </c>
      <c r="B5" s="880" t="s">
        <v>830</v>
      </c>
      <c r="C5" s="881" t="s">
        <v>831</v>
      </c>
      <c r="D5" s="891"/>
      <c r="E5" s="891"/>
      <c r="F5" s="891"/>
      <c r="G5" s="891"/>
      <c r="H5" s="880" t="s">
        <v>832</v>
      </c>
      <c r="I5" s="880" t="s">
        <v>833</v>
      </c>
      <c r="J5" s="880" t="s">
        <v>834</v>
      </c>
      <c r="K5" s="880" t="s">
        <v>835</v>
      </c>
      <c r="L5" s="880"/>
      <c r="M5" s="880"/>
      <c r="N5" s="880" t="s">
        <v>836</v>
      </c>
      <c r="O5" s="880" t="s">
        <v>837</v>
      </c>
      <c r="P5" s="880" t="s">
        <v>838</v>
      </c>
    </row>
    <row r="6" spans="1:17" s="514" customFormat="1" ht="25.5">
      <c r="A6" s="881"/>
      <c r="B6" s="881"/>
      <c r="C6" s="881"/>
      <c r="D6" s="891"/>
      <c r="E6" s="891"/>
      <c r="F6" s="891"/>
      <c r="G6" s="891"/>
      <c r="H6" s="880"/>
      <c r="I6" s="881"/>
      <c r="J6" s="881"/>
      <c r="K6" s="515" t="s">
        <v>839</v>
      </c>
      <c r="L6" s="515" t="s">
        <v>840</v>
      </c>
      <c r="M6" s="516" t="s">
        <v>841</v>
      </c>
      <c r="N6" s="881"/>
      <c r="O6" s="880"/>
      <c r="P6" s="881"/>
    </row>
    <row r="7" spans="1:17" s="347" customFormat="1" ht="15.75">
      <c r="A7" s="451" t="s">
        <v>842</v>
      </c>
      <c r="B7" s="452"/>
      <c r="C7" s="453"/>
      <c r="D7" s="453"/>
      <c r="E7" s="453"/>
      <c r="F7" s="453"/>
      <c r="G7" s="453"/>
      <c r="H7" s="453"/>
      <c r="I7" s="453"/>
      <c r="J7" s="453"/>
      <c r="K7" s="453"/>
      <c r="L7" s="453"/>
      <c r="M7" s="453"/>
      <c r="N7" s="453"/>
      <c r="O7" s="453"/>
      <c r="P7" s="454">
        <f>SUBTOTAL(9,P8:P27)</f>
        <v>2836.1479856102951</v>
      </c>
      <c r="Q7" s="347" t="s">
        <v>843</v>
      </c>
    </row>
    <row r="8" spans="1:17" ht="27.75" customHeight="1">
      <c r="A8" s="455"/>
      <c r="B8" s="456">
        <v>1</v>
      </c>
      <c r="C8" s="457"/>
      <c r="D8" s="458"/>
      <c r="E8" s="459">
        <v>9200</v>
      </c>
      <c r="F8" s="458"/>
      <c r="G8" s="460"/>
      <c r="H8" s="461">
        <v>10</v>
      </c>
      <c r="I8" s="462">
        <f t="shared" ref="I8:I27" si="0">+SUM(C8:G8)</f>
        <v>9200</v>
      </c>
      <c r="J8" s="463"/>
      <c r="K8" s="464">
        <v>5</v>
      </c>
      <c r="L8" s="464">
        <v>1</v>
      </c>
      <c r="M8" s="465">
        <f t="shared" ref="M8:M27" si="1">+K8*L8</f>
        <v>5</v>
      </c>
      <c r="N8" s="466">
        <f t="shared" ref="N8:N27" si="2">+(I8+30*J8*H8)*M8/1000</f>
        <v>46</v>
      </c>
      <c r="O8" s="467">
        <f t="shared" ref="O8:O27" si="3">(7850*PI()*(H8/1000)^2)/4</f>
        <v>0.61653755826699697</v>
      </c>
      <c r="P8" s="468">
        <f>N8*O8</f>
        <v>28.360727680281862</v>
      </c>
    </row>
    <row r="9" spans="1:17" ht="27.75" customHeight="1">
      <c r="A9" s="348"/>
      <c r="B9" s="349">
        <v>2</v>
      </c>
      <c r="C9" s="350"/>
      <c r="D9" s="351"/>
      <c r="E9" s="352">
        <v>9200</v>
      </c>
      <c r="F9" s="351"/>
      <c r="G9" s="353"/>
      <c r="H9" s="354">
        <v>10</v>
      </c>
      <c r="I9" s="355">
        <f t="shared" si="0"/>
        <v>9200</v>
      </c>
      <c r="J9" s="356"/>
      <c r="K9" s="357">
        <v>5</v>
      </c>
      <c r="L9" s="357">
        <v>1</v>
      </c>
      <c r="M9" s="358">
        <f t="shared" si="1"/>
        <v>5</v>
      </c>
      <c r="N9" s="359">
        <f t="shared" si="2"/>
        <v>46</v>
      </c>
      <c r="O9" s="360">
        <f t="shared" si="3"/>
        <v>0.61653755826699697</v>
      </c>
      <c r="P9" s="361">
        <f>N9*O9</f>
        <v>28.360727680281862</v>
      </c>
    </row>
    <row r="10" spans="1:17" ht="27.75" customHeight="1">
      <c r="A10" s="348"/>
      <c r="B10" s="349">
        <v>3</v>
      </c>
      <c r="C10" s="350"/>
      <c r="D10" s="351"/>
      <c r="E10" s="352">
        <v>14050</v>
      </c>
      <c r="F10" s="351"/>
      <c r="G10" s="353"/>
      <c r="H10" s="354">
        <v>10</v>
      </c>
      <c r="I10" s="355">
        <f t="shared" si="0"/>
        <v>14050</v>
      </c>
      <c r="J10" s="356">
        <v>1</v>
      </c>
      <c r="K10" s="357">
        <v>29</v>
      </c>
      <c r="L10" s="357">
        <v>1</v>
      </c>
      <c r="M10" s="358">
        <f t="shared" si="1"/>
        <v>29</v>
      </c>
      <c r="N10" s="359">
        <f t="shared" si="2"/>
        <v>416.15</v>
      </c>
      <c r="O10" s="360">
        <f t="shared" si="3"/>
        <v>0.61653755826699697</v>
      </c>
      <c r="P10" s="361">
        <f t="shared" ref="P10:P11" si="4">N10*O10</f>
        <v>256.57210487281077</v>
      </c>
    </row>
    <row r="11" spans="1:17" ht="27.75" customHeight="1">
      <c r="A11" s="348"/>
      <c r="B11" s="349">
        <v>4</v>
      </c>
      <c r="C11" s="350"/>
      <c r="D11" s="351"/>
      <c r="E11" s="352">
        <v>14150</v>
      </c>
      <c r="F11" s="351"/>
      <c r="G11" s="353"/>
      <c r="H11" s="354">
        <v>10</v>
      </c>
      <c r="I11" s="355">
        <f t="shared" si="0"/>
        <v>14150</v>
      </c>
      <c r="J11" s="356">
        <v>1</v>
      </c>
      <c r="K11" s="357">
        <v>28</v>
      </c>
      <c r="L11" s="357">
        <v>1</v>
      </c>
      <c r="M11" s="358">
        <f t="shared" si="1"/>
        <v>28</v>
      </c>
      <c r="N11" s="359">
        <f t="shared" si="2"/>
        <v>404.6</v>
      </c>
      <c r="O11" s="360">
        <f t="shared" si="3"/>
        <v>0.61653755826699697</v>
      </c>
      <c r="P11" s="361">
        <f t="shared" si="4"/>
        <v>249.45109607482698</v>
      </c>
    </row>
    <row r="12" spans="1:17" ht="27.75" customHeight="1">
      <c r="A12" s="348"/>
      <c r="B12" s="349">
        <v>5</v>
      </c>
      <c r="C12" s="350"/>
      <c r="D12" s="351"/>
      <c r="E12" s="352">
        <v>13700</v>
      </c>
      <c r="F12" s="351"/>
      <c r="G12" s="353"/>
      <c r="H12" s="354">
        <v>10</v>
      </c>
      <c r="I12" s="355">
        <f t="shared" si="0"/>
        <v>13700</v>
      </c>
      <c r="J12" s="356">
        <v>1</v>
      </c>
      <c r="K12" s="357">
        <v>11</v>
      </c>
      <c r="L12" s="357">
        <v>1</v>
      </c>
      <c r="M12" s="358">
        <f t="shared" si="1"/>
        <v>11</v>
      </c>
      <c r="N12" s="359">
        <f t="shared" si="2"/>
        <v>154</v>
      </c>
      <c r="O12" s="360">
        <f t="shared" si="3"/>
        <v>0.61653755826699697</v>
      </c>
      <c r="P12" s="361">
        <f>N12*O12</f>
        <v>94.946783973117533</v>
      </c>
    </row>
    <row r="13" spans="1:17" ht="27.75" customHeight="1">
      <c r="A13" s="348"/>
      <c r="B13" s="349">
        <v>6</v>
      </c>
      <c r="C13" s="350"/>
      <c r="D13" s="351"/>
      <c r="E13" s="352">
        <v>13850</v>
      </c>
      <c r="F13" s="351"/>
      <c r="G13" s="353"/>
      <c r="H13" s="354">
        <v>10</v>
      </c>
      <c r="I13" s="355">
        <f t="shared" si="0"/>
        <v>13850</v>
      </c>
      <c r="J13" s="356">
        <v>1</v>
      </c>
      <c r="K13" s="357">
        <v>11</v>
      </c>
      <c r="L13" s="357">
        <v>1</v>
      </c>
      <c r="M13" s="358">
        <f t="shared" si="1"/>
        <v>11</v>
      </c>
      <c r="N13" s="359">
        <f t="shared" si="2"/>
        <v>155.65</v>
      </c>
      <c r="O13" s="360">
        <f t="shared" si="3"/>
        <v>0.61653755826699697</v>
      </c>
      <c r="P13" s="361">
        <f>N13*O13</f>
        <v>95.964070944258083</v>
      </c>
    </row>
    <row r="14" spans="1:17" ht="27.75" customHeight="1">
      <c r="A14" s="348"/>
      <c r="B14" s="349">
        <v>7</v>
      </c>
      <c r="C14" s="350"/>
      <c r="D14" s="351"/>
      <c r="E14" s="352">
        <v>2800</v>
      </c>
      <c r="F14" s="351"/>
      <c r="G14" s="353"/>
      <c r="H14" s="354">
        <v>10</v>
      </c>
      <c r="I14" s="355">
        <f t="shared" si="0"/>
        <v>2800</v>
      </c>
      <c r="J14" s="356"/>
      <c r="K14" s="357">
        <v>30</v>
      </c>
      <c r="L14" s="357">
        <v>1</v>
      </c>
      <c r="M14" s="358">
        <f t="shared" si="1"/>
        <v>30</v>
      </c>
      <c r="N14" s="359">
        <f t="shared" si="2"/>
        <v>84</v>
      </c>
      <c r="O14" s="360">
        <f t="shared" si="3"/>
        <v>0.61653755826699697</v>
      </c>
      <c r="P14" s="361">
        <f>N14*O14</f>
        <v>51.789154894427746</v>
      </c>
    </row>
    <row r="15" spans="1:17" ht="27.75" customHeight="1">
      <c r="A15" s="348"/>
      <c r="B15" s="349">
        <v>8</v>
      </c>
      <c r="C15" s="350"/>
      <c r="D15" s="351"/>
      <c r="E15" s="352">
        <v>7100</v>
      </c>
      <c r="F15" s="351"/>
      <c r="G15" s="353"/>
      <c r="H15" s="354">
        <v>10</v>
      </c>
      <c r="I15" s="355">
        <f t="shared" si="0"/>
        <v>7100</v>
      </c>
      <c r="J15" s="356"/>
      <c r="K15" s="357">
        <v>30</v>
      </c>
      <c r="L15" s="357">
        <v>1</v>
      </c>
      <c r="M15" s="358">
        <f t="shared" si="1"/>
        <v>30</v>
      </c>
      <c r="N15" s="359">
        <f t="shared" si="2"/>
        <v>213</v>
      </c>
      <c r="O15" s="360">
        <f t="shared" si="3"/>
        <v>0.61653755826699697</v>
      </c>
      <c r="P15" s="361">
        <f>N15*O15</f>
        <v>131.32249991087036</v>
      </c>
    </row>
    <row r="16" spans="1:17" ht="27.75" customHeight="1">
      <c r="A16" s="348"/>
      <c r="B16" s="349">
        <v>9</v>
      </c>
      <c r="C16" s="350"/>
      <c r="D16" s="351"/>
      <c r="E16" s="352">
        <v>4900</v>
      </c>
      <c r="F16" s="351"/>
      <c r="G16" s="353"/>
      <c r="H16" s="354">
        <v>10</v>
      </c>
      <c r="I16" s="355">
        <f t="shared" si="0"/>
        <v>4900</v>
      </c>
      <c r="J16" s="356"/>
      <c r="K16" s="357">
        <v>30</v>
      </c>
      <c r="L16" s="357">
        <v>1</v>
      </c>
      <c r="M16" s="358">
        <f t="shared" si="1"/>
        <v>30</v>
      </c>
      <c r="N16" s="359">
        <f t="shared" si="2"/>
        <v>147</v>
      </c>
      <c r="O16" s="360">
        <f t="shared" si="3"/>
        <v>0.61653755826699697</v>
      </c>
      <c r="P16" s="361">
        <f t="shared" ref="P16:P17" si="5">N16*O16</f>
        <v>90.631021065248561</v>
      </c>
    </row>
    <row r="17" spans="1:17" ht="27.75" customHeight="1">
      <c r="A17" s="348"/>
      <c r="B17" s="349">
        <v>10</v>
      </c>
      <c r="C17" s="350"/>
      <c r="D17" s="351"/>
      <c r="E17" s="352">
        <v>5700</v>
      </c>
      <c r="F17" s="351"/>
      <c r="G17" s="353"/>
      <c r="H17" s="354">
        <v>10</v>
      </c>
      <c r="I17" s="355">
        <f t="shared" si="0"/>
        <v>5700</v>
      </c>
      <c r="J17" s="356"/>
      <c r="K17" s="357">
        <v>30</v>
      </c>
      <c r="L17" s="357">
        <v>1</v>
      </c>
      <c r="M17" s="358">
        <f t="shared" si="1"/>
        <v>30</v>
      </c>
      <c r="N17" s="359">
        <f t="shared" si="2"/>
        <v>171</v>
      </c>
      <c r="O17" s="360">
        <f t="shared" si="3"/>
        <v>0.61653755826699697</v>
      </c>
      <c r="P17" s="361">
        <f t="shared" si="5"/>
        <v>105.42792246365649</v>
      </c>
    </row>
    <row r="18" spans="1:17" ht="27.75" customHeight="1">
      <c r="A18" s="348"/>
      <c r="B18" s="362">
        <v>11</v>
      </c>
      <c r="C18" s="350"/>
      <c r="D18" s="351"/>
      <c r="E18" s="352">
        <v>10050</v>
      </c>
      <c r="F18" s="351"/>
      <c r="G18" s="353"/>
      <c r="H18" s="354">
        <v>10</v>
      </c>
      <c r="I18" s="355">
        <f t="shared" si="0"/>
        <v>10050</v>
      </c>
      <c r="J18" s="356"/>
      <c r="K18" s="357">
        <v>30</v>
      </c>
      <c r="L18" s="357">
        <v>1</v>
      </c>
      <c r="M18" s="358">
        <f t="shared" si="1"/>
        <v>30</v>
      </c>
      <c r="N18" s="359">
        <f t="shared" si="2"/>
        <v>301.5</v>
      </c>
      <c r="O18" s="360">
        <f t="shared" si="3"/>
        <v>0.61653755826699697</v>
      </c>
      <c r="P18" s="361">
        <f>N18*O18</f>
        <v>185.88607381749958</v>
      </c>
    </row>
    <row r="19" spans="1:17" ht="27.75" customHeight="1">
      <c r="A19" s="348"/>
      <c r="B19" s="362">
        <v>12</v>
      </c>
      <c r="C19" s="350"/>
      <c r="D19" s="351"/>
      <c r="E19" s="352">
        <v>5950</v>
      </c>
      <c r="F19" s="351"/>
      <c r="G19" s="353"/>
      <c r="H19" s="354">
        <v>10</v>
      </c>
      <c r="I19" s="355">
        <f t="shared" si="0"/>
        <v>5950</v>
      </c>
      <c r="J19" s="356"/>
      <c r="K19" s="357">
        <v>15</v>
      </c>
      <c r="L19" s="357">
        <v>1</v>
      </c>
      <c r="M19" s="358">
        <f t="shared" si="1"/>
        <v>15</v>
      </c>
      <c r="N19" s="359">
        <f t="shared" si="2"/>
        <v>89.25</v>
      </c>
      <c r="O19" s="360">
        <f t="shared" si="3"/>
        <v>0.61653755826699697</v>
      </c>
      <c r="P19" s="361">
        <f>N19*O19</f>
        <v>55.025977075329479</v>
      </c>
    </row>
    <row r="20" spans="1:17" ht="27.75" customHeight="1">
      <c r="A20" s="348"/>
      <c r="B20" s="362">
        <v>13</v>
      </c>
      <c r="C20" s="350"/>
      <c r="D20" s="351"/>
      <c r="E20" s="352">
        <v>7750</v>
      </c>
      <c r="F20" s="351"/>
      <c r="G20" s="353"/>
      <c r="H20" s="354">
        <v>10</v>
      </c>
      <c r="I20" s="355">
        <f t="shared" si="0"/>
        <v>7750</v>
      </c>
      <c r="J20" s="356"/>
      <c r="K20" s="357">
        <v>14</v>
      </c>
      <c r="L20" s="357">
        <v>1</v>
      </c>
      <c r="M20" s="358">
        <f t="shared" si="1"/>
        <v>14</v>
      </c>
      <c r="N20" s="359">
        <f t="shared" si="2"/>
        <v>108.5</v>
      </c>
      <c r="O20" s="360">
        <f t="shared" si="3"/>
        <v>0.61653755826699697</v>
      </c>
      <c r="P20" s="361">
        <f t="shared" ref="P20:P27" si="6">N20*O20</f>
        <v>66.894325071969178</v>
      </c>
    </row>
    <row r="21" spans="1:17" ht="27.75" customHeight="1">
      <c r="A21" s="348"/>
      <c r="B21" s="362">
        <v>14</v>
      </c>
      <c r="C21" s="350"/>
      <c r="D21" s="351"/>
      <c r="E21" s="352">
        <v>8700</v>
      </c>
      <c r="F21" s="351"/>
      <c r="G21" s="353"/>
      <c r="H21" s="354">
        <v>10</v>
      </c>
      <c r="I21" s="355">
        <f t="shared" si="0"/>
        <v>8700</v>
      </c>
      <c r="J21" s="356"/>
      <c r="K21" s="357">
        <v>35</v>
      </c>
      <c r="L21" s="357">
        <v>1</v>
      </c>
      <c r="M21" s="358">
        <f t="shared" si="1"/>
        <v>35</v>
      </c>
      <c r="N21" s="359">
        <f t="shared" si="2"/>
        <v>304.5</v>
      </c>
      <c r="O21" s="360">
        <f t="shared" si="3"/>
        <v>0.61653755826699697</v>
      </c>
      <c r="P21" s="361">
        <f t="shared" si="6"/>
        <v>187.73568649230057</v>
      </c>
    </row>
    <row r="22" spans="1:17" ht="27.75" customHeight="1">
      <c r="A22" s="348"/>
      <c r="B22" s="362">
        <v>15</v>
      </c>
      <c r="C22" s="350"/>
      <c r="D22" s="351"/>
      <c r="E22" s="352">
        <v>5900</v>
      </c>
      <c r="F22" s="351"/>
      <c r="G22" s="353"/>
      <c r="H22" s="354">
        <v>10</v>
      </c>
      <c r="I22" s="355">
        <f t="shared" si="0"/>
        <v>5900</v>
      </c>
      <c r="J22" s="356"/>
      <c r="K22" s="357">
        <v>36</v>
      </c>
      <c r="L22" s="357">
        <v>1</v>
      </c>
      <c r="M22" s="358">
        <f t="shared" si="1"/>
        <v>36</v>
      </c>
      <c r="N22" s="359">
        <f t="shared" si="2"/>
        <v>212.4</v>
      </c>
      <c r="O22" s="360">
        <f t="shared" si="3"/>
        <v>0.61653755826699697</v>
      </c>
      <c r="P22" s="361">
        <f t="shared" si="6"/>
        <v>130.95257737591015</v>
      </c>
    </row>
    <row r="23" spans="1:17" ht="27.75" customHeight="1">
      <c r="A23" s="348"/>
      <c r="B23" s="362">
        <v>16</v>
      </c>
      <c r="C23" s="350"/>
      <c r="D23" s="351"/>
      <c r="E23" s="352">
        <v>14600</v>
      </c>
      <c r="F23" s="351"/>
      <c r="G23" s="353"/>
      <c r="H23" s="354">
        <v>10</v>
      </c>
      <c r="I23" s="355">
        <f t="shared" ref="I23" si="7">+SUM(C23:G23)</f>
        <v>14600</v>
      </c>
      <c r="J23" s="356">
        <v>1</v>
      </c>
      <c r="K23" s="357">
        <v>25</v>
      </c>
      <c r="L23" s="357">
        <v>1</v>
      </c>
      <c r="M23" s="358">
        <f t="shared" si="1"/>
        <v>25</v>
      </c>
      <c r="N23" s="359">
        <f t="shared" si="2"/>
        <v>372.5</v>
      </c>
      <c r="O23" s="360">
        <f t="shared" si="3"/>
        <v>0.61653755826699697</v>
      </c>
      <c r="P23" s="361">
        <f t="shared" si="6"/>
        <v>229.66024045445636</v>
      </c>
    </row>
    <row r="24" spans="1:17" ht="27.75" customHeight="1">
      <c r="A24" s="348"/>
      <c r="B24" s="362">
        <v>17</v>
      </c>
      <c r="C24" s="350"/>
      <c r="D24" s="351"/>
      <c r="E24" s="352">
        <v>5308</v>
      </c>
      <c r="F24" s="351"/>
      <c r="G24" s="353"/>
      <c r="H24" s="354">
        <v>10</v>
      </c>
      <c r="I24" s="355">
        <f t="shared" si="0"/>
        <v>5308</v>
      </c>
      <c r="J24" s="356"/>
      <c r="K24" s="357">
        <v>29</v>
      </c>
      <c r="L24" s="357">
        <v>1</v>
      </c>
      <c r="M24" s="358">
        <f t="shared" si="1"/>
        <v>29</v>
      </c>
      <c r="N24" s="359">
        <f t="shared" si="2"/>
        <v>153.93199999999999</v>
      </c>
      <c r="O24" s="360">
        <f t="shared" si="3"/>
        <v>0.61653755826699697</v>
      </c>
      <c r="P24" s="361">
        <f t="shared" si="6"/>
        <v>94.904859419155372</v>
      </c>
    </row>
    <row r="25" spans="1:17" ht="27.75" customHeight="1">
      <c r="A25" s="348"/>
      <c r="B25" s="362">
        <v>18</v>
      </c>
      <c r="C25" s="350"/>
      <c r="D25" s="351"/>
      <c r="E25" s="352">
        <v>14600</v>
      </c>
      <c r="F25" s="351"/>
      <c r="G25" s="353"/>
      <c r="H25" s="354">
        <v>10</v>
      </c>
      <c r="I25" s="355">
        <f t="shared" si="0"/>
        <v>14600</v>
      </c>
      <c r="J25" s="356">
        <v>1</v>
      </c>
      <c r="K25" s="357">
        <v>50</v>
      </c>
      <c r="L25" s="357">
        <v>1</v>
      </c>
      <c r="M25" s="358">
        <f t="shared" si="1"/>
        <v>50</v>
      </c>
      <c r="N25" s="359">
        <f t="shared" si="2"/>
        <v>745</v>
      </c>
      <c r="O25" s="360">
        <f t="shared" si="3"/>
        <v>0.61653755826699697</v>
      </c>
      <c r="P25" s="361">
        <f t="shared" si="6"/>
        <v>459.32048090891271</v>
      </c>
    </row>
    <row r="26" spans="1:17" ht="27.75" customHeight="1">
      <c r="A26" s="348"/>
      <c r="B26" s="362">
        <v>19</v>
      </c>
      <c r="C26" s="350"/>
      <c r="D26" s="351"/>
      <c r="E26" s="352">
        <v>13800</v>
      </c>
      <c r="F26" s="351"/>
      <c r="G26" s="353"/>
      <c r="H26" s="354">
        <v>10</v>
      </c>
      <c r="I26" s="355">
        <f t="shared" ref="I26" si="8">+SUM(C26:G26)</f>
        <v>13800</v>
      </c>
      <c r="J26" s="356">
        <v>1</v>
      </c>
      <c r="K26" s="357">
        <v>25</v>
      </c>
      <c r="L26" s="357">
        <v>1</v>
      </c>
      <c r="M26" s="358">
        <f t="shared" si="1"/>
        <v>25</v>
      </c>
      <c r="N26" s="359">
        <f t="shared" si="2"/>
        <v>352.5</v>
      </c>
      <c r="O26" s="360">
        <f t="shared" si="3"/>
        <v>0.61653755826699697</v>
      </c>
      <c r="P26" s="361">
        <f t="shared" si="6"/>
        <v>217.32948928911642</v>
      </c>
    </row>
    <row r="27" spans="1:17" ht="78.75">
      <c r="A27" s="469"/>
      <c r="B27" s="470" t="s">
        <v>844</v>
      </c>
      <c r="C27" s="363"/>
      <c r="D27" s="364"/>
      <c r="E27" s="365">
        <v>1460</v>
      </c>
      <c r="F27" s="364"/>
      <c r="G27" s="366"/>
      <c r="H27" s="471">
        <v>10</v>
      </c>
      <c r="I27" s="472">
        <f t="shared" si="0"/>
        <v>1460</v>
      </c>
      <c r="J27" s="473"/>
      <c r="K27" s="474">
        <f>2*6+4*6+8*6</f>
        <v>84</v>
      </c>
      <c r="L27" s="474">
        <v>1</v>
      </c>
      <c r="M27" s="475">
        <f t="shared" si="1"/>
        <v>84</v>
      </c>
      <c r="N27" s="476">
        <f t="shared" si="2"/>
        <v>122.64</v>
      </c>
      <c r="O27" s="477">
        <f t="shared" si="3"/>
        <v>0.61653755826699697</v>
      </c>
      <c r="P27" s="478">
        <f t="shared" si="6"/>
        <v>75.612166145864506</v>
      </c>
    </row>
    <row r="28" spans="1:17" s="347" customFormat="1" ht="15.75">
      <c r="A28" s="451" t="s">
        <v>845</v>
      </c>
      <c r="B28" s="479"/>
      <c r="C28" s="480"/>
      <c r="D28" s="480"/>
      <c r="E28" s="480"/>
      <c r="F28" s="480"/>
      <c r="G28" s="480"/>
      <c r="H28" s="480"/>
      <c r="I28" s="480"/>
      <c r="J28" s="480"/>
      <c r="K28" s="480"/>
      <c r="L28" s="480"/>
      <c r="M28" s="480"/>
      <c r="N28" s="480"/>
      <c r="O28" s="480"/>
      <c r="P28" s="454">
        <f>SUBTOTAL(9,P29:P45)</f>
        <v>3615.9187947289452</v>
      </c>
      <c r="Q28" s="347" t="s">
        <v>846</v>
      </c>
    </row>
    <row r="29" spans="1:17" ht="27.75" customHeight="1">
      <c r="A29" s="455"/>
      <c r="B29" s="456">
        <v>1</v>
      </c>
      <c r="C29" s="457"/>
      <c r="D29" s="458"/>
      <c r="E29" s="459">
        <v>11219</v>
      </c>
      <c r="F29" s="458"/>
      <c r="G29" s="460"/>
      <c r="H29" s="461">
        <v>10</v>
      </c>
      <c r="I29" s="462">
        <f t="shared" ref="I29:I44" si="9">+SUM(C29:G29)</f>
        <v>11219</v>
      </c>
      <c r="J29" s="463"/>
      <c r="K29" s="464">
        <v>5</v>
      </c>
      <c r="L29" s="464">
        <v>1</v>
      </c>
      <c r="M29" s="465">
        <f t="shared" ref="M29:M45" si="10">+K29*L29</f>
        <v>5</v>
      </c>
      <c r="N29" s="466">
        <f t="shared" ref="N29:N45" si="11">+(I29+30*J29*H29)*M29/1000</f>
        <v>56.094999999999999</v>
      </c>
      <c r="O29" s="467">
        <f t="shared" ref="O29:O45" si="12">(7850*PI()*(H29/1000)^2)/4</f>
        <v>0.61653755826699697</v>
      </c>
      <c r="P29" s="468">
        <f>N29*O29</f>
        <v>34.584674330987191</v>
      </c>
    </row>
    <row r="30" spans="1:17" ht="27.75" customHeight="1">
      <c r="A30" s="348"/>
      <c r="B30" s="349">
        <v>2</v>
      </c>
      <c r="C30" s="350"/>
      <c r="D30" s="351"/>
      <c r="E30" s="352">
        <v>11217</v>
      </c>
      <c r="F30" s="351"/>
      <c r="G30" s="353"/>
      <c r="H30" s="354">
        <v>10</v>
      </c>
      <c r="I30" s="355">
        <f t="shared" si="9"/>
        <v>11217</v>
      </c>
      <c r="J30" s="356"/>
      <c r="K30" s="357">
        <v>5</v>
      </c>
      <c r="L30" s="357">
        <v>1</v>
      </c>
      <c r="M30" s="358">
        <f t="shared" si="10"/>
        <v>5</v>
      </c>
      <c r="N30" s="359">
        <f t="shared" si="11"/>
        <v>56.085000000000001</v>
      </c>
      <c r="O30" s="360">
        <f t="shared" si="12"/>
        <v>0.61653755826699697</v>
      </c>
      <c r="P30" s="361">
        <f>N30*O30</f>
        <v>34.578508955404523</v>
      </c>
    </row>
    <row r="31" spans="1:17" ht="27.75" customHeight="1">
      <c r="A31" s="348"/>
      <c r="B31" s="349">
        <v>3</v>
      </c>
      <c r="C31" s="350"/>
      <c r="D31" s="351"/>
      <c r="E31" s="352">
        <v>11653</v>
      </c>
      <c r="F31" s="351"/>
      <c r="G31" s="353"/>
      <c r="H31" s="354">
        <v>10</v>
      </c>
      <c r="I31" s="355">
        <f t="shared" si="9"/>
        <v>11653</v>
      </c>
      <c r="J31" s="356">
        <v>1</v>
      </c>
      <c r="K31" s="357">
        <v>5</v>
      </c>
      <c r="L31" s="357">
        <v>1</v>
      </c>
      <c r="M31" s="358">
        <f t="shared" si="10"/>
        <v>5</v>
      </c>
      <c r="N31" s="359">
        <f t="shared" si="11"/>
        <v>59.765000000000001</v>
      </c>
      <c r="O31" s="360">
        <f t="shared" si="12"/>
        <v>0.61653755826699697</v>
      </c>
      <c r="P31" s="361">
        <f t="shared" ref="P31:P32" si="13">N31*O31</f>
        <v>36.847367169827073</v>
      </c>
    </row>
    <row r="32" spans="1:17" ht="27.75" customHeight="1">
      <c r="A32" s="348"/>
      <c r="B32" s="349">
        <v>4</v>
      </c>
      <c r="C32" s="350"/>
      <c r="D32" s="351"/>
      <c r="E32" s="352">
        <v>11647</v>
      </c>
      <c r="F32" s="351"/>
      <c r="G32" s="353"/>
      <c r="H32" s="354">
        <v>10</v>
      </c>
      <c r="I32" s="355">
        <f t="shared" si="9"/>
        <v>11647</v>
      </c>
      <c r="J32" s="356">
        <v>1</v>
      </c>
      <c r="K32" s="357">
        <v>5</v>
      </c>
      <c r="L32" s="357">
        <v>1</v>
      </c>
      <c r="M32" s="358">
        <f t="shared" si="10"/>
        <v>5</v>
      </c>
      <c r="N32" s="359">
        <f t="shared" si="11"/>
        <v>59.734999999999999</v>
      </c>
      <c r="O32" s="360">
        <f t="shared" si="12"/>
        <v>0.61653755826699697</v>
      </c>
      <c r="P32" s="361">
        <f t="shared" si="13"/>
        <v>36.828871043079062</v>
      </c>
    </row>
    <row r="33" spans="1:16" ht="27.75" customHeight="1">
      <c r="A33" s="348"/>
      <c r="B33" s="349">
        <v>5</v>
      </c>
      <c r="C33" s="350"/>
      <c r="D33" s="351"/>
      <c r="E33" s="352">
        <v>36100</v>
      </c>
      <c r="F33" s="351"/>
      <c r="G33" s="353"/>
      <c r="H33" s="354">
        <v>10</v>
      </c>
      <c r="I33" s="355">
        <f t="shared" si="9"/>
        <v>36100</v>
      </c>
      <c r="J33" s="356">
        <v>3</v>
      </c>
      <c r="K33" s="357">
        <v>41</v>
      </c>
      <c r="L33" s="357">
        <v>1</v>
      </c>
      <c r="M33" s="358">
        <f t="shared" si="10"/>
        <v>41</v>
      </c>
      <c r="N33" s="359">
        <f t="shared" si="11"/>
        <v>1517</v>
      </c>
      <c r="O33" s="360">
        <f t="shared" si="12"/>
        <v>0.61653755826699697</v>
      </c>
      <c r="P33" s="361">
        <f>N33*O33</f>
        <v>935.28747589103443</v>
      </c>
    </row>
    <row r="34" spans="1:16" ht="27.75" customHeight="1">
      <c r="A34" s="348"/>
      <c r="B34" s="349">
        <v>6</v>
      </c>
      <c r="C34" s="350"/>
      <c r="D34" s="351"/>
      <c r="E34" s="352">
        <v>30950</v>
      </c>
      <c r="F34" s="351"/>
      <c r="G34" s="353"/>
      <c r="H34" s="354">
        <v>10</v>
      </c>
      <c r="I34" s="355">
        <f t="shared" si="9"/>
        <v>30950</v>
      </c>
      <c r="J34" s="356">
        <v>2</v>
      </c>
      <c r="K34" s="357">
        <v>30</v>
      </c>
      <c r="L34" s="357">
        <v>1</v>
      </c>
      <c r="M34" s="358">
        <f t="shared" si="10"/>
        <v>30</v>
      </c>
      <c r="N34" s="359">
        <f t="shared" si="11"/>
        <v>946.5</v>
      </c>
      <c r="O34" s="360">
        <f t="shared" si="12"/>
        <v>0.61653755826699697</v>
      </c>
      <c r="P34" s="361">
        <f>N34*O34</f>
        <v>583.55279889971268</v>
      </c>
    </row>
    <row r="35" spans="1:16" ht="27.75" customHeight="1">
      <c r="A35" s="348"/>
      <c r="B35" s="349">
        <v>7</v>
      </c>
      <c r="C35" s="350"/>
      <c r="D35" s="351"/>
      <c r="E35" s="352">
        <v>30600</v>
      </c>
      <c r="F35" s="351"/>
      <c r="G35" s="353"/>
      <c r="H35" s="354">
        <v>10</v>
      </c>
      <c r="I35" s="355">
        <f t="shared" si="9"/>
        <v>30600</v>
      </c>
      <c r="J35" s="356">
        <v>2</v>
      </c>
      <c r="K35" s="357">
        <v>6</v>
      </c>
      <c r="L35" s="357">
        <v>1</v>
      </c>
      <c r="M35" s="358">
        <f t="shared" si="10"/>
        <v>6</v>
      </c>
      <c r="N35" s="359">
        <f t="shared" si="11"/>
        <v>187.2</v>
      </c>
      <c r="O35" s="360">
        <f t="shared" si="12"/>
        <v>0.61653755826699697</v>
      </c>
      <c r="P35" s="361">
        <f>N35*O35</f>
        <v>115.41583090758182</v>
      </c>
    </row>
    <row r="36" spans="1:16" ht="27.75" customHeight="1">
      <c r="A36" s="348"/>
      <c r="B36" s="349">
        <v>8</v>
      </c>
      <c r="C36" s="350"/>
      <c r="D36" s="351"/>
      <c r="E36" s="352">
        <v>1800</v>
      </c>
      <c r="F36" s="351"/>
      <c r="G36" s="353"/>
      <c r="H36" s="354">
        <v>10</v>
      </c>
      <c r="I36" s="355">
        <f t="shared" si="9"/>
        <v>1800</v>
      </c>
      <c r="J36" s="356"/>
      <c r="K36" s="357">
        <v>18</v>
      </c>
      <c r="L36" s="357">
        <v>1</v>
      </c>
      <c r="M36" s="358">
        <f t="shared" si="10"/>
        <v>18</v>
      </c>
      <c r="N36" s="359">
        <f t="shared" si="11"/>
        <v>32.4</v>
      </c>
      <c r="O36" s="360">
        <f t="shared" si="12"/>
        <v>0.61653755826699697</v>
      </c>
      <c r="P36" s="361">
        <f>N36*O36</f>
        <v>19.975816887850701</v>
      </c>
    </row>
    <row r="37" spans="1:16" ht="27.75" customHeight="1">
      <c r="A37" s="348"/>
      <c r="B37" s="349">
        <v>9</v>
      </c>
      <c r="C37" s="350"/>
      <c r="D37" s="351"/>
      <c r="E37" s="352">
        <v>900</v>
      </c>
      <c r="F37" s="351"/>
      <c r="G37" s="353"/>
      <c r="H37" s="354">
        <v>10</v>
      </c>
      <c r="I37" s="355">
        <f t="shared" si="9"/>
        <v>900</v>
      </c>
      <c r="J37" s="356"/>
      <c r="K37" s="357">
        <v>9</v>
      </c>
      <c r="L37" s="357">
        <v>1</v>
      </c>
      <c r="M37" s="358">
        <f t="shared" si="10"/>
        <v>9</v>
      </c>
      <c r="N37" s="359">
        <f t="shared" si="11"/>
        <v>8.1</v>
      </c>
      <c r="O37" s="360">
        <f t="shared" si="12"/>
        <v>0.61653755826699697</v>
      </c>
      <c r="P37" s="361">
        <f t="shared" ref="P37:P38" si="14">N37*O37</f>
        <v>4.9939542219626754</v>
      </c>
    </row>
    <row r="38" spans="1:16" ht="27.75" customHeight="1">
      <c r="A38" s="348"/>
      <c r="B38" s="349">
        <v>10</v>
      </c>
      <c r="C38" s="350"/>
      <c r="D38" s="351"/>
      <c r="E38" s="352">
        <v>900</v>
      </c>
      <c r="F38" s="351"/>
      <c r="G38" s="353"/>
      <c r="H38" s="354">
        <v>10</v>
      </c>
      <c r="I38" s="355">
        <f t="shared" si="9"/>
        <v>900</v>
      </c>
      <c r="J38" s="356"/>
      <c r="K38" s="357">
        <v>9</v>
      </c>
      <c r="L38" s="357">
        <v>1</v>
      </c>
      <c r="M38" s="358">
        <f t="shared" si="10"/>
        <v>9</v>
      </c>
      <c r="N38" s="359">
        <f t="shared" si="11"/>
        <v>8.1</v>
      </c>
      <c r="O38" s="360">
        <f t="shared" si="12"/>
        <v>0.61653755826699697</v>
      </c>
      <c r="P38" s="361">
        <f t="shared" si="14"/>
        <v>4.9939542219626754</v>
      </c>
    </row>
    <row r="39" spans="1:16" ht="27.75" customHeight="1">
      <c r="A39" s="348"/>
      <c r="B39" s="362">
        <v>11</v>
      </c>
      <c r="C39" s="350"/>
      <c r="D39" s="351"/>
      <c r="E39" s="352">
        <v>1800</v>
      </c>
      <c r="F39" s="351"/>
      <c r="G39" s="353"/>
      <c r="H39" s="354">
        <v>10</v>
      </c>
      <c r="I39" s="355">
        <f t="shared" si="9"/>
        <v>1800</v>
      </c>
      <c r="J39" s="356"/>
      <c r="K39" s="357">
        <v>18</v>
      </c>
      <c r="L39" s="357">
        <v>1</v>
      </c>
      <c r="M39" s="358">
        <f t="shared" si="10"/>
        <v>18</v>
      </c>
      <c r="N39" s="359">
        <f t="shared" si="11"/>
        <v>32.4</v>
      </c>
      <c r="O39" s="360">
        <f t="shared" si="12"/>
        <v>0.61653755826699697</v>
      </c>
      <c r="P39" s="361">
        <f>N39*O39</f>
        <v>19.975816887850701</v>
      </c>
    </row>
    <row r="40" spans="1:16" ht="27.75" customHeight="1">
      <c r="A40" s="348"/>
      <c r="B40" s="362">
        <v>12</v>
      </c>
      <c r="C40" s="350"/>
      <c r="D40" s="351"/>
      <c r="E40" s="352">
        <v>7900</v>
      </c>
      <c r="F40" s="351"/>
      <c r="G40" s="353"/>
      <c r="H40" s="354">
        <v>10</v>
      </c>
      <c r="I40" s="355">
        <f t="shared" si="9"/>
        <v>7900</v>
      </c>
      <c r="J40" s="356"/>
      <c r="K40" s="357">
        <v>26</v>
      </c>
      <c r="L40" s="357">
        <v>1</v>
      </c>
      <c r="M40" s="358">
        <f t="shared" si="10"/>
        <v>26</v>
      </c>
      <c r="N40" s="359">
        <f t="shared" si="11"/>
        <v>205.4</v>
      </c>
      <c r="O40" s="360">
        <f t="shared" si="12"/>
        <v>0.61653755826699697</v>
      </c>
      <c r="P40" s="361">
        <f>N40*O40</f>
        <v>126.63681446804118</v>
      </c>
    </row>
    <row r="41" spans="1:16" ht="27.75" customHeight="1">
      <c r="A41" s="348"/>
      <c r="B41" s="362">
        <v>13</v>
      </c>
      <c r="C41" s="350"/>
      <c r="D41" s="351"/>
      <c r="E41" s="352">
        <v>15900</v>
      </c>
      <c r="F41" s="351"/>
      <c r="G41" s="353"/>
      <c r="H41" s="354">
        <v>10</v>
      </c>
      <c r="I41" s="355">
        <f t="shared" si="9"/>
        <v>15900</v>
      </c>
      <c r="J41" s="356"/>
      <c r="K41" s="357">
        <v>42</v>
      </c>
      <c r="L41" s="357">
        <v>1</v>
      </c>
      <c r="M41" s="358">
        <f t="shared" si="10"/>
        <v>42</v>
      </c>
      <c r="N41" s="359">
        <f t="shared" si="11"/>
        <v>667.8</v>
      </c>
      <c r="O41" s="360">
        <f t="shared" si="12"/>
        <v>0.61653755826699697</v>
      </c>
      <c r="P41" s="361">
        <f t="shared" ref="P41:P45" si="15">N41*O41</f>
        <v>411.72378141070055</v>
      </c>
    </row>
    <row r="42" spans="1:16" ht="27.75" customHeight="1">
      <c r="A42" s="348"/>
      <c r="B42" s="362">
        <v>14</v>
      </c>
      <c r="C42" s="350"/>
      <c r="D42" s="351"/>
      <c r="E42" s="352">
        <v>13900</v>
      </c>
      <c r="F42" s="351"/>
      <c r="G42" s="353"/>
      <c r="H42" s="354">
        <v>10</v>
      </c>
      <c r="I42" s="355">
        <f t="shared" si="9"/>
        <v>13900</v>
      </c>
      <c r="J42" s="356"/>
      <c r="K42" s="357">
        <v>46</v>
      </c>
      <c r="L42" s="357">
        <v>1</v>
      </c>
      <c r="M42" s="358">
        <f t="shared" si="10"/>
        <v>46</v>
      </c>
      <c r="N42" s="359">
        <f t="shared" si="11"/>
        <v>639.4</v>
      </c>
      <c r="O42" s="360">
        <f t="shared" si="12"/>
        <v>0.61653755826699697</v>
      </c>
      <c r="P42" s="361">
        <f t="shared" si="15"/>
        <v>394.21411475591782</v>
      </c>
    </row>
    <row r="43" spans="1:16" ht="27.75" customHeight="1">
      <c r="A43" s="348"/>
      <c r="B43" s="362">
        <v>15</v>
      </c>
      <c r="C43" s="350"/>
      <c r="D43" s="351"/>
      <c r="E43" s="352">
        <v>15900</v>
      </c>
      <c r="F43" s="351"/>
      <c r="G43" s="353"/>
      <c r="H43" s="354">
        <v>10</v>
      </c>
      <c r="I43" s="355">
        <f t="shared" si="9"/>
        <v>15900</v>
      </c>
      <c r="J43" s="356"/>
      <c r="K43" s="357">
        <v>42</v>
      </c>
      <c r="L43" s="357">
        <v>1</v>
      </c>
      <c r="M43" s="358">
        <f t="shared" si="10"/>
        <v>42</v>
      </c>
      <c r="N43" s="359">
        <f t="shared" si="11"/>
        <v>667.8</v>
      </c>
      <c r="O43" s="360">
        <f t="shared" si="12"/>
        <v>0.61653755826699697</v>
      </c>
      <c r="P43" s="361">
        <f t="shared" si="15"/>
        <v>411.72378141070055</v>
      </c>
    </row>
    <row r="44" spans="1:16" ht="27.75" customHeight="1">
      <c r="A44" s="348"/>
      <c r="B44" s="362">
        <v>16</v>
      </c>
      <c r="C44" s="350"/>
      <c r="D44" s="351"/>
      <c r="E44" s="352">
        <v>13900</v>
      </c>
      <c r="F44" s="351"/>
      <c r="G44" s="353"/>
      <c r="H44" s="354">
        <v>10</v>
      </c>
      <c r="I44" s="355">
        <f t="shared" si="9"/>
        <v>13900</v>
      </c>
      <c r="J44" s="356">
        <v>1</v>
      </c>
      <c r="K44" s="357">
        <v>26</v>
      </c>
      <c r="L44" s="357">
        <v>1</v>
      </c>
      <c r="M44" s="358">
        <f t="shared" si="10"/>
        <v>26</v>
      </c>
      <c r="N44" s="359">
        <f t="shared" si="11"/>
        <v>369.2</v>
      </c>
      <c r="O44" s="360">
        <f t="shared" si="12"/>
        <v>0.61653755826699697</v>
      </c>
      <c r="P44" s="361">
        <f t="shared" si="15"/>
        <v>227.62566651217529</v>
      </c>
    </row>
    <row r="45" spans="1:16" ht="27.75" customHeight="1">
      <c r="A45" s="367"/>
      <c r="B45" s="368" t="s">
        <v>847</v>
      </c>
      <c r="C45" s="369"/>
      <c r="D45" s="370">
        <v>700</v>
      </c>
      <c r="E45" s="371">
        <v>600</v>
      </c>
      <c r="F45" s="370">
        <v>1000</v>
      </c>
      <c r="G45" s="372"/>
      <c r="H45" s="373">
        <v>10</v>
      </c>
      <c r="I45" s="374">
        <f t="shared" ref="I45" si="16">+SUM(C45:G45)</f>
        <v>2300</v>
      </c>
      <c r="J45" s="375"/>
      <c r="K45" s="376">
        <f>ROUND(30.6/0.2,0)</f>
        <v>153</v>
      </c>
      <c r="L45" s="376">
        <v>1</v>
      </c>
      <c r="M45" s="377">
        <f t="shared" si="10"/>
        <v>153</v>
      </c>
      <c r="N45" s="378">
        <f t="shared" si="11"/>
        <v>351.9</v>
      </c>
      <c r="O45" s="379">
        <f t="shared" si="12"/>
        <v>0.61653755826699697</v>
      </c>
      <c r="P45" s="380">
        <f t="shared" si="15"/>
        <v>216.95956675415621</v>
      </c>
    </row>
    <row r="46" spans="1:16">
      <c r="A46" s="882" t="s">
        <v>848</v>
      </c>
      <c r="B46" s="883"/>
      <c r="C46" s="883"/>
      <c r="D46" s="883"/>
      <c r="E46" s="883"/>
      <c r="F46" s="883"/>
      <c r="G46" s="883"/>
      <c r="H46" s="883"/>
      <c r="I46" s="883"/>
      <c r="J46" s="883"/>
      <c r="K46" s="883"/>
      <c r="L46" s="883"/>
      <c r="M46" s="883"/>
      <c r="N46" s="884"/>
      <c r="O46" s="481">
        <v>16</v>
      </c>
      <c r="P46" s="482">
        <f>SUMIF($H$7:$H$45,O46,$P$7:$P$45)</f>
        <v>0</v>
      </c>
    </row>
    <row r="47" spans="1:16">
      <c r="A47" s="885" t="s">
        <v>848</v>
      </c>
      <c r="B47" s="886"/>
      <c r="C47" s="886"/>
      <c r="D47" s="886"/>
      <c r="E47" s="886"/>
      <c r="F47" s="886"/>
      <c r="G47" s="886"/>
      <c r="H47" s="886"/>
      <c r="I47" s="886"/>
      <c r="J47" s="886"/>
      <c r="K47" s="886"/>
      <c r="L47" s="886"/>
      <c r="M47" s="886"/>
      <c r="N47" s="887"/>
      <c r="O47" s="381">
        <v>14</v>
      </c>
      <c r="P47" s="482">
        <f t="shared" ref="P47:P51" si="17">SUMIF($H$7:$H$45,O47,$P$7:$P$45)</f>
        <v>0</v>
      </c>
    </row>
    <row r="48" spans="1:16">
      <c r="A48" s="885" t="s">
        <v>848</v>
      </c>
      <c r="B48" s="886"/>
      <c r="C48" s="886"/>
      <c r="D48" s="886"/>
      <c r="E48" s="886"/>
      <c r="F48" s="886"/>
      <c r="G48" s="886"/>
      <c r="H48" s="886"/>
      <c r="I48" s="886"/>
      <c r="J48" s="886"/>
      <c r="K48" s="886"/>
      <c r="L48" s="886"/>
      <c r="M48" s="886"/>
      <c r="N48" s="887"/>
      <c r="O48" s="381">
        <v>12</v>
      </c>
      <c r="P48" s="482">
        <f t="shared" si="17"/>
        <v>0</v>
      </c>
    </row>
    <row r="49" spans="1:16">
      <c r="A49" s="885" t="s">
        <v>848</v>
      </c>
      <c r="B49" s="886"/>
      <c r="C49" s="886"/>
      <c r="D49" s="886"/>
      <c r="E49" s="886"/>
      <c r="F49" s="886"/>
      <c r="G49" s="886"/>
      <c r="H49" s="886"/>
      <c r="I49" s="886"/>
      <c r="J49" s="886"/>
      <c r="K49" s="886"/>
      <c r="L49" s="886"/>
      <c r="M49" s="886"/>
      <c r="N49" s="887"/>
      <c r="O49" s="381">
        <v>10</v>
      </c>
      <c r="P49" s="482">
        <f t="shared" si="17"/>
        <v>6452.0667803392389</v>
      </c>
    </row>
    <row r="50" spans="1:16">
      <c r="A50" s="885" t="s">
        <v>848</v>
      </c>
      <c r="B50" s="886"/>
      <c r="C50" s="886"/>
      <c r="D50" s="886"/>
      <c r="E50" s="886"/>
      <c r="F50" s="886"/>
      <c r="G50" s="886"/>
      <c r="H50" s="886"/>
      <c r="I50" s="886"/>
      <c r="J50" s="886"/>
      <c r="K50" s="886"/>
      <c r="L50" s="886"/>
      <c r="M50" s="886"/>
      <c r="N50" s="887"/>
      <c r="O50" s="381">
        <v>8</v>
      </c>
      <c r="P50" s="482">
        <f t="shared" si="17"/>
        <v>0</v>
      </c>
    </row>
    <row r="51" spans="1:16">
      <c r="A51" s="885" t="s">
        <v>848</v>
      </c>
      <c r="B51" s="886"/>
      <c r="C51" s="886"/>
      <c r="D51" s="886"/>
      <c r="E51" s="886"/>
      <c r="F51" s="886"/>
      <c r="G51" s="886"/>
      <c r="H51" s="886"/>
      <c r="I51" s="886"/>
      <c r="J51" s="886"/>
      <c r="K51" s="886"/>
      <c r="L51" s="886"/>
      <c r="M51" s="886"/>
      <c r="N51" s="887"/>
      <c r="O51" s="381">
        <v>6</v>
      </c>
      <c r="P51" s="482">
        <f t="shared" si="17"/>
        <v>0</v>
      </c>
    </row>
    <row r="52" spans="1:16" s="382" customFormat="1" ht="15.75">
      <c r="A52" s="888" t="s">
        <v>39</v>
      </c>
      <c r="B52" s="889"/>
      <c r="C52" s="889"/>
      <c r="D52" s="889"/>
      <c r="E52" s="889"/>
      <c r="F52" s="889"/>
      <c r="G52" s="889"/>
      <c r="H52" s="889"/>
      <c r="I52" s="889"/>
      <c r="J52" s="889"/>
      <c r="K52" s="889"/>
      <c r="L52" s="889"/>
      <c r="M52" s="889"/>
      <c r="N52" s="889"/>
      <c r="O52" s="890"/>
      <c r="P52" s="444">
        <f>SUM(P46:P51)</f>
        <v>6452.0667803392389</v>
      </c>
    </row>
    <row r="53" spans="1:16" ht="15.75">
      <c r="M53" s="940"/>
      <c r="N53" s="320" t="s">
        <v>620</v>
      </c>
      <c r="O53" s="940"/>
      <c r="P53" s="940"/>
    </row>
    <row r="54" spans="1:16" s="389" customFormat="1" ht="15.75">
      <c r="A54" s="879" t="s">
        <v>1770</v>
      </c>
      <c r="B54" s="879"/>
      <c r="C54" s="879"/>
      <c r="D54" s="879"/>
      <c r="E54" s="879"/>
      <c r="F54" s="879"/>
      <c r="G54" s="386"/>
      <c r="H54" s="387"/>
      <c r="I54" s="387"/>
      <c r="J54" s="388"/>
      <c r="K54" s="387"/>
      <c r="M54" s="941"/>
      <c r="N54" s="315" t="s">
        <v>100</v>
      </c>
      <c r="O54" s="941"/>
      <c r="P54" s="941"/>
    </row>
  </sheetData>
  <mergeCells count="22">
    <mergeCell ref="A1:P1"/>
    <mergeCell ref="A2:P2"/>
    <mergeCell ref="A3:P3"/>
    <mergeCell ref="A5:A6"/>
    <mergeCell ref="B5:B6"/>
    <mergeCell ref="C5:G6"/>
    <mergeCell ref="H5:H6"/>
    <mergeCell ref="I5:I6"/>
    <mergeCell ref="J5:J6"/>
    <mergeCell ref="K5:M5"/>
    <mergeCell ref="A4:P4"/>
    <mergeCell ref="A54:F54"/>
    <mergeCell ref="N5:N6"/>
    <mergeCell ref="O5:O6"/>
    <mergeCell ref="P5:P6"/>
    <mergeCell ref="A46:N46"/>
    <mergeCell ref="A47:N47"/>
    <mergeCell ref="A48:N48"/>
    <mergeCell ref="A49:N49"/>
    <mergeCell ref="A50:N50"/>
    <mergeCell ref="A51:N51"/>
    <mergeCell ref="A52:O52"/>
  </mergeCells>
  <printOptions horizontalCentered="1"/>
  <pageMargins left="0.70866141732283472" right="0.39370078740157483" top="0.51181102362204722" bottom="0.51181102362204722" header="0.19685039370078741" footer="0.19685039370078741"/>
  <pageSetup paperSize="9" scale="95" fitToHeight="0" orientation="landscape" r:id="rId1"/>
  <headerFooter>
    <oddFooter>&amp;R &amp;P /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K85"/>
  <sheetViews>
    <sheetView view="pageBreakPreview" zoomScale="85" zoomScaleNormal="70" zoomScaleSheetLayoutView="85" workbookViewId="0">
      <selection activeCell="P11" sqref="P11"/>
    </sheetView>
  </sheetViews>
  <sheetFormatPr defaultRowHeight="12.75"/>
  <cols>
    <col min="1" max="1" width="5.42578125" customWidth="1"/>
    <col min="2" max="2" width="20.140625" customWidth="1"/>
    <col min="3" max="4" width="10.140625" customWidth="1"/>
    <col min="5" max="5" width="11.5703125" customWidth="1"/>
    <col min="6" max="6" width="12.85546875" customWidth="1"/>
    <col min="7" max="7" width="9.85546875" customWidth="1"/>
    <col min="9" max="9" width="9.42578125" customWidth="1"/>
    <col min="10" max="10" width="12.5703125" customWidth="1"/>
    <col min="11" max="11" width="9.7109375" customWidth="1"/>
    <col min="12" max="12" width="14.140625" customWidth="1"/>
  </cols>
  <sheetData>
    <row r="1" spans="1:245" ht="15">
      <c r="A1" s="31"/>
      <c r="B1" s="31"/>
      <c r="C1" s="32"/>
      <c r="D1" s="33"/>
      <c r="E1" s="33"/>
      <c r="F1" s="33"/>
      <c r="G1" s="33"/>
      <c r="H1" s="33"/>
      <c r="I1" s="33"/>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c r="EG1" s="31"/>
      <c r="EH1" s="31"/>
      <c r="EI1" s="31"/>
      <c r="EJ1" s="31"/>
      <c r="EK1" s="31"/>
      <c r="EL1" s="31"/>
      <c r="EM1" s="31"/>
      <c r="EN1" s="31"/>
      <c r="EO1" s="31"/>
      <c r="EP1" s="31"/>
      <c r="EQ1" s="31"/>
      <c r="ER1" s="31"/>
      <c r="ES1" s="31"/>
      <c r="ET1" s="31"/>
      <c r="EU1" s="31"/>
      <c r="EV1" s="31"/>
      <c r="EW1" s="31"/>
      <c r="EX1" s="31"/>
      <c r="EY1" s="31"/>
      <c r="EZ1" s="31"/>
      <c r="FA1" s="31"/>
      <c r="FB1" s="31"/>
      <c r="FC1" s="31"/>
      <c r="FD1" s="31"/>
      <c r="FE1" s="31"/>
      <c r="FF1" s="31"/>
      <c r="FG1" s="31"/>
      <c r="FH1" s="31"/>
      <c r="FI1" s="31"/>
      <c r="FJ1" s="31"/>
      <c r="FK1" s="31"/>
      <c r="FL1" s="31"/>
      <c r="FM1" s="31"/>
      <c r="FN1" s="31"/>
      <c r="FO1" s="31"/>
      <c r="FP1" s="31"/>
      <c r="FQ1" s="31"/>
      <c r="FR1" s="31"/>
      <c r="FS1" s="31"/>
      <c r="FT1" s="31"/>
      <c r="FU1" s="31"/>
      <c r="FV1" s="31"/>
      <c r="FW1" s="31"/>
      <c r="FX1" s="31"/>
      <c r="FY1" s="31"/>
      <c r="FZ1" s="31"/>
      <c r="GA1" s="31"/>
      <c r="GB1" s="31"/>
      <c r="GC1" s="31"/>
      <c r="GD1" s="31"/>
      <c r="GE1" s="31"/>
      <c r="GF1" s="31"/>
      <c r="GG1" s="31"/>
      <c r="GH1" s="31"/>
      <c r="GI1" s="31"/>
      <c r="GJ1" s="31"/>
      <c r="GK1" s="31"/>
      <c r="GL1" s="31"/>
      <c r="GM1" s="31"/>
      <c r="GN1" s="31"/>
      <c r="GO1" s="31"/>
      <c r="GP1" s="31"/>
      <c r="GQ1" s="31"/>
      <c r="GR1" s="31"/>
      <c r="GS1" s="31"/>
      <c r="GT1" s="31"/>
      <c r="GU1" s="31"/>
      <c r="GV1" s="31"/>
      <c r="GW1" s="31"/>
      <c r="GX1" s="31"/>
      <c r="GY1" s="31"/>
      <c r="GZ1" s="31"/>
      <c r="HA1" s="31"/>
      <c r="HB1" s="31"/>
      <c r="HC1" s="31"/>
      <c r="HD1" s="31"/>
      <c r="HE1" s="31"/>
      <c r="HF1" s="31"/>
      <c r="HG1" s="31"/>
      <c r="HH1" s="31"/>
      <c r="HI1" s="31"/>
      <c r="HJ1" s="31"/>
      <c r="HK1" s="31"/>
      <c r="HL1" s="31"/>
      <c r="HM1" s="31"/>
      <c r="HN1" s="31"/>
      <c r="HO1" s="31"/>
      <c r="HP1" s="31"/>
      <c r="HQ1" s="31"/>
      <c r="HR1" s="31"/>
      <c r="HS1" s="31"/>
      <c r="HT1" s="31"/>
      <c r="HU1" s="31"/>
      <c r="HV1" s="31"/>
      <c r="HW1" s="31"/>
      <c r="HX1" s="31"/>
      <c r="HY1" s="31"/>
      <c r="HZ1" s="31"/>
      <c r="IA1" s="31"/>
      <c r="IB1" s="31"/>
      <c r="IC1" s="31"/>
      <c r="ID1" s="31"/>
      <c r="IE1" s="31"/>
      <c r="IF1" s="31"/>
      <c r="IG1" s="31"/>
      <c r="IH1" s="31"/>
      <c r="II1" s="31"/>
      <c r="IJ1" s="31"/>
      <c r="IK1" s="31"/>
    </row>
    <row r="2" spans="1:245" ht="20.25">
      <c r="A2" s="892" t="s">
        <v>454</v>
      </c>
      <c r="B2" s="892"/>
      <c r="C2" s="892"/>
      <c r="D2" s="892"/>
      <c r="E2" s="892"/>
      <c r="F2" s="892"/>
      <c r="G2" s="892"/>
      <c r="H2" s="892"/>
      <c r="I2" s="892"/>
      <c r="J2" s="892"/>
      <c r="K2" s="892"/>
      <c r="L2" s="892"/>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c r="BS2" s="35"/>
      <c r="BT2" s="35"/>
      <c r="BU2" s="35"/>
      <c r="BV2" s="35"/>
      <c r="BW2" s="35"/>
      <c r="BX2" s="35"/>
      <c r="BY2" s="35"/>
      <c r="BZ2" s="35"/>
      <c r="CA2" s="35"/>
      <c r="CB2" s="35"/>
      <c r="CC2" s="35"/>
      <c r="CD2" s="35"/>
      <c r="CE2" s="35"/>
      <c r="CF2" s="35"/>
      <c r="CG2" s="35"/>
      <c r="CH2" s="35"/>
      <c r="CI2" s="35"/>
      <c r="CJ2" s="35"/>
      <c r="CK2" s="35"/>
      <c r="CL2" s="35"/>
      <c r="CM2" s="35"/>
      <c r="CN2" s="35"/>
      <c r="CO2" s="35"/>
      <c r="CP2" s="35"/>
      <c r="CQ2" s="35"/>
      <c r="CR2" s="35"/>
      <c r="CS2" s="35"/>
      <c r="CT2" s="35"/>
      <c r="CU2" s="35"/>
      <c r="CV2" s="35"/>
      <c r="CW2" s="35"/>
      <c r="CX2" s="35"/>
      <c r="CY2" s="35"/>
      <c r="CZ2" s="35"/>
      <c r="DA2" s="35"/>
      <c r="DB2" s="35"/>
      <c r="DC2" s="35"/>
      <c r="DD2" s="35"/>
      <c r="DE2" s="35"/>
      <c r="DF2" s="35"/>
      <c r="DG2" s="35"/>
      <c r="DH2" s="35"/>
      <c r="DI2" s="35"/>
      <c r="DJ2" s="35"/>
      <c r="DK2" s="35"/>
      <c r="DL2" s="35"/>
      <c r="DM2" s="35"/>
      <c r="DN2" s="35"/>
      <c r="DO2" s="35"/>
      <c r="DP2" s="35"/>
      <c r="DQ2" s="35"/>
      <c r="DR2" s="35"/>
      <c r="DS2" s="35"/>
      <c r="DT2" s="35"/>
      <c r="DU2" s="35"/>
      <c r="DV2" s="35"/>
      <c r="DW2" s="35"/>
      <c r="DX2" s="35"/>
      <c r="DY2" s="35"/>
      <c r="DZ2" s="35"/>
      <c r="EA2" s="35"/>
      <c r="EB2" s="35"/>
      <c r="EC2" s="35"/>
      <c r="ED2" s="35"/>
      <c r="EE2" s="35"/>
      <c r="EF2" s="35"/>
      <c r="EG2" s="35"/>
      <c r="EH2" s="35"/>
      <c r="EI2" s="35"/>
      <c r="EJ2" s="35"/>
      <c r="EK2" s="35"/>
      <c r="EL2" s="35"/>
      <c r="EM2" s="35"/>
      <c r="EN2" s="35"/>
      <c r="EO2" s="35"/>
      <c r="EP2" s="35"/>
      <c r="EQ2" s="35"/>
      <c r="ER2" s="35"/>
      <c r="ES2" s="35"/>
      <c r="ET2" s="35"/>
      <c r="EU2" s="35"/>
      <c r="EV2" s="35"/>
      <c r="EW2" s="35"/>
      <c r="EX2" s="35"/>
      <c r="EY2" s="35"/>
      <c r="EZ2" s="35"/>
      <c r="FA2" s="35"/>
      <c r="FB2" s="35"/>
      <c r="FC2" s="35"/>
      <c r="FD2" s="35"/>
      <c r="FE2" s="35"/>
      <c r="FF2" s="35"/>
      <c r="FG2" s="35"/>
      <c r="FH2" s="35"/>
      <c r="FI2" s="35"/>
      <c r="FJ2" s="35"/>
      <c r="FK2" s="35"/>
      <c r="FL2" s="35"/>
      <c r="FM2" s="35"/>
      <c r="FN2" s="35"/>
      <c r="FO2" s="35"/>
      <c r="FP2" s="35"/>
      <c r="FQ2" s="35"/>
      <c r="FR2" s="35"/>
      <c r="FS2" s="35"/>
      <c r="FT2" s="35"/>
      <c r="FU2" s="35"/>
      <c r="FV2" s="35"/>
      <c r="FW2" s="35"/>
      <c r="FX2" s="35"/>
      <c r="FY2" s="35"/>
      <c r="FZ2" s="35"/>
      <c r="GA2" s="35"/>
      <c r="GB2" s="35"/>
      <c r="GC2" s="35"/>
      <c r="GD2" s="35"/>
      <c r="GE2" s="35"/>
      <c r="GF2" s="35"/>
      <c r="GG2" s="35"/>
      <c r="GH2" s="35"/>
      <c r="GI2" s="35"/>
      <c r="GJ2" s="35"/>
      <c r="GK2" s="35"/>
      <c r="GL2" s="35"/>
      <c r="GM2" s="35"/>
      <c r="GN2" s="35"/>
      <c r="GO2" s="35"/>
      <c r="GP2" s="35"/>
      <c r="GQ2" s="35"/>
      <c r="GR2" s="35"/>
      <c r="GS2" s="35"/>
      <c r="GT2" s="35"/>
      <c r="GU2" s="35"/>
      <c r="GV2" s="35"/>
      <c r="GW2" s="35"/>
      <c r="GX2" s="35"/>
      <c r="GY2" s="35"/>
      <c r="GZ2" s="35"/>
      <c r="HA2" s="35"/>
      <c r="HB2" s="35"/>
      <c r="HC2" s="35"/>
      <c r="HD2" s="35"/>
      <c r="HE2" s="35"/>
      <c r="HF2" s="35"/>
      <c r="HG2" s="35"/>
      <c r="HH2" s="35"/>
      <c r="HI2" s="35"/>
      <c r="HJ2" s="35"/>
      <c r="HK2" s="35"/>
      <c r="HL2" s="35"/>
      <c r="HM2" s="35"/>
      <c r="HN2" s="35"/>
      <c r="HO2" s="35"/>
      <c r="HP2" s="35"/>
      <c r="HQ2" s="35"/>
      <c r="HR2" s="35"/>
      <c r="HS2" s="35"/>
      <c r="HT2" s="35"/>
      <c r="HU2" s="35"/>
      <c r="HV2" s="35"/>
      <c r="HW2" s="35"/>
      <c r="HX2" s="35"/>
      <c r="HY2" s="35"/>
      <c r="HZ2" s="35"/>
      <c r="IA2" s="35"/>
      <c r="IB2" s="35"/>
      <c r="IC2" s="35"/>
      <c r="ID2" s="35"/>
      <c r="IE2" s="35"/>
      <c r="IF2" s="35"/>
      <c r="IG2" s="35"/>
      <c r="IH2" s="35"/>
      <c r="II2" s="35"/>
      <c r="IJ2" s="35"/>
      <c r="IK2" s="35"/>
    </row>
    <row r="3" spans="1:245" ht="15">
      <c r="A3" s="944" t="str">
        <f>'TK THÉP SÀN'!A2:P2</f>
        <v>CÔNG TRÌNH : THI CÔNG ………………</v>
      </c>
      <c r="B3" s="944"/>
      <c r="C3" s="944"/>
      <c r="D3" s="944"/>
      <c r="E3" s="944"/>
      <c r="F3" s="944"/>
      <c r="G3" s="944"/>
      <c r="H3" s="944"/>
      <c r="I3" s="944"/>
      <c r="J3" s="944"/>
      <c r="K3" s="944"/>
      <c r="L3" s="944"/>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c r="EG3" s="31"/>
      <c r="EH3" s="31"/>
      <c r="EI3" s="31"/>
      <c r="EJ3" s="31"/>
      <c r="EK3" s="31"/>
      <c r="EL3" s="31"/>
      <c r="EM3" s="31"/>
      <c r="EN3" s="31"/>
      <c r="EO3" s="31"/>
      <c r="EP3" s="31"/>
      <c r="EQ3" s="31"/>
      <c r="ER3" s="31"/>
      <c r="ES3" s="31"/>
      <c r="ET3" s="31"/>
      <c r="EU3" s="31"/>
      <c r="EV3" s="31"/>
      <c r="EW3" s="31"/>
      <c r="EX3" s="31"/>
      <c r="EY3" s="31"/>
      <c r="EZ3" s="31"/>
      <c r="FA3" s="31"/>
      <c r="FB3" s="31"/>
      <c r="FC3" s="31"/>
      <c r="FD3" s="31"/>
      <c r="FE3" s="31"/>
      <c r="FF3" s="31"/>
      <c r="FG3" s="31"/>
      <c r="FH3" s="31"/>
      <c r="FI3" s="31"/>
      <c r="FJ3" s="31"/>
      <c r="FK3" s="31"/>
      <c r="FL3" s="31"/>
      <c r="FM3" s="31"/>
      <c r="FN3" s="31"/>
      <c r="FO3" s="31"/>
      <c r="FP3" s="31"/>
      <c r="FQ3" s="31"/>
      <c r="FR3" s="31"/>
      <c r="FS3" s="31"/>
      <c r="FT3" s="31"/>
      <c r="FU3" s="31"/>
      <c r="FV3" s="31"/>
      <c r="FW3" s="31"/>
      <c r="FX3" s="31"/>
      <c r="FY3" s="31"/>
      <c r="FZ3" s="31"/>
      <c r="GA3" s="31"/>
      <c r="GB3" s="31"/>
      <c r="GC3" s="31"/>
      <c r="GD3" s="31"/>
      <c r="GE3" s="31"/>
      <c r="GF3" s="31"/>
      <c r="GG3" s="31"/>
      <c r="GH3" s="31"/>
      <c r="GI3" s="31"/>
      <c r="GJ3" s="31"/>
      <c r="GK3" s="31"/>
      <c r="GL3" s="31"/>
      <c r="GM3" s="31"/>
      <c r="GN3" s="31"/>
      <c r="GO3" s="31"/>
      <c r="GP3" s="31"/>
      <c r="GQ3" s="31"/>
      <c r="GR3" s="31"/>
      <c r="GS3" s="31"/>
      <c r="GT3" s="31"/>
      <c r="GU3" s="31"/>
      <c r="GV3" s="31"/>
      <c r="GW3" s="31"/>
      <c r="GX3" s="31"/>
      <c r="GY3" s="31"/>
      <c r="GZ3" s="31"/>
      <c r="HA3" s="31"/>
      <c r="HB3" s="31"/>
      <c r="HC3" s="31"/>
      <c r="HD3" s="31"/>
      <c r="HE3" s="31"/>
      <c r="HF3" s="31"/>
      <c r="HG3" s="31"/>
      <c r="HH3" s="31"/>
      <c r="HI3" s="31"/>
      <c r="HJ3" s="31"/>
      <c r="HK3" s="31"/>
      <c r="HL3" s="31"/>
      <c r="HM3" s="31"/>
      <c r="HN3" s="31"/>
      <c r="HO3" s="31"/>
      <c r="HP3" s="31"/>
      <c r="HQ3" s="31"/>
      <c r="HR3" s="31"/>
      <c r="HS3" s="31"/>
      <c r="HT3" s="31"/>
      <c r="HU3" s="31"/>
      <c r="HV3" s="31"/>
      <c r="HW3" s="31"/>
      <c r="HX3" s="31"/>
      <c r="HY3" s="31"/>
      <c r="HZ3" s="31"/>
      <c r="IA3" s="31"/>
      <c r="IB3" s="31"/>
      <c r="IC3" s="31"/>
      <c r="ID3" s="31"/>
      <c r="IE3" s="31"/>
      <c r="IF3" s="31"/>
      <c r="IG3" s="31"/>
      <c r="IH3" s="31"/>
      <c r="II3" s="31"/>
      <c r="IJ3" s="31"/>
      <c r="IK3" s="31"/>
    </row>
    <row r="4" spans="1:245" ht="15">
      <c r="A4" s="944" t="str">
        <f>'TK THÉP SÀN'!A3:P3</f>
        <v>ĐỊA ĐIỂM: ………………</v>
      </c>
      <c r="B4" s="944"/>
      <c r="C4" s="944"/>
      <c r="D4" s="944"/>
      <c r="E4" s="944"/>
      <c r="F4" s="944"/>
      <c r="G4" s="944"/>
      <c r="H4" s="944"/>
      <c r="I4" s="944"/>
      <c r="J4" s="944"/>
      <c r="K4" s="944"/>
      <c r="L4" s="944"/>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row>
    <row r="5" spans="1:245" ht="15">
      <c r="A5" s="944" t="str">
        <f>'TK THÉP SÀN'!A4:P4</f>
        <v>SỐ HỢP ĐỒNG: …………………</v>
      </c>
      <c r="B5" s="944"/>
      <c r="C5" s="944"/>
      <c r="D5" s="944"/>
      <c r="E5" s="944"/>
      <c r="F5" s="944"/>
      <c r="G5" s="944"/>
      <c r="H5" s="944"/>
      <c r="I5" s="944"/>
      <c r="J5" s="944"/>
      <c r="K5" s="944"/>
      <c r="L5" s="944"/>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c r="CQ5" s="228"/>
      <c r="CR5" s="228"/>
      <c r="CS5" s="228"/>
      <c r="CT5" s="228"/>
      <c r="CU5" s="228"/>
      <c r="CV5" s="228"/>
      <c r="CW5" s="228"/>
      <c r="CX5" s="228"/>
      <c r="CY5" s="228"/>
      <c r="CZ5" s="228"/>
      <c r="DA5" s="228"/>
      <c r="DB5" s="228"/>
      <c r="DC5" s="228"/>
      <c r="DD5" s="228"/>
      <c r="DE5" s="228"/>
      <c r="DF5" s="228"/>
      <c r="DG5" s="228"/>
      <c r="DH5" s="228"/>
      <c r="DI5" s="228"/>
      <c r="DJ5" s="228"/>
      <c r="DK5" s="228"/>
      <c r="DL5" s="228"/>
      <c r="DM5" s="228"/>
      <c r="DN5" s="228"/>
      <c r="DO5" s="228"/>
      <c r="DP5" s="228"/>
      <c r="DQ5" s="228"/>
      <c r="DR5" s="228"/>
      <c r="DS5" s="228"/>
      <c r="DT5" s="228"/>
      <c r="DU5" s="228"/>
      <c r="DV5" s="228"/>
      <c r="DW5" s="228"/>
      <c r="DX5" s="228"/>
      <c r="DY5" s="228"/>
      <c r="DZ5" s="228"/>
      <c r="EA5" s="228"/>
      <c r="EB5" s="228"/>
      <c r="EC5" s="228"/>
      <c r="ED5" s="228"/>
      <c r="EE5" s="228"/>
      <c r="EF5" s="228"/>
      <c r="EG5" s="228"/>
      <c r="EH5" s="228"/>
      <c r="EI5" s="228"/>
      <c r="EJ5" s="228"/>
      <c r="EK5" s="228"/>
      <c r="EL5" s="228"/>
      <c r="EM5" s="228"/>
      <c r="EN5" s="228"/>
      <c r="EO5" s="228"/>
      <c r="EP5" s="228"/>
      <c r="EQ5" s="228"/>
      <c r="ER5" s="228"/>
      <c r="ES5" s="228"/>
      <c r="ET5" s="228"/>
      <c r="EU5" s="228"/>
      <c r="EV5" s="228"/>
      <c r="EW5" s="228"/>
      <c r="EX5" s="228"/>
      <c r="EY5" s="228"/>
      <c r="EZ5" s="228"/>
      <c r="FA5" s="228"/>
      <c r="FB5" s="228"/>
      <c r="FC5" s="228"/>
      <c r="FD5" s="228"/>
      <c r="FE5" s="228"/>
      <c r="FF5" s="228"/>
      <c r="FG5" s="228"/>
      <c r="FH5" s="228"/>
      <c r="FI5" s="228"/>
      <c r="FJ5" s="228"/>
      <c r="FK5" s="228"/>
      <c r="FL5" s="228"/>
      <c r="FM5" s="228"/>
      <c r="FN5" s="228"/>
      <c r="FO5" s="228"/>
      <c r="FP5" s="228"/>
      <c r="FQ5" s="228"/>
      <c r="FR5" s="228"/>
      <c r="FS5" s="228"/>
      <c r="FT5" s="228"/>
      <c r="FU5" s="228"/>
      <c r="FV5" s="228"/>
      <c r="FW5" s="228"/>
      <c r="FX5" s="228"/>
      <c r="FY5" s="228"/>
      <c r="FZ5" s="228"/>
      <c r="GA5" s="228"/>
      <c r="GB5" s="228"/>
      <c r="GC5" s="228"/>
      <c r="GD5" s="228"/>
      <c r="GE5" s="228"/>
      <c r="GF5" s="228"/>
      <c r="GG5" s="228"/>
      <c r="GH5" s="228"/>
      <c r="GI5" s="228"/>
      <c r="GJ5" s="228"/>
      <c r="GK5" s="228"/>
      <c r="GL5" s="228"/>
      <c r="GM5" s="228"/>
      <c r="GN5" s="228"/>
      <c r="GO5" s="228"/>
      <c r="GP5" s="228"/>
      <c r="GQ5" s="228"/>
      <c r="GR5" s="228"/>
      <c r="GS5" s="228"/>
      <c r="GT5" s="228"/>
      <c r="GU5" s="228"/>
      <c r="GV5" s="228"/>
      <c r="GW5" s="228"/>
      <c r="GX5" s="228"/>
      <c r="GY5" s="228"/>
      <c r="GZ5" s="228"/>
      <c r="HA5" s="228"/>
      <c r="HB5" s="228"/>
      <c r="HC5" s="228"/>
      <c r="HD5" s="228"/>
      <c r="HE5" s="228"/>
      <c r="HF5" s="228"/>
      <c r="HG5" s="228"/>
      <c r="HH5" s="228"/>
      <c r="HI5" s="228"/>
      <c r="HJ5" s="228"/>
      <c r="HK5" s="228"/>
      <c r="HL5" s="228"/>
      <c r="HM5" s="228"/>
      <c r="HN5" s="228"/>
      <c r="HO5" s="228"/>
      <c r="HP5" s="228"/>
      <c r="HQ5" s="228"/>
      <c r="HR5" s="228"/>
      <c r="HS5" s="228"/>
      <c r="HT5" s="228"/>
      <c r="HU5" s="228"/>
      <c r="HV5" s="228"/>
      <c r="HW5" s="228"/>
      <c r="HX5" s="228"/>
      <c r="HY5" s="228"/>
      <c r="HZ5" s="228"/>
      <c r="IA5" s="228"/>
      <c r="IB5" s="228"/>
      <c r="IC5" s="228"/>
      <c r="ID5" s="228"/>
      <c r="IE5" s="228"/>
      <c r="IF5" s="228"/>
      <c r="IG5" s="228"/>
      <c r="IH5" s="228"/>
      <c r="II5" s="228"/>
      <c r="IJ5" s="228"/>
      <c r="IK5" s="228"/>
    </row>
    <row r="6" spans="1:245" ht="15" customHeight="1">
      <c r="A6" s="228"/>
      <c r="B6" s="943"/>
      <c r="C6" s="228"/>
      <c r="D6" s="228"/>
      <c r="E6" s="37"/>
      <c r="F6" s="37"/>
      <c r="G6" s="38"/>
      <c r="H6" s="31"/>
      <c r="I6" s="31"/>
      <c r="J6" s="227"/>
      <c r="K6" s="227"/>
      <c r="L6" s="45"/>
      <c r="M6" s="228"/>
      <c r="N6" s="228"/>
      <c r="O6" s="228"/>
      <c r="P6" s="228"/>
      <c r="Q6" s="228"/>
      <c r="R6" s="228"/>
      <c r="S6" s="228"/>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c r="CQ6" s="228"/>
      <c r="CR6" s="228"/>
      <c r="CS6" s="228"/>
      <c r="CT6" s="228"/>
      <c r="CU6" s="228"/>
      <c r="CV6" s="228"/>
      <c r="CW6" s="228"/>
      <c r="CX6" s="228"/>
      <c r="CY6" s="228"/>
      <c r="CZ6" s="228"/>
      <c r="DA6" s="228"/>
      <c r="DB6" s="228"/>
      <c r="DC6" s="228"/>
      <c r="DD6" s="228"/>
      <c r="DE6" s="228"/>
      <c r="DF6" s="228"/>
      <c r="DG6" s="228"/>
      <c r="DH6" s="228"/>
      <c r="DI6" s="228"/>
      <c r="DJ6" s="228"/>
      <c r="DK6" s="228"/>
      <c r="DL6" s="228"/>
      <c r="DM6" s="228"/>
      <c r="DN6" s="228"/>
      <c r="DO6" s="228"/>
      <c r="DP6" s="228"/>
      <c r="DQ6" s="228"/>
      <c r="DR6" s="228"/>
      <c r="DS6" s="228"/>
      <c r="DT6" s="228"/>
      <c r="DU6" s="228"/>
      <c r="DV6" s="228"/>
      <c r="DW6" s="228"/>
      <c r="DX6" s="228"/>
      <c r="DY6" s="228"/>
      <c r="DZ6" s="228"/>
      <c r="EA6" s="228"/>
      <c r="EB6" s="228"/>
      <c r="EC6" s="228"/>
      <c r="ED6" s="228"/>
      <c r="EE6" s="228"/>
      <c r="EF6" s="228"/>
      <c r="EG6" s="228"/>
      <c r="EH6" s="228"/>
      <c r="EI6" s="228"/>
      <c r="EJ6" s="228"/>
      <c r="EK6" s="228"/>
      <c r="EL6" s="228"/>
      <c r="EM6" s="228"/>
      <c r="EN6" s="228"/>
      <c r="EO6" s="228"/>
      <c r="EP6" s="228"/>
      <c r="EQ6" s="228"/>
      <c r="ER6" s="228"/>
      <c r="ES6" s="228"/>
      <c r="ET6" s="228"/>
      <c r="EU6" s="228"/>
      <c r="EV6" s="228"/>
      <c r="EW6" s="228"/>
      <c r="EX6" s="228"/>
      <c r="EY6" s="228"/>
      <c r="EZ6" s="228"/>
      <c r="FA6" s="228"/>
      <c r="FB6" s="228"/>
      <c r="FC6" s="228"/>
      <c r="FD6" s="228"/>
      <c r="FE6" s="228"/>
      <c r="FF6" s="228"/>
      <c r="FG6" s="228"/>
      <c r="FH6" s="228"/>
      <c r="FI6" s="228"/>
      <c r="FJ6" s="228"/>
      <c r="FK6" s="228"/>
      <c r="FL6" s="228"/>
      <c r="FM6" s="228"/>
      <c r="FN6" s="228"/>
      <c r="FO6" s="228"/>
      <c r="FP6" s="228"/>
      <c r="FQ6" s="228"/>
      <c r="FR6" s="228"/>
      <c r="FS6" s="228"/>
      <c r="FT6" s="228"/>
      <c r="FU6" s="228"/>
      <c r="FV6" s="228"/>
      <c r="FW6" s="228"/>
      <c r="FX6" s="228"/>
      <c r="FY6" s="228"/>
      <c r="FZ6" s="228"/>
      <c r="GA6" s="228"/>
      <c r="GB6" s="228"/>
      <c r="GC6" s="228"/>
      <c r="GD6" s="228"/>
      <c r="GE6" s="228"/>
      <c r="GF6" s="228"/>
      <c r="GG6" s="228"/>
      <c r="GH6" s="228"/>
      <c r="GI6" s="228"/>
      <c r="GJ6" s="228"/>
      <c r="GK6" s="228"/>
      <c r="GL6" s="228"/>
      <c r="GM6" s="228"/>
      <c r="GN6" s="228"/>
      <c r="GO6" s="228"/>
      <c r="GP6" s="228"/>
      <c r="GQ6" s="228"/>
      <c r="GR6" s="228"/>
      <c r="GS6" s="228"/>
      <c r="GT6" s="228"/>
      <c r="GU6" s="228"/>
      <c r="GV6" s="228"/>
      <c r="GW6" s="228"/>
      <c r="GX6" s="228"/>
      <c r="GY6" s="228"/>
      <c r="GZ6" s="228"/>
      <c r="HA6" s="228"/>
      <c r="HB6" s="228"/>
      <c r="HC6" s="228"/>
      <c r="HD6" s="228"/>
      <c r="HE6" s="228"/>
      <c r="HF6" s="228"/>
      <c r="HG6" s="228"/>
      <c r="HH6" s="228"/>
      <c r="HI6" s="228"/>
      <c r="HJ6" s="228"/>
      <c r="HK6" s="228"/>
      <c r="HL6" s="228"/>
      <c r="HM6" s="228"/>
      <c r="HN6" s="228"/>
      <c r="HO6" s="228"/>
      <c r="HP6" s="228"/>
      <c r="HQ6" s="228"/>
      <c r="HR6" s="228"/>
      <c r="HS6" s="228"/>
      <c r="HT6" s="228"/>
      <c r="HU6" s="228"/>
      <c r="HV6" s="228"/>
      <c r="HW6" s="228"/>
      <c r="HX6" s="228"/>
      <c r="HY6" s="228"/>
      <c r="HZ6" s="228"/>
      <c r="IA6" s="228"/>
      <c r="IB6" s="228"/>
      <c r="IC6" s="228"/>
      <c r="ID6" s="228"/>
      <c r="IE6" s="228"/>
      <c r="IF6" s="228"/>
      <c r="IG6" s="228"/>
      <c r="IH6" s="228"/>
      <c r="II6" s="228"/>
      <c r="IJ6" s="228"/>
      <c r="IK6" s="228"/>
    </row>
    <row r="7" spans="1:245" ht="15" customHeight="1">
      <c r="A7" s="228"/>
      <c r="B7" s="943"/>
      <c r="C7" s="228"/>
      <c r="D7" s="228"/>
      <c r="E7" s="248" t="s">
        <v>601</v>
      </c>
      <c r="F7" s="248"/>
      <c r="G7" s="248"/>
      <c r="H7" s="248"/>
      <c r="I7" s="44">
        <v>4.1500000000000004</v>
      </c>
      <c r="J7" s="248" t="s">
        <v>469</v>
      </c>
      <c r="K7" s="248"/>
      <c r="L7" s="410">
        <v>3.3</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8"/>
      <c r="BK7" s="228"/>
      <c r="BL7" s="228"/>
      <c r="BM7" s="228"/>
      <c r="BN7" s="228"/>
      <c r="BO7" s="228"/>
      <c r="BP7" s="228"/>
      <c r="BQ7" s="228"/>
      <c r="BR7" s="228"/>
      <c r="BS7" s="228"/>
      <c r="BT7" s="228"/>
      <c r="BU7" s="228"/>
      <c r="BV7" s="228"/>
      <c r="BW7" s="228"/>
      <c r="BX7" s="228"/>
      <c r="BY7" s="228"/>
      <c r="BZ7" s="228"/>
      <c r="CA7" s="228"/>
      <c r="CB7" s="228"/>
      <c r="CC7" s="228"/>
      <c r="CD7" s="228"/>
      <c r="CE7" s="228"/>
      <c r="CF7" s="228"/>
      <c r="CG7" s="228"/>
      <c r="CH7" s="228"/>
      <c r="CI7" s="228"/>
      <c r="CJ7" s="228"/>
      <c r="CK7" s="228"/>
      <c r="CL7" s="228"/>
      <c r="CM7" s="228"/>
      <c r="CN7" s="228"/>
      <c r="CO7" s="228"/>
      <c r="CP7" s="228"/>
      <c r="CQ7" s="228"/>
      <c r="CR7" s="228"/>
      <c r="CS7" s="228"/>
      <c r="CT7" s="228"/>
      <c r="CU7" s="228"/>
      <c r="CV7" s="228"/>
      <c r="CW7" s="228"/>
      <c r="CX7" s="228"/>
      <c r="CY7" s="228"/>
      <c r="CZ7" s="228"/>
      <c r="DA7" s="228"/>
      <c r="DB7" s="228"/>
      <c r="DC7" s="228"/>
      <c r="DD7" s="228"/>
      <c r="DE7" s="228"/>
      <c r="DF7" s="228"/>
      <c r="DG7" s="228"/>
      <c r="DH7" s="228"/>
      <c r="DI7" s="228"/>
      <c r="DJ7" s="228"/>
      <c r="DK7" s="228"/>
      <c r="DL7" s="228"/>
      <c r="DM7" s="228"/>
      <c r="DN7" s="228"/>
      <c r="DO7" s="228"/>
      <c r="DP7" s="228"/>
      <c r="DQ7" s="228"/>
      <c r="DR7" s="228"/>
      <c r="DS7" s="228"/>
      <c r="DT7" s="228"/>
      <c r="DU7" s="228"/>
      <c r="DV7" s="228"/>
      <c r="DW7" s="228"/>
      <c r="DX7" s="228"/>
      <c r="DY7" s="228"/>
      <c r="DZ7" s="228"/>
      <c r="EA7" s="228"/>
      <c r="EB7" s="228"/>
      <c r="EC7" s="228"/>
      <c r="ED7" s="228"/>
      <c r="EE7" s="228"/>
      <c r="EF7" s="228"/>
      <c r="EG7" s="228"/>
      <c r="EH7" s="228"/>
      <c r="EI7" s="228"/>
      <c r="EJ7" s="228"/>
      <c r="EK7" s="228"/>
      <c r="EL7" s="228"/>
      <c r="EM7" s="228"/>
      <c r="EN7" s="228"/>
      <c r="EO7" s="228"/>
      <c r="EP7" s="228"/>
      <c r="EQ7" s="228"/>
      <c r="ER7" s="228"/>
      <c r="ES7" s="228"/>
      <c r="ET7" s="228"/>
      <c r="EU7" s="228"/>
      <c r="EV7" s="228"/>
      <c r="EW7" s="228"/>
      <c r="EX7" s="228"/>
      <c r="EY7" s="228"/>
      <c r="EZ7" s="228"/>
      <c r="FA7" s="228"/>
      <c r="FB7" s="228"/>
      <c r="FC7" s="228"/>
      <c r="FD7" s="228"/>
      <c r="FE7" s="228"/>
      <c r="FF7" s="228"/>
      <c r="FG7" s="228"/>
      <c r="FH7" s="228"/>
      <c r="FI7" s="228"/>
      <c r="FJ7" s="228"/>
      <c r="FK7" s="228"/>
      <c r="FL7" s="228"/>
      <c r="FM7" s="228"/>
      <c r="FN7" s="228"/>
      <c r="FO7" s="228"/>
      <c r="FP7" s="228"/>
      <c r="FQ7" s="228"/>
      <c r="FR7" s="228"/>
      <c r="FS7" s="228"/>
      <c r="FT7" s="228"/>
      <c r="FU7" s="228"/>
      <c r="FV7" s="228"/>
      <c r="FW7" s="228"/>
      <c r="FX7" s="228"/>
      <c r="FY7" s="228"/>
      <c r="FZ7" s="228"/>
      <c r="GA7" s="228"/>
      <c r="GB7" s="228"/>
      <c r="GC7" s="228"/>
      <c r="GD7" s="228"/>
      <c r="GE7" s="228"/>
      <c r="GF7" s="228"/>
      <c r="GG7" s="228"/>
      <c r="GH7" s="228"/>
      <c r="GI7" s="228"/>
      <c r="GJ7" s="228"/>
      <c r="GK7" s="228"/>
      <c r="GL7" s="228"/>
      <c r="GM7" s="228"/>
      <c r="GN7" s="228"/>
      <c r="GO7" s="228"/>
      <c r="GP7" s="228"/>
      <c r="GQ7" s="228"/>
      <c r="GR7" s="228"/>
      <c r="GS7" s="228"/>
      <c r="GT7" s="228"/>
      <c r="GU7" s="228"/>
      <c r="GV7" s="228"/>
      <c r="GW7" s="228"/>
      <c r="GX7" s="228"/>
      <c r="GY7" s="228"/>
      <c r="GZ7" s="228"/>
      <c r="HA7" s="228"/>
      <c r="HB7" s="228"/>
      <c r="HC7" s="228"/>
      <c r="HD7" s="228"/>
      <c r="HE7" s="228"/>
      <c r="HF7" s="228"/>
      <c r="HG7" s="228"/>
      <c r="HH7" s="228"/>
      <c r="HI7" s="228"/>
      <c r="HJ7" s="228"/>
      <c r="HK7" s="228"/>
      <c r="HL7" s="228"/>
      <c r="HM7" s="228"/>
      <c r="HN7" s="228"/>
      <c r="HO7" s="228"/>
      <c r="HP7" s="228"/>
      <c r="HQ7" s="228"/>
      <c r="HR7" s="228"/>
      <c r="HS7" s="228"/>
      <c r="HT7" s="228"/>
      <c r="HU7" s="228"/>
      <c r="HV7" s="228"/>
      <c r="HW7" s="228"/>
      <c r="HX7" s="228"/>
      <c r="HY7" s="228"/>
      <c r="HZ7" s="228"/>
      <c r="IA7" s="228"/>
      <c r="IB7" s="228"/>
      <c r="IC7" s="228"/>
      <c r="ID7" s="228"/>
      <c r="IE7" s="228"/>
      <c r="IF7" s="228"/>
      <c r="IG7" s="228"/>
      <c r="IH7" s="228"/>
      <c r="II7" s="228"/>
      <c r="IJ7" s="228"/>
      <c r="IK7" s="228"/>
    </row>
    <row r="8" spans="1:245" ht="15" customHeight="1">
      <c r="A8" s="228"/>
      <c r="B8" s="36"/>
      <c r="C8" s="228"/>
      <c r="D8" s="228"/>
      <c r="E8" s="249" t="s">
        <v>596</v>
      </c>
      <c r="F8" s="251"/>
      <c r="G8" s="251"/>
      <c r="H8" s="250"/>
      <c r="I8" s="44">
        <v>3.65</v>
      </c>
      <c r="J8" s="906" t="s">
        <v>470</v>
      </c>
      <c r="K8" s="906"/>
      <c r="L8" s="410">
        <v>3.2</v>
      </c>
      <c r="M8" s="228"/>
      <c r="N8" s="228"/>
      <c r="O8" s="228"/>
      <c r="P8" s="228"/>
      <c r="Q8" s="228"/>
      <c r="R8" s="228"/>
      <c r="S8" s="228"/>
      <c r="T8" s="228"/>
      <c r="U8" s="228"/>
      <c r="V8" s="228"/>
      <c r="W8" s="228"/>
      <c r="X8" s="228"/>
      <c r="Y8" s="228"/>
      <c r="Z8" s="228"/>
      <c r="AA8" s="228"/>
      <c r="AB8" s="228"/>
      <c r="AC8" s="228"/>
      <c r="AD8" s="228"/>
      <c r="AE8" s="228"/>
      <c r="AF8" s="228"/>
      <c r="AG8" s="228"/>
      <c r="AH8" s="228"/>
      <c r="AI8" s="228"/>
      <c r="AJ8" s="228"/>
      <c r="AK8" s="228"/>
      <c r="AL8" s="228"/>
      <c r="AM8" s="228"/>
      <c r="AN8" s="228"/>
      <c r="AO8" s="228"/>
      <c r="AP8" s="228"/>
      <c r="AQ8" s="228"/>
      <c r="AR8" s="228"/>
      <c r="AS8" s="228"/>
      <c r="AT8" s="228"/>
      <c r="AU8" s="228"/>
      <c r="AV8" s="228"/>
      <c r="AW8" s="228"/>
      <c r="AX8" s="228"/>
      <c r="AY8" s="228"/>
      <c r="AZ8" s="228"/>
      <c r="BA8" s="228"/>
      <c r="BB8" s="228"/>
      <c r="BC8" s="228"/>
      <c r="BD8" s="228"/>
      <c r="BE8" s="228"/>
      <c r="BF8" s="228"/>
      <c r="BG8" s="228"/>
      <c r="BH8" s="228"/>
      <c r="BI8" s="228"/>
      <c r="BJ8" s="228"/>
      <c r="BK8" s="228"/>
      <c r="BL8" s="228"/>
      <c r="BM8" s="228"/>
      <c r="BN8" s="228"/>
      <c r="BO8" s="228"/>
      <c r="BP8" s="228"/>
      <c r="BQ8" s="228"/>
      <c r="BR8" s="228"/>
      <c r="BS8" s="228"/>
      <c r="BT8" s="228"/>
      <c r="BU8" s="228"/>
      <c r="BV8" s="228"/>
      <c r="BW8" s="228"/>
      <c r="BX8" s="228"/>
      <c r="BY8" s="228"/>
      <c r="BZ8" s="228"/>
      <c r="CA8" s="228"/>
      <c r="CB8" s="228"/>
      <c r="CC8" s="228"/>
      <c r="CD8" s="228"/>
      <c r="CE8" s="228"/>
      <c r="CF8" s="228"/>
      <c r="CG8" s="228"/>
      <c r="CH8" s="228"/>
      <c r="CI8" s="228"/>
      <c r="CJ8" s="228"/>
      <c r="CK8" s="228"/>
      <c r="CL8" s="228"/>
      <c r="CM8" s="228"/>
      <c r="CN8" s="228"/>
      <c r="CO8" s="228"/>
      <c r="CP8" s="228"/>
      <c r="CQ8" s="228"/>
      <c r="CR8" s="228"/>
      <c r="CS8" s="228"/>
      <c r="CT8" s="228"/>
      <c r="CU8" s="228"/>
      <c r="CV8" s="228"/>
      <c r="CW8" s="228"/>
      <c r="CX8" s="228"/>
      <c r="CY8" s="228"/>
      <c r="CZ8" s="228"/>
      <c r="DA8" s="228"/>
      <c r="DB8" s="228"/>
      <c r="DC8" s="228"/>
      <c r="DD8" s="228"/>
      <c r="DE8" s="228"/>
      <c r="DF8" s="228"/>
      <c r="DG8" s="228"/>
      <c r="DH8" s="228"/>
      <c r="DI8" s="228"/>
      <c r="DJ8" s="228"/>
      <c r="DK8" s="228"/>
      <c r="DL8" s="228"/>
      <c r="DM8" s="228"/>
      <c r="DN8" s="228"/>
      <c r="DO8" s="228"/>
      <c r="DP8" s="228"/>
      <c r="DQ8" s="228"/>
      <c r="DR8" s="228"/>
      <c r="DS8" s="228"/>
      <c r="DT8" s="228"/>
      <c r="DU8" s="228"/>
      <c r="DV8" s="228"/>
      <c r="DW8" s="228"/>
      <c r="DX8" s="228"/>
      <c r="DY8" s="228"/>
      <c r="DZ8" s="228"/>
      <c r="EA8" s="228"/>
      <c r="EB8" s="228"/>
      <c r="EC8" s="228"/>
      <c r="ED8" s="228"/>
      <c r="EE8" s="228"/>
      <c r="EF8" s="228"/>
      <c r="EG8" s="228"/>
      <c r="EH8" s="228"/>
      <c r="EI8" s="228"/>
      <c r="EJ8" s="228"/>
      <c r="EK8" s="228"/>
      <c r="EL8" s="228"/>
      <c r="EM8" s="228"/>
      <c r="EN8" s="228"/>
      <c r="EO8" s="228"/>
      <c r="EP8" s="228"/>
      <c r="EQ8" s="228"/>
      <c r="ER8" s="228"/>
      <c r="ES8" s="228"/>
      <c r="ET8" s="228"/>
      <c r="EU8" s="228"/>
      <c r="EV8" s="228"/>
      <c r="EW8" s="228"/>
      <c r="EX8" s="228"/>
      <c r="EY8" s="228"/>
      <c r="EZ8" s="228"/>
      <c r="FA8" s="228"/>
      <c r="FB8" s="228"/>
      <c r="FC8" s="228"/>
      <c r="FD8" s="228"/>
      <c r="FE8" s="228"/>
      <c r="FF8" s="228"/>
      <c r="FG8" s="228"/>
      <c r="FH8" s="228"/>
      <c r="FI8" s="228"/>
      <c r="FJ8" s="228"/>
      <c r="FK8" s="228"/>
      <c r="FL8" s="228"/>
      <c r="FM8" s="228"/>
      <c r="FN8" s="228"/>
      <c r="FO8" s="228"/>
      <c r="FP8" s="228"/>
      <c r="FQ8" s="228"/>
      <c r="FR8" s="228"/>
      <c r="FS8" s="228"/>
      <c r="FT8" s="228"/>
      <c r="FU8" s="228"/>
      <c r="FV8" s="228"/>
      <c r="FW8" s="228"/>
      <c r="FX8" s="228"/>
      <c r="FY8" s="228"/>
      <c r="FZ8" s="228"/>
      <c r="GA8" s="228"/>
      <c r="GB8" s="228"/>
      <c r="GC8" s="228"/>
      <c r="GD8" s="228"/>
      <c r="GE8" s="228"/>
      <c r="GF8" s="228"/>
      <c r="GG8" s="228"/>
      <c r="GH8" s="228"/>
      <c r="GI8" s="228"/>
      <c r="GJ8" s="228"/>
      <c r="GK8" s="228"/>
      <c r="GL8" s="228"/>
      <c r="GM8" s="228"/>
      <c r="GN8" s="228"/>
      <c r="GO8" s="228"/>
      <c r="GP8" s="228"/>
      <c r="GQ8" s="228"/>
      <c r="GR8" s="228"/>
      <c r="GS8" s="228"/>
      <c r="GT8" s="228"/>
      <c r="GU8" s="228"/>
      <c r="GV8" s="228"/>
      <c r="GW8" s="228"/>
      <c r="GX8" s="228"/>
      <c r="GY8" s="228"/>
      <c r="GZ8" s="228"/>
      <c r="HA8" s="228"/>
      <c r="HB8" s="228"/>
      <c r="HC8" s="228"/>
      <c r="HD8" s="228"/>
      <c r="HE8" s="228"/>
      <c r="HF8" s="228"/>
      <c r="HG8" s="228"/>
      <c r="HH8" s="228"/>
      <c r="HI8" s="228"/>
      <c r="HJ8" s="228"/>
      <c r="HK8" s="228"/>
      <c r="HL8" s="228"/>
      <c r="HM8" s="228"/>
      <c r="HN8" s="228"/>
      <c r="HO8" s="228"/>
      <c r="HP8" s="228"/>
      <c r="HQ8" s="228"/>
      <c r="HR8" s="228"/>
      <c r="HS8" s="228"/>
      <c r="HT8" s="228"/>
      <c r="HU8" s="228"/>
      <c r="HV8" s="228"/>
      <c r="HW8" s="228"/>
      <c r="HX8" s="228"/>
      <c r="HY8" s="228"/>
      <c r="HZ8" s="228"/>
      <c r="IA8" s="228"/>
      <c r="IB8" s="228"/>
      <c r="IC8" s="228"/>
      <c r="ID8" s="228"/>
      <c r="IE8" s="228"/>
      <c r="IF8" s="228"/>
      <c r="IG8" s="228"/>
      <c r="IH8" s="228"/>
      <c r="II8" s="228"/>
      <c r="IJ8" s="228"/>
      <c r="IK8" s="228"/>
    </row>
    <row r="9" spans="1:245" ht="15" customHeight="1">
      <c r="A9" s="228"/>
      <c r="B9" s="36"/>
      <c r="C9" s="228"/>
      <c r="D9" s="228"/>
      <c r="E9" s="906" t="s">
        <v>514</v>
      </c>
      <c r="F9" s="906"/>
      <c r="G9" s="906"/>
      <c r="H9" s="906"/>
      <c r="I9" s="44">
        <v>3.5</v>
      </c>
      <c r="J9" s="906" t="s">
        <v>463</v>
      </c>
      <c r="K9" s="906"/>
      <c r="L9" s="410">
        <v>2</v>
      </c>
      <c r="M9" s="228"/>
      <c r="N9" s="228"/>
      <c r="O9" s="228"/>
      <c r="P9" s="228"/>
      <c r="Q9" s="228"/>
      <c r="R9" s="228"/>
      <c r="S9" s="228"/>
      <c r="T9" s="228"/>
      <c r="U9" s="228"/>
      <c r="V9" s="228"/>
      <c r="W9" s="228"/>
      <c r="X9" s="228"/>
      <c r="Y9" s="228"/>
      <c r="Z9" s="228"/>
      <c r="AA9" s="228"/>
      <c r="AB9" s="228"/>
      <c r="AC9" s="228"/>
      <c r="AD9" s="228"/>
      <c r="AE9" s="228"/>
      <c r="AF9" s="228"/>
      <c r="AG9" s="228"/>
      <c r="AH9" s="228"/>
      <c r="AI9" s="228"/>
      <c r="AJ9" s="228"/>
      <c r="AK9" s="228"/>
      <c r="AL9" s="228"/>
      <c r="AM9" s="228"/>
      <c r="AN9" s="228"/>
      <c r="AO9" s="228"/>
      <c r="AP9" s="228"/>
      <c r="AQ9" s="228"/>
      <c r="AR9" s="228"/>
      <c r="AS9" s="228"/>
      <c r="AT9" s="228"/>
      <c r="AU9" s="228"/>
      <c r="AV9" s="228"/>
      <c r="AW9" s="228"/>
      <c r="AX9" s="228"/>
      <c r="AY9" s="228"/>
      <c r="AZ9" s="228"/>
      <c r="BA9" s="228"/>
      <c r="BB9" s="228"/>
      <c r="BC9" s="228"/>
      <c r="BD9" s="228"/>
      <c r="BE9" s="228"/>
      <c r="BF9" s="228"/>
      <c r="BG9" s="228"/>
      <c r="BH9" s="228"/>
      <c r="BI9" s="228"/>
      <c r="BJ9" s="228"/>
      <c r="BK9" s="228"/>
      <c r="BL9" s="228"/>
      <c r="BM9" s="228"/>
      <c r="BN9" s="228"/>
      <c r="BO9" s="228"/>
      <c r="BP9" s="228"/>
      <c r="BQ9" s="228"/>
      <c r="BR9" s="228"/>
      <c r="BS9" s="228"/>
      <c r="BT9" s="228"/>
      <c r="BU9" s="228"/>
      <c r="BV9" s="228"/>
      <c r="BW9" s="228"/>
      <c r="BX9" s="228"/>
      <c r="BY9" s="228"/>
      <c r="BZ9" s="228"/>
      <c r="CA9" s="228"/>
      <c r="CB9" s="228"/>
      <c r="CC9" s="228"/>
      <c r="CD9" s="228"/>
      <c r="CE9" s="228"/>
      <c r="CF9" s="228"/>
      <c r="CG9" s="228"/>
      <c r="CH9" s="228"/>
      <c r="CI9" s="228"/>
      <c r="CJ9" s="228"/>
      <c r="CK9" s="228"/>
      <c r="CL9" s="228"/>
      <c r="CM9" s="228"/>
      <c r="CN9" s="228"/>
      <c r="CO9" s="228"/>
      <c r="CP9" s="228"/>
      <c r="CQ9" s="228"/>
      <c r="CR9" s="228"/>
      <c r="CS9" s="228"/>
      <c r="CT9" s="228"/>
      <c r="CU9" s="228"/>
      <c r="CV9" s="228"/>
      <c r="CW9" s="228"/>
      <c r="CX9" s="228"/>
      <c r="CY9" s="228"/>
      <c r="CZ9" s="228"/>
      <c r="DA9" s="228"/>
      <c r="DB9" s="228"/>
      <c r="DC9" s="228"/>
      <c r="DD9" s="228"/>
      <c r="DE9" s="228"/>
      <c r="DF9" s="228"/>
      <c r="DG9" s="228"/>
      <c r="DH9" s="228"/>
      <c r="DI9" s="228"/>
      <c r="DJ9" s="228"/>
      <c r="DK9" s="228"/>
      <c r="DL9" s="228"/>
      <c r="DM9" s="228"/>
      <c r="DN9" s="228"/>
      <c r="DO9" s="228"/>
      <c r="DP9" s="228"/>
      <c r="DQ9" s="228"/>
      <c r="DR9" s="228"/>
      <c r="DS9" s="228"/>
      <c r="DT9" s="228"/>
      <c r="DU9" s="228"/>
      <c r="DV9" s="228"/>
      <c r="DW9" s="228"/>
      <c r="DX9" s="228"/>
      <c r="DY9" s="228"/>
      <c r="DZ9" s="228"/>
      <c r="EA9" s="228"/>
      <c r="EB9" s="228"/>
      <c r="EC9" s="228"/>
      <c r="ED9" s="228"/>
      <c r="EE9" s="228"/>
      <c r="EF9" s="228"/>
      <c r="EG9" s="228"/>
      <c r="EH9" s="228"/>
      <c r="EI9" s="228"/>
      <c r="EJ9" s="228"/>
      <c r="EK9" s="228"/>
      <c r="EL9" s="228"/>
      <c r="EM9" s="228"/>
      <c r="EN9" s="228"/>
      <c r="EO9" s="228"/>
      <c r="EP9" s="228"/>
      <c r="EQ9" s="228"/>
      <c r="ER9" s="228"/>
      <c r="ES9" s="228"/>
      <c r="ET9" s="228"/>
      <c r="EU9" s="228"/>
      <c r="EV9" s="228"/>
      <c r="EW9" s="228"/>
      <c r="EX9" s="228"/>
      <c r="EY9" s="228"/>
      <c r="EZ9" s="228"/>
      <c r="FA9" s="228"/>
      <c r="FB9" s="228"/>
      <c r="FC9" s="228"/>
      <c r="FD9" s="228"/>
      <c r="FE9" s="228"/>
      <c r="FF9" s="228"/>
      <c r="FG9" s="228"/>
      <c r="FH9" s="228"/>
      <c r="FI9" s="228"/>
      <c r="FJ9" s="228"/>
      <c r="FK9" s="228"/>
      <c r="FL9" s="228"/>
      <c r="FM9" s="228"/>
      <c r="FN9" s="228"/>
      <c r="FO9" s="228"/>
      <c r="FP9" s="228"/>
      <c r="FQ9" s="228"/>
      <c r="FR9" s="228"/>
      <c r="FS9" s="228"/>
      <c r="FT9" s="228"/>
      <c r="FU9" s="228"/>
      <c r="FV9" s="228"/>
      <c r="FW9" s="228"/>
      <c r="FX9" s="228"/>
      <c r="FY9" s="228"/>
      <c r="FZ9" s="228"/>
      <c r="GA9" s="228"/>
      <c r="GB9" s="228"/>
      <c r="GC9" s="228"/>
      <c r="GD9" s="228"/>
      <c r="GE9" s="228"/>
      <c r="GF9" s="228"/>
      <c r="GG9" s="228"/>
      <c r="GH9" s="228"/>
      <c r="GI9" s="228"/>
      <c r="GJ9" s="228"/>
      <c r="GK9" s="228"/>
      <c r="GL9" s="228"/>
      <c r="GM9" s="228"/>
      <c r="GN9" s="228"/>
      <c r="GO9" s="228"/>
      <c r="GP9" s="228"/>
      <c r="GQ9" s="228"/>
      <c r="GR9" s="228"/>
      <c r="GS9" s="228"/>
      <c r="GT9" s="228"/>
      <c r="GU9" s="228"/>
      <c r="GV9" s="228"/>
      <c r="GW9" s="228"/>
      <c r="GX9" s="228"/>
      <c r="GY9" s="228"/>
      <c r="GZ9" s="228"/>
      <c r="HA9" s="228"/>
      <c r="HB9" s="228"/>
      <c r="HC9" s="228"/>
      <c r="HD9" s="228"/>
      <c r="HE9" s="228"/>
      <c r="HF9" s="228"/>
      <c r="HG9" s="228"/>
      <c r="HH9" s="228"/>
      <c r="HI9" s="228"/>
      <c r="HJ9" s="228"/>
      <c r="HK9" s="228"/>
      <c r="HL9" s="228"/>
      <c r="HM9" s="228"/>
      <c r="HN9" s="228"/>
      <c r="HO9" s="228"/>
      <c r="HP9" s="228"/>
      <c r="HQ9" s="228"/>
      <c r="HR9" s="228"/>
      <c r="HS9" s="228"/>
      <c r="HT9" s="228"/>
      <c r="HU9" s="228"/>
      <c r="HV9" s="228"/>
      <c r="HW9" s="228"/>
      <c r="HX9" s="228"/>
      <c r="HY9" s="228"/>
      <c r="HZ9" s="228"/>
      <c r="IA9" s="228"/>
      <c r="IB9" s="228"/>
      <c r="IC9" s="228"/>
      <c r="ID9" s="228"/>
      <c r="IE9" s="228"/>
      <c r="IF9" s="228"/>
      <c r="IG9" s="228"/>
      <c r="IH9" s="228"/>
      <c r="II9" s="228"/>
      <c r="IJ9" s="228"/>
      <c r="IK9" s="228"/>
    </row>
    <row r="10" spans="1:245" ht="25.15" customHeight="1">
      <c r="A10" s="22"/>
      <c r="B10" s="23"/>
      <c r="C10" s="23"/>
      <c r="D10" s="24"/>
      <c r="E10" s="906" t="s">
        <v>513</v>
      </c>
      <c r="F10" s="906"/>
      <c r="G10" s="906"/>
      <c r="H10" s="906"/>
      <c r="I10" s="44">
        <v>3.3</v>
      </c>
      <c r="J10" s="906" t="s">
        <v>464</v>
      </c>
      <c r="K10" s="906"/>
      <c r="L10" s="410">
        <v>1.5</v>
      </c>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c r="HD10" s="31"/>
      <c r="HE10" s="31"/>
      <c r="HF10" s="31"/>
      <c r="HG10" s="31"/>
      <c r="HH10" s="31"/>
      <c r="HI10" s="31"/>
      <c r="HJ10" s="31"/>
      <c r="HK10" s="31"/>
      <c r="HL10" s="31"/>
      <c r="HM10" s="31"/>
      <c r="HN10" s="31"/>
      <c r="HO10" s="31"/>
      <c r="HP10" s="31"/>
      <c r="HQ10" s="31"/>
      <c r="HR10" s="31"/>
      <c r="HS10" s="31"/>
      <c r="HT10" s="31"/>
      <c r="HU10" s="31"/>
      <c r="HV10" s="31"/>
      <c r="HW10" s="31"/>
      <c r="HX10" s="31"/>
      <c r="HY10" s="31"/>
      <c r="HZ10" s="31"/>
      <c r="IA10" s="31"/>
      <c r="IB10" s="31"/>
      <c r="IC10" s="31"/>
      <c r="ID10" s="31"/>
      <c r="IE10" s="31"/>
      <c r="IF10" s="31"/>
      <c r="IG10" s="31"/>
      <c r="IH10" s="31"/>
      <c r="II10" s="31"/>
      <c r="IJ10" s="31"/>
      <c r="IK10" s="31"/>
    </row>
    <row r="11" spans="1:245" ht="30" customHeight="1">
      <c r="A11" s="22"/>
      <c r="B11" s="23"/>
      <c r="C11" s="23"/>
      <c r="D11" s="24"/>
      <c r="E11" s="906" t="s">
        <v>444</v>
      </c>
      <c r="F11" s="906"/>
      <c r="G11" s="906"/>
      <c r="H11" s="906"/>
      <c r="I11" s="44">
        <v>2</v>
      </c>
      <c r="J11" s="911" t="s">
        <v>437</v>
      </c>
      <c r="K11" s="912"/>
      <c r="L11" s="410">
        <v>0.5</v>
      </c>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c r="HD11" s="31"/>
      <c r="HE11" s="31"/>
      <c r="HF11" s="31"/>
      <c r="HG11" s="31"/>
      <c r="HH11" s="31"/>
      <c r="HI11" s="31"/>
      <c r="HJ11" s="31"/>
      <c r="HK11" s="31"/>
      <c r="HL11" s="31"/>
      <c r="HM11" s="31"/>
      <c r="HN11" s="31"/>
      <c r="HO11" s="31"/>
      <c r="HP11" s="31"/>
      <c r="HQ11" s="31"/>
      <c r="HR11" s="31"/>
      <c r="HS11" s="31"/>
      <c r="HT11" s="31"/>
      <c r="HU11" s="31"/>
      <c r="HV11" s="31"/>
      <c r="HW11" s="31"/>
      <c r="HX11" s="31"/>
      <c r="HY11" s="31"/>
      <c r="HZ11" s="31"/>
      <c r="IA11" s="31"/>
      <c r="IB11" s="31"/>
      <c r="IC11" s="31"/>
      <c r="ID11" s="31"/>
      <c r="IE11" s="31"/>
      <c r="IF11" s="31"/>
      <c r="IG11" s="31"/>
      <c r="IH11" s="31"/>
      <c r="II11" s="31"/>
      <c r="IJ11" s="31"/>
      <c r="IK11" s="31"/>
    </row>
    <row r="12" spans="1:245" ht="14.45" customHeight="1">
      <c r="A12" s="900" t="s">
        <v>11</v>
      </c>
      <c r="B12" s="900" t="s">
        <v>67</v>
      </c>
      <c r="C12" s="900" t="s">
        <v>74</v>
      </c>
      <c r="D12" s="901" t="s">
        <v>521</v>
      </c>
      <c r="E12" s="901" t="s">
        <v>593</v>
      </c>
      <c r="F12" s="903" t="s">
        <v>455</v>
      </c>
      <c r="G12" s="901" t="s">
        <v>440</v>
      </c>
      <c r="H12" s="901" t="s">
        <v>75</v>
      </c>
      <c r="I12" s="903" t="s">
        <v>465</v>
      </c>
      <c r="J12" s="901" t="s">
        <v>76</v>
      </c>
      <c r="K12" s="901" t="s">
        <v>531</v>
      </c>
      <c r="L12" s="893" t="s">
        <v>77</v>
      </c>
    </row>
    <row r="13" spans="1:245" ht="14.45" customHeight="1">
      <c r="A13" s="900"/>
      <c r="B13" s="900"/>
      <c r="C13" s="900"/>
      <c r="D13" s="902"/>
      <c r="E13" s="902"/>
      <c r="F13" s="904"/>
      <c r="G13" s="902"/>
      <c r="H13" s="902"/>
      <c r="I13" s="904"/>
      <c r="J13" s="902"/>
      <c r="K13" s="902"/>
      <c r="L13" s="894"/>
    </row>
    <row r="14" spans="1:245" ht="14.45" customHeight="1">
      <c r="A14" s="900"/>
      <c r="B14" s="900"/>
      <c r="C14" s="900"/>
      <c r="D14" s="902"/>
      <c r="E14" s="902"/>
      <c r="F14" s="904"/>
      <c r="G14" s="902"/>
      <c r="H14" s="902"/>
      <c r="I14" s="904"/>
      <c r="J14" s="902"/>
      <c r="K14" s="902"/>
      <c r="L14" s="894"/>
    </row>
    <row r="15" spans="1:245" ht="19.899999999999999" customHeight="1">
      <c r="A15" s="900"/>
      <c r="B15" s="900"/>
      <c r="C15" s="900"/>
      <c r="D15" s="902"/>
      <c r="E15" s="902"/>
      <c r="F15" s="905"/>
      <c r="G15" s="902"/>
      <c r="H15" s="902"/>
      <c r="I15" s="905"/>
      <c r="J15" s="902"/>
      <c r="K15" s="902"/>
      <c r="L15" s="894"/>
    </row>
    <row r="16" spans="1:245" ht="14.25">
      <c r="A16" s="41" t="s">
        <v>66</v>
      </c>
      <c r="B16" s="895" t="s">
        <v>438</v>
      </c>
      <c r="C16" s="896"/>
      <c r="D16" s="896"/>
      <c r="E16" s="896"/>
      <c r="F16" s="896"/>
      <c r="G16" s="896"/>
      <c r="H16" s="897"/>
      <c r="I16" s="234"/>
      <c r="J16" s="73">
        <f>J17</f>
        <v>267.34800000000001</v>
      </c>
      <c r="K16" s="73">
        <f>K17</f>
        <v>0</v>
      </c>
      <c r="L16" s="412">
        <f>SUM(J16:K16)</f>
        <v>267.34800000000001</v>
      </c>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row>
    <row r="17" spans="1:245" ht="25.5">
      <c r="A17" s="28">
        <v>1</v>
      </c>
      <c r="B17" s="226" t="s">
        <v>436</v>
      </c>
      <c r="C17" s="29" t="s">
        <v>579</v>
      </c>
      <c r="D17" s="39">
        <f>$I$9</f>
        <v>3.5</v>
      </c>
      <c r="E17" s="39">
        <f>$L$11</f>
        <v>0.5</v>
      </c>
      <c r="F17" s="39">
        <f>1.206+1.36+1.32+23.703+6.531+4.7+1</f>
        <v>39.82</v>
      </c>
      <c r="G17" s="39">
        <f>2.604+6.57+0.5+3.143+3+5.1+1.1</f>
        <v>22.017000000000003</v>
      </c>
      <c r="H17" s="39">
        <v>4</v>
      </c>
      <c r="I17" s="39">
        <v>0.5</v>
      </c>
      <c r="J17" s="39">
        <f>(SUM(D17:G17)*H17)+(I17*2*H17)</f>
        <v>267.34800000000001</v>
      </c>
      <c r="K17" s="40"/>
      <c r="L17" s="413"/>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row>
    <row r="18" spans="1:245" ht="14.25">
      <c r="A18" s="41" t="s">
        <v>65</v>
      </c>
      <c r="B18" s="895" t="s">
        <v>439</v>
      </c>
      <c r="C18" s="896"/>
      <c r="D18" s="896"/>
      <c r="E18" s="896"/>
      <c r="F18" s="896"/>
      <c r="G18" s="896"/>
      <c r="H18" s="897"/>
      <c r="I18" s="234"/>
      <c r="J18" s="73">
        <f>J19</f>
        <v>66.837000000000003</v>
      </c>
      <c r="K18" s="73">
        <f>K19</f>
        <v>0</v>
      </c>
      <c r="L18" s="412">
        <f>SUM(J18:K18)</f>
        <v>66.837000000000003</v>
      </c>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row>
    <row r="19" spans="1:245" ht="25.5">
      <c r="A19" s="28">
        <v>1</v>
      </c>
      <c r="B19" s="226" t="s">
        <v>436</v>
      </c>
      <c r="C19" s="29" t="s">
        <v>579</v>
      </c>
      <c r="D19" s="39">
        <f>$I$9</f>
        <v>3.5</v>
      </c>
      <c r="E19" s="39">
        <f>$L$11</f>
        <v>0.5</v>
      </c>
      <c r="F19" s="39">
        <f>1.206+1.36+1.32+23.703+6.531+4.7+1</f>
        <v>39.82</v>
      </c>
      <c r="G19" s="39">
        <f>2.604+6.57+0.5+3.143+3+5.1+1.1</f>
        <v>22.017000000000003</v>
      </c>
      <c r="H19" s="39">
        <v>1</v>
      </c>
      <c r="I19" s="39">
        <v>0.5</v>
      </c>
      <c r="J19" s="39">
        <f>SUM(D19:G19)*H19+I19*2*H19</f>
        <v>66.837000000000003</v>
      </c>
      <c r="K19" s="40"/>
      <c r="L19" s="413"/>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c r="BY19" s="30"/>
      <c r="BZ19" s="30"/>
      <c r="CA19" s="30"/>
      <c r="CB19" s="30"/>
      <c r="CC19" s="30"/>
      <c r="CD19" s="30"/>
      <c r="CE19" s="30"/>
      <c r="CF19" s="30"/>
      <c r="CG19" s="30"/>
      <c r="CH19" s="30"/>
      <c r="CI19" s="30"/>
      <c r="CJ19" s="30"/>
      <c r="CK19" s="30"/>
      <c r="CL19" s="30"/>
      <c r="CM19" s="30"/>
      <c r="CN19" s="30"/>
      <c r="CO19" s="30"/>
      <c r="CP19" s="30"/>
      <c r="CQ19" s="30"/>
      <c r="CR19" s="30"/>
      <c r="CS19" s="30"/>
      <c r="CT19" s="30"/>
      <c r="CU19" s="30"/>
      <c r="CV19" s="30"/>
      <c r="CW19" s="30"/>
      <c r="CX19" s="30"/>
      <c r="CY19" s="30"/>
      <c r="CZ19" s="30"/>
      <c r="DA19" s="30"/>
      <c r="DB19" s="30"/>
      <c r="DC19" s="30"/>
      <c r="DD19" s="30"/>
      <c r="DE19" s="30"/>
      <c r="DF19" s="30"/>
      <c r="DG19" s="30"/>
      <c r="DH19" s="30"/>
      <c r="DI19" s="30"/>
      <c r="DJ19" s="30"/>
      <c r="DK19" s="30"/>
      <c r="DL19" s="30"/>
      <c r="DM19" s="30"/>
      <c r="DN19" s="30"/>
      <c r="DO19" s="30"/>
      <c r="DP19" s="30"/>
      <c r="DQ19" s="30"/>
      <c r="DR19" s="30"/>
      <c r="DS19" s="30"/>
      <c r="DT19" s="30"/>
      <c r="DU19" s="30"/>
      <c r="DV19" s="30"/>
      <c r="DW19" s="30"/>
      <c r="DX19" s="30"/>
      <c r="DY19" s="30"/>
      <c r="DZ19" s="30"/>
      <c r="EA19" s="30"/>
      <c r="EB19" s="30"/>
      <c r="EC19" s="30"/>
      <c r="ED19" s="30"/>
      <c r="EE19" s="30"/>
      <c r="EF19" s="30"/>
      <c r="EG19" s="30"/>
      <c r="EH19" s="30"/>
      <c r="EI19" s="30"/>
      <c r="EJ19" s="30"/>
      <c r="EK19" s="30"/>
      <c r="EL19" s="30"/>
      <c r="EM19" s="30"/>
      <c r="EN19" s="30"/>
      <c r="EO19" s="30"/>
      <c r="EP19" s="30"/>
      <c r="EQ19" s="30"/>
      <c r="ER19" s="30"/>
      <c r="ES19" s="30"/>
      <c r="ET19" s="30"/>
      <c r="EU19" s="30"/>
      <c r="EV19" s="30"/>
      <c r="EW19" s="30"/>
      <c r="EX19" s="30"/>
      <c r="EY19" s="30"/>
      <c r="EZ19" s="30"/>
      <c r="FA19" s="30"/>
      <c r="FB19" s="30"/>
      <c r="FC19" s="30"/>
      <c r="FD19" s="30"/>
      <c r="FE19" s="30"/>
      <c r="FF19" s="30"/>
      <c r="FG19" s="30"/>
      <c r="FH19" s="30"/>
      <c r="FI19" s="30"/>
      <c r="FJ19" s="30"/>
      <c r="FK19" s="30"/>
      <c r="FL19" s="30"/>
      <c r="FM19" s="30"/>
      <c r="FN19" s="30"/>
      <c r="FO19" s="30"/>
      <c r="FP19" s="30"/>
      <c r="FQ19" s="30"/>
      <c r="FR19" s="30"/>
      <c r="FS19" s="30"/>
      <c r="FT19" s="30"/>
      <c r="FU19" s="30"/>
      <c r="FV19" s="30"/>
      <c r="FW19" s="30"/>
      <c r="FX19" s="30"/>
      <c r="FY19" s="30"/>
      <c r="FZ19" s="30"/>
      <c r="GA19" s="30"/>
      <c r="GB19" s="30"/>
      <c r="GC19" s="30"/>
      <c r="GD19" s="30"/>
      <c r="GE19" s="30"/>
      <c r="GF19" s="30"/>
      <c r="GG19" s="30"/>
      <c r="GH19" s="30"/>
      <c r="GI19" s="30"/>
      <c r="GJ19" s="30"/>
      <c r="GK19" s="30"/>
      <c r="GL19" s="30"/>
      <c r="GM19" s="30"/>
      <c r="GN19" s="30"/>
      <c r="GO19" s="30"/>
      <c r="GP19" s="30"/>
      <c r="GQ19" s="30"/>
      <c r="GR19" s="30"/>
      <c r="GS19" s="30"/>
      <c r="GT19" s="30"/>
      <c r="GU19" s="30"/>
      <c r="GV19" s="30"/>
      <c r="GW19" s="30"/>
      <c r="GX19" s="30"/>
      <c r="GY19" s="30"/>
      <c r="GZ19" s="30"/>
      <c r="HA19" s="30"/>
      <c r="HB19" s="30"/>
      <c r="HC19" s="30"/>
      <c r="HD19" s="30"/>
      <c r="HE19" s="30"/>
      <c r="HF19" s="30"/>
      <c r="HG19" s="30"/>
      <c r="HH19" s="30"/>
      <c r="HI19" s="30"/>
      <c r="HJ19" s="30"/>
      <c r="HK19" s="30"/>
      <c r="HL19" s="30"/>
      <c r="HM19" s="30"/>
      <c r="HN19" s="30"/>
      <c r="HO19" s="30"/>
      <c r="HP19" s="30"/>
      <c r="HQ19" s="30"/>
      <c r="HR19" s="30"/>
      <c r="HS19" s="30"/>
      <c r="HT19" s="30"/>
      <c r="HU19" s="30"/>
      <c r="HV19" s="30"/>
      <c r="HW19" s="30"/>
      <c r="HX19" s="30"/>
      <c r="HY19" s="30"/>
      <c r="HZ19" s="30"/>
      <c r="IA19" s="30"/>
      <c r="IB19" s="30"/>
      <c r="IC19" s="30"/>
      <c r="ID19" s="30"/>
      <c r="IE19" s="30"/>
      <c r="IF19" s="30"/>
      <c r="IG19" s="30"/>
      <c r="IH19" s="30"/>
      <c r="II19" s="30"/>
      <c r="IJ19" s="30"/>
      <c r="IK19" s="30"/>
    </row>
    <row r="20" spans="1:245" ht="14.25">
      <c r="A20" s="41" t="s">
        <v>64</v>
      </c>
      <c r="B20" s="229" t="s">
        <v>441</v>
      </c>
      <c r="C20" s="230"/>
      <c r="D20" s="231"/>
      <c r="E20" s="229"/>
      <c r="F20" s="230"/>
      <c r="G20" s="231"/>
      <c r="H20" s="898"/>
      <c r="I20" s="899"/>
      <c r="J20" s="73">
        <f>J21</f>
        <v>38.174999999999997</v>
      </c>
      <c r="K20" s="73">
        <f>K21</f>
        <v>0</v>
      </c>
      <c r="L20" s="412">
        <f>SUM(J20:K20)</f>
        <v>38.174999999999997</v>
      </c>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0"/>
      <c r="CK20" s="30"/>
      <c r="CL20" s="30"/>
      <c r="CM20" s="30"/>
      <c r="CN20" s="30"/>
      <c r="CO20" s="30"/>
      <c r="CP20" s="30"/>
      <c r="CQ20" s="30"/>
      <c r="CR20" s="30"/>
      <c r="CS20" s="30"/>
      <c r="CT20" s="30"/>
      <c r="CU20" s="30"/>
      <c r="CV20" s="30"/>
      <c r="CW20" s="30"/>
      <c r="CX20" s="30"/>
      <c r="CY20" s="30"/>
      <c r="CZ20" s="30"/>
      <c r="DA20" s="30"/>
      <c r="DB20" s="30"/>
      <c r="DC20" s="30"/>
      <c r="DD20" s="30"/>
      <c r="DE20" s="30"/>
      <c r="DF20" s="30"/>
      <c r="DG20" s="30"/>
      <c r="DH20" s="30"/>
      <c r="DI20" s="30"/>
      <c r="DJ20" s="30"/>
      <c r="DK20" s="30"/>
      <c r="DL20" s="30"/>
      <c r="DM20" s="30"/>
      <c r="DN20" s="30"/>
      <c r="DO20" s="30"/>
      <c r="DP20" s="30"/>
      <c r="DQ20" s="30"/>
      <c r="DR20" s="30"/>
      <c r="DS20" s="30"/>
      <c r="DT20" s="30"/>
      <c r="DU20" s="30"/>
      <c r="DV20" s="30"/>
      <c r="DW20" s="30"/>
      <c r="DX20" s="30"/>
      <c r="DY20" s="30"/>
      <c r="DZ20" s="30"/>
      <c r="EA20" s="30"/>
      <c r="EB20" s="30"/>
      <c r="EC20" s="30"/>
      <c r="ED20" s="30"/>
      <c r="EE20" s="30"/>
      <c r="EF20" s="30"/>
      <c r="EG20" s="30"/>
      <c r="EH20" s="30"/>
      <c r="EI20" s="30"/>
      <c r="EJ20" s="30"/>
      <c r="EK20" s="30"/>
      <c r="EL20" s="30"/>
      <c r="EM20" s="30"/>
      <c r="EN20" s="30"/>
      <c r="EO20" s="30"/>
      <c r="EP20" s="30"/>
      <c r="EQ20" s="30"/>
      <c r="ER20" s="30"/>
      <c r="ES20" s="30"/>
      <c r="ET20" s="30"/>
      <c r="EU20" s="30"/>
      <c r="EV20" s="30"/>
      <c r="EW20" s="30"/>
      <c r="EX20" s="30"/>
      <c r="EY20" s="30"/>
      <c r="EZ20" s="30"/>
      <c r="FA20" s="30"/>
      <c r="FB20" s="30"/>
      <c r="FC20" s="30"/>
      <c r="FD20" s="30"/>
      <c r="FE20" s="30"/>
      <c r="FF20" s="30"/>
      <c r="FG20" s="30"/>
      <c r="FH20" s="30"/>
      <c r="FI20" s="30"/>
      <c r="FJ20" s="30"/>
      <c r="FK20" s="30"/>
      <c r="FL20" s="30"/>
      <c r="FM20" s="30"/>
      <c r="FN20" s="30"/>
      <c r="FO20" s="30"/>
      <c r="FP20" s="30"/>
      <c r="FQ20" s="30"/>
      <c r="FR20" s="30"/>
      <c r="FS20" s="30"/>
      <c r="FT20" s="30"/>
      <c r="FU20" s="30"/>
      <c r="FV20" s="30"/>
      <c r="FW20" s="30"/>
      <c r="FX20" s="30"/>
      <c r="FY20" s="30"/>
      <c r="FZ20" s="30"/>
      <c r="GA20" s="30"/>
      <c r="GB20" s="30"/>
      <c r="GC20" s="30"/>
      <c r="GD20" s="30"/>
      <c r="GE20" s="30"/>
      <c r="GF20" s="30"/>
      <c r="GG20" s="30"/>
      <c r="GH20" s="30"/>
      <c r="GI20" s="30"/>
      <c r="GJ20" s="30"/>
      <c r="GK20" s="30"/>
      <c r="GL20" s="30"/>
      <c r="GM20" s="30"/>
      <c r="GN20" s="30"/>
      <c r="GO20" s="30"/>
      <c r="GP20" s="30"/>
      <c r="GQ20" s="30"/>
      <c r="GR20" s="30"/>
      <c r="GS20" s="30"/>
      <c r="GT20" s="30"/>
      <c r="GU20" s="30"/>
      <c r="GV20" s="30"/>
      <c r="GW20" s="30"/>
      <c r="GX20" s="30"/>
      <c r="GY20" s="30"/>
      <c r="GZ20" s="30"/>
      <c r="HA20" s="30"/>
      <c r="HB20" s="30"/>
      <c r="HC20" s="30"/>
      <c r="HD20" s="30"/>
      <c r="HE20" s="30"/>
      <c r="HF20" s="30"/>
      <c r="HG20" s="30"/>
      <c r="HH20" s="30"/>
      <c r="HI20" s="30"/>
      <c r="HJ20" s="30"/>
      <c r="HK20" s="30"/>
      <c r="HL20" s="30"/>
      <c r="HM20" s="30"/>
      <c r="HN20" s="30"/>
      <c r="HO20" s="30"/>
      <c r="HP20" s="30"/>
      <c r="HQ20" s="30"/>
      <c r="HR20" s="30"/>
      <c r="HS20" s="30"/>
      <c r="HT20" s="30"/>
      <c r="HU20" s="30"/>
      <c r="HV20" s="30"/>
      <c r="HW20" s="30"/>
      <c r="HX20" s="30"/>
      <c r="HY20" s="30"/>
      <c r="HZ20" s="30"/>
      <c r="IA20" s="30"/>
      <c r="IB20" s="30"/>
      <c r="IC20" s="30"/>
      <c r="ID20" s="30"/>
      <c r="IE20" s="30"/>
      <c r="IF20" s="30"/>
      <c r="IG20" s="30"/>
      <c r="IH20" s="30"/>
      <c r="II20" s="30"/>
      <c r="IJ20" s="30"/>
      <c r="IK20" s="30"/>
    </row>
    <row r="21" spans="1:245" ht="25.5">
      <c r="A21" s="28">
        <v>1</v>
      </c>
      <c r="B21" s="226" t="s">
        <v>436</v>
      </c>
      <c r="C21" s="29" t="s">
        <v>579</v>
      </c>
      <c r="D21" s="39"/>
      <c r="E21" s="39"/>
      <c r="F21" s="39"/>
      <c r="G21" s="39">
        <f>(5.716*2+3.143+5.1)+(6.8+11)+0.7</f>
        <v>38.174999999999997</v>
      </c>
      <c r="H21" s="39">
        <v>1</v>
      </c>
      <c r="I21" s="39"/>
      <c r="J21" s="39">
        <f>SUM(D21:G21)*H21+I21*2*H21</f>
        <v>38.174999999999997</v>
      </c>
      <c r="K21" s="40"/>
      <c r="L21" s="413"/>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c r="BY21" s="30"/>
      <c r="BZ21" s="30"/>
      <c r="CA21" s="30"/>
      <c r="CB21" s="30"/>
      <c r="CC21" s="30"/>
      <c r="CD21" s="30"/>
      <c r="CE21" s="30"/>
      <c r="CF21" s="30"/>
      <c r="CG21" s="30"/>
      <c r="CH21" s="30"/>
      <c r="CI21" s="30"/>
      <c r="CJ21" s="30"/>
      <c r="CK21" s="30"/>
      <c r="CL21" s="30"/>
      <c r="CM21" s="30"/>
      <c r="CN21" s="30"/>
      <c r="CO21" s="30"/>
      <c r="CP21" s="30"/>
      <c r="CQ21" s="30"/>
      <c r="CR21" s="30"/>
      <c r="CS21" s="30"/>
      <c r="CT21" s="30"/>
      <c r="CU21" s="30"/>
      <c r="CV21" s="30"/>
      <c r="CW21" s="30"/>
      <c r="CX21" s="30"/>
      <c r="CY21" s="30"/>
      <c r="CZ21" s="30"/>
      <c r="DA21" s="30"/>
      <c r="DB21" s="30"/>
      <c r="DC21" s="30"/>
      <c r="DD21" s="30"/>
      <c r="DE21" s="30"/>
      <c r="DF21" s="30"/>
      <c r="DG21" s="30"/>
      <c r="DH21" s="30"/>
      <c r="DI21" s="30"/>
      <c r="DJ21" s="30"/>
      <c r="DK21" s="30"/>
      <c r="DL21" s="30"/>
      <c r="DM21" s="30"/>
      <c r="DN21" s="30"/>
      <c r="DO21" s="30"/>
      <c r="DP21" s="30"/>
      <c r="DQ21" s="30"/>
      <c r="DR21" s="30"/>
      <c r="DS21" s="30"/>
      <c r="DT21" s="30"/>
      <c r="DU21" s="30"/>
      <c r="DV21" s="30"/>
      <c r="DW21" s="30"/>
      <c r="DX21" s="30"/>
      <c r="DY21" s="30"/>
      <c r="DZ21" s="30"/>
      <c r="EA21" s="30"/>
      <c r="EB21" s="30"/>
      <c r="EC21" s="30"/>
      <c r="ED21" s="30"/>
      <c r="EE21" s="30"/>
      <c r="EF21" s="30"/>
      <c r="EG21" s="30"/>
      <c r="EH21" s="30"/>
      <c r="EI21" s="30"/>
      <c r="EJ21" s="30"/>
      <c r="EK21" s="30"/>
      <c r="EL21" s="30"/>
      <c r="EM21" s="30"/>
      <c r="EN21" s="30"/>
      <c r="EO21" s="30"/>
      <c r="EP21" s="30"/>
      <c r="EQ21" s="30"/>
      <c r="ER21" s="30"/>
      <c r="ES21" s="30"/>
      <c r="ET21" s="30"/>
      <c r="EU21" s="30"/>
      <c r="EV21" s="30"/>
      <c r="EW21" s="30"/>
      <c r="EX21" s="30"/>
      <c r="EY21" s="30"/>
      <c r="EZ21" s="30"/>
      <c r="FA21" s="30"/>
      <c r="FB21" s="30"/>
      <c r="FC21" s="30"/>
      <c r="FD21" s="30"/>
      <c r="FE21" s="30"/>
      <c r="FF21" s="30"/>
      <c r="FG21" s="30"/>
      <c r="FH21" s="30"/>
      <c r="FI21" s="30"/>
      <c r="FJ21" s="30"/>
      <c r="FK21" s="30"/>
      <c r="FL21" s="30"/>
      <c r="FM21" s="30"/>
      <c r="FN21" s="30"/>
      <c r="FO21" s="30"/>
      <c r="FP21" s="30"/>
      <c r="FQ21" s="30"/>
      <c r="FR21" s="30"/>
      <c r="FS21" s="30"/>
      <c r="FT21" s="30"/>
      <c r="FU21" s="30"/>
      <c r="FV21" s="30"/>
      <c r="FW21" s="30"/>
      <c r="FX21" s="30"/>
      <c r="FY21" s="30"/>
      <c r="FZ21" s="30"/>
      <c r="GA21" s="30"/>
      <c r="GB21" s="30"/>
      <c r="GC21" s="30"/>
      <c r="GD21" s="30"/>
      <c r="GE21" s="30"/>
      <c r="GF21" s="30"/>
      <c r="GG21" s="30"/>
      <c r="GH21" s="30"/>
      <c r="GI21" s="30"/>
      <c r="GJ21" s="30"/>
      <c r="GK21" s="30"/>
      <c r="GL21" s="30"/>
      <c r="GM21" s="30"/>
      <c r="GN21" s="30"/>
      <c r="GO21" s="30"/>
      <c r="GP21" s="30"/>
      <c r="GQ21" s="30"/>
      <c r="GR21" s="30"/>
      <c r="GS21" s="30"/>
      <c r="GT21" s="30"/>
      <c r="GU21" s="30"/>
      <c r="GV21" s="30"/>
      <c r="GW21" s="30"/>
      <c r="GX21" s="30"/>
      <c r="GY21" s="30"/>
      <c r="GZ21" s="30"/>
      <c r="HA21" s="30"/>
      <c r="HB21" s="30"/>
      <c r="HC21" s="30"/>
      <c r="HD21" s="30"/>
      <c r="HE21" s="30"/>
      <c r="HF21" s="30"/>
      <c r="HG21" s="30"/>
      <c r="HH21" s="30"/>
      <c r="HI21" s="30"/>
      <c r="HJ21" s="30"/>
      <c r="HK21" s="30"/>
      <c r="HL21" s="30"/>
      <c r="HM21" s="30"/>
      <c r="HN21" s="30"/>
      <c r="HO21" s="30"/>
      <c r="HP21" s="30"/>
      <c r="HQ21" s="30"/>
      <c r="HR21" s="30"/>
      <c r="HS21" s="30"/>
      <c r="HT21" s="30"/>
      <c r="HU21" s="30"/>
      <c r="HV21" s="30"/>
      <c r="HW21" s="30"/>
      <c r="HX21" s="30"/>
      <c r="HY21" s="30"/>
      <c r="HZ21" s="30"/>
      <c r="IA21" s="30"/>
      <c r="IB21" s="30"/>
      <c r="IC21" s="30"/>
      <c r="ID21" s="30"/>
      <c r="IE21" s="30"/>
      <c r="IF21" s="30"/>
      <c r="IG21" s="30"/>
      <c r="IH21" s="30"/>
      <c r="II21" s="30"/>
      <c r="IJ21" s="30"/>
      <c r="IK21" s="30"/>
    </row>
    <row r="22" spans="1:245" ht="14.25">
      <c r="A22" s="41" t="s">
        <v>78</v>
      </c>
      <c r="B22" s="895" t="s">
        <v>510</v>
      </c>
      <c r="C22" s="896"/>
      <c r="D22" s="896"/>
      <c r="E22" s="896"/>
      <c r="F22" s="896"/>
      <c r="G22" s="896"/>
      <c r="H22" s="897"/>
      <c r="I22" s="234"/>
      <c r="J22" s="73">
        <f>SUM(J23:J24)</f>
        <v>89.024000000000001</v>
      </c>
      <c r="K22" s="73"/>
      <c r="L22" s="412">
        <f>SUM(J22:K22)</f>
        <v>89.024000000000001</v>
      </c>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c r="BY22" s="30"/>
      <c r="BZ22" s="30"/>
      <c r="CA22" s="30"/>
      <c r="CB22" s="30"/>
      <c r="CC22" s="30"/>
      <c r="CD22" s="30"/>
      <c r="CE22" s="30"/>
      <c r="CF22" s="30"/>
      <c r="CG22" s="30"/>
      <c r="CH22" s="30"/>
      <c r="CI22" s="30"/>
      <c r="CJ22" s="30"/>
      <c r="CK22" s="30"/>
      <c r="CL22" s="30"/>
      <c r="CM22" s="30"/>
      <c r="CN22" s="30"/>
      <c r="CO22" s="30"/>
      <c r="CP22" s="30"/>
      <c r="CQ22" s="30"/>
      <c r="CR22" s="30"/>
      <c r="CS22" s="30"/>
      <c r="CT22" s="30"/>
      <c r="CU22" s="30"/>
      <c r="CV22" s="30"/>
      <c r="CW22" s="30"/>
      <c r="CX22" s="30"/>
      <c r="CY22" s="30"/>
      <c r="CZ22" s="30"/>
      <c r="DA22" s="30"/>
      <c r="DB22" s="30"/>
      <c r="DC22" s="30"/>
      <c r="DD22" s="30"/>
      <c r="DE22" s="30"/>
      <c r="DF22" s="30"/>
      <c r="DG22" s="30"/>
      <c r="DH22" s="30"/>
      <c r="DI22" s="30"/>
      <c r="DJ22" s="30"/>
      <c r="DK22" s="30"/>
      <c r="DL22" s="30"/>
      <c r="DM22" s="30"/>
      <c r="DN22" s="30"/>
      <c r="DO22" s="30"/>
      <c r="DP22" s="30"/>
      <c r="DQ22" s="30"/>
      <c r="DR22" s="30"/>
      <c r="DS22" s="30"/>
      <c r="DT22" s="30"/>
      <c r="DU22" s="30"/>
      <c r="DV22" s="30"/>
      <c r="DW22" s="30"/>
      <c r="DX22" s="30"/>
      <c r="DY22" s="30"/>
      <c r="DZ22" s="30"/>
      <c r="EA22" s="30"/>
      <c r="EB22" s="30"/>
      <c r="EC22" s="30"/>
      <c r="ED22" s="30"/>
      <c r="EE22" s="30"/>
      <c r="EF22" s="30"/>
      <c r="EG22" s="30"/>
      <c r="EH22" s="30"/>
      <c r="EI22" s="30"/>
      <c r="EJ22" s="30"/>
      <c r="EK22" s="30"/>
      <c r="EL22" s="30"/>
      <c r="EM22" s="30"/>
      <c r="EN22" s="30"/>
      <c r="EO22" s="30"/>
      <c r="EP22" s="30"/>
      <c r="EQ22" s="30"/>
      <c r="ER22" s="30"/>
      <c r="ES22" s="30"/>
      <c r="ET22" s="30"/>
      <c r="EU22" s="30"/>
      <c r="EV22" s="30"/>
      <c r="EW22" s="30"/>
      <c r="EX22" s="30"/>
      <c r="EY22" s="30"/>
      <c r="EZ22" s="30"/>
      <c r="FA22" s="30"/>
      <c r="FB22" s="30"/>
      <c r="FC22" s="30"/>
      <c r="FD22" s="30"/>
      <c r="FE22" s="30"/>
      <c r="FF22" s="30"/>
      <c r="FG22" s="30"/>
      <c r="FH22" s="30"/>
      <c r="FI22" s="30"/>
      <c r="FJ22" s="30"/>
      <c r="FK22" s="30"/>
      <c r="FL22" s="30"/>
      <c r="FM22" s="30"/>
      <c r="FN22" s="30"/>
      <c r="FO22" s="30"/>
      <c r="FP22" s="30"/>
      <c r="FQ22" s="30"/>
      <c r="FR22" s="30"/>
      <c r="FS22" s="30"/>
      <c r="FT22" s="30"/>
      <c r="FU22" s="30"/>
      <c r="FV22" s="30"/>
      <c r="FW22" s="30"/>
      <c r="FX22" s="30"/>
      <c r="FY22" s="30"/>
      <c r="FZ22" s="30"/>
      <c r="GA22" s="30"/>
      <c r="GB22" s="30"/>
      <c r="GC22" s="30"/>
      <c r="GD22" s="30"/>
      <c r="GE22" s="30"/>
      <c r="GF22" s="30"/>
      <c r="GG22" s="30"/>
      <c r="GH22" s="30"/>
      <c r="GI22" s="30"/>
      <c r="GJ22" s="30"/>
      <c r="GK22" s="30"/>
      <c r="GL22" s="30"/>
      <c r="GM22" s="30"/>
      <c r="GN22" s="30"/>
      <c r="GO22" s="30"/>
      <c r="GP22" s="30"/>
      <c r="GQ22" s="30"/>
      <c r="GR22" s="30"/>
      <c r="GS22" s="30"/>
      <c r="GT22" s="30"/>
      <c r="GU22" s="30"/>
      <c r="GV22" s="30"/>
      <c r="GW22" s="30"/>
      <c r="GX22" s="30"/>
      <c r="GY22" s="30"/>
      <c r="GZ22" s="30"/>
      <c r="HA22" s="30"/>
      <c r="HB22" s="30"/>
      <c r="HC22" s="30"/>
      <c r="HD22" s="30"/>
      <c r="HE22" s="30"/>
      <c r="HF22" s="30"/>
      <c r="HG22" s="30"/>
      <c r="HH22" s="30"/>
      <c r="HI22" s="30"/>
      <c r="HJ22" s="30"/>
      <c r="HK22" s="30"/>
      <c r="HL22" s="30"/>
      <c r="HM22" s="30"/>
      <c r="HN22" s="30"/>
      <c r="HO22" s="30"/>
      <c r="HP22" s="30"/>
      <c r="HQ22" s="30"/>
      <c r="HR22" s="30"/>
      <c r="HS22" s="30"/>
      <c r="HT22" s="30"/>
      <c r="HU22" s="30"/>
      <c r="HV22" s="30"/>
      <c r="HW22" s="30"/>
      <c r="HX22" s="30"/>
      <c r="HY22" s="30"/>
      <c r="HZ22" s="30"/>
      <c r="IA22" s="30"/>
      <c r="IB22" s="30"/>
      <c r="IC22" s="30"/>
      <c r="ID22" s="30"/>
      <c r="IE22" s="30"/>
      <c r="IF22" s="30"/>
      <c r="IG22" s="30"/>
      <c r="IH22" s="30"/>
      <c r="II22" s="30"/>
      <c r="IJ22" s="30"/>
      <c r="IK22" s="30"/>
    </row>
    <row r="23" spans="1:245" ht="25.5">
      <c r="A23" s="28">
        <v>1</v>
      </c>
      <c r="B23" s="261" t="s">
        <v>512</v>
      </c>
      <c r="C23" s="390" t="s">
        <v>854</v>
      </c>
      <c r="D23" s="263">
        <f>$I$9</f>
        <v>3.5</v>
      </c>
      <c r="E23" s="39">
        <f>1.4</f>
        <v>1.4</v>
      </c>
      <c r="F23" s="39">
        <f>(1.23+1.753+0.268)+5</f>
        <v>8.2509999999999994</v>
      </c>
      <c r="G23" s="39"/>
      <c r="H23" s="39">
        <v>4</v>
      </c>
      <c r="I23" s="39">
        <v>0.5</v>
      </c>
      <c r="J23" s="39">
        <f>SUM(D23:G23)*H23+0.2*2*H23</f>
        <v>54.204000000000001</v>
      </c>
      <c r="K23" s="40"/>
      <c r="L23" s="413"/>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c r="BY23" s="30"/>
      <c r="BZ23" s="30"/>
      <c r="CA23" s="30"/>
      <c r="CB23" s="30"/>
      <c r="CC23" s="30"/>
      <c r="CD23" s="30"/>
      <c r="CE23" s="30"/>
      <c r="CF23" s="30"/>
      <c r="CG23" s="30"/>
      <c r="CH23" s="30"/>
      <c r="CI23" s="30"/>
      <c r="CJ23" s="30"/>
      <c r="CK23" s="30"/>
      <c r="CL23" s="30"/>
      <c r="CM23" s="30"/>
      <c r="CN23" s="30"/>
      <c r="CO23" s="30"/>
      <c r="CP23" s="30"/>
      <c r="CQ23" s="30"/>
      <c r="CR23" s="30"/>
      <c r="CS23" s="30"/>
      <c r="CT23" s="30"/>
      <c r="CU23" s="30"/>
      <c r="CV23" s="30"/>
      <c r="CW23" s="30"/>
      <c r="CX23" s="30"/>
      <c r="CY23" s="30"/>
      <c r="CZ23" s="30"/>
      <c r="DA23" s="30"/>
      <c r="DB23" s="30"/>
      <c r="DC23" s="30"/>
      <c r="DD23" s="30"/>
      <c r="DE23" s="30"/>
      <c r="DF23" s="30"/>
      <c r="DG23" s="30"/>
      <c r="DH23" s="30"/>
      <c r="DI23" s="30"/>
      <c r="DJ23" s="30"/>
      <c r="DK23" s="30"/>
      <c r="DL23" s="30"/>
      <c r="DM23" s="30"/>
      <c r="DN23" s="30"/>
      <c r="DO23" s="30"/>
      <c r="DP23" s="30"/>
      <c r="DQ23" s="30"/>
      <c r="DR23" s="30"/>
      <c r="DS23" s="30"/>
      <c r="DT23" s="30"/>
      <c r="DU23" s="30"/>
      <c r="DV23" s="30"/>
      <c r="DW23" s="30"/>
      <c r="DX23" s="30"/>
      <c r="DY23" s="30"/>
      <c r="DZ23" s="30"/>
      <c r="EA23" s="30"/>
      <c r="EB23" s="30"/>
      <c r="EC23" s="30"/>
      <c r="ED23" s="30"/>
      <c r="EE23" s="30"/>
      <c r="EF23" s="30"/>
      <c r="EG23" s="30"/>
      <c r="EH23" s="30"/>
      <c r="EI23" s="30"/>
      <c r="EJ23" s="30"/>
      <c r="EK23" s="30"/>
      <c r="EL23" s="30"/>
      <c r="EM23" s="30"/>
      <c r="EN23" s="30"/>
      <c r="EO23" s="30"/>
      <c r="EP23" s="30"/>
      <c r="EQ23" s="30"/>
      <c r="ER23" s="30"/>
      <c r="ES23" s="30"/>
      <c r="ET23" s="30"/>
      <c r="EU23" s="30"/>
      <c r="EV23" s="30"/>
      <c r="EW23" s="30"/>
      <c r="EX23" s="30"/>
      <c r="EY23" s="30"/>
      <c r="EZ23" s="30"/>
      <c r="FA23" s="30"/>
      <c r="FB23" s="30"/>
      <c r="FC23" s="30"/>
      <c r="FD23" s="30"/>
      <c r="FE23" s="30"/>
      <c r="FF23" s="30"/>
      <c r="FG23" s="30"/>
      <c r="FH23" s="30"/>
      <c r="FI23" s="30"/>
      <c r="FJ23" s="30"/>
      <c r="FK23" s="30"/>
      <c r="FL23" s="30"/>
      <c r="FM23" s="30"/>
      <c r="FN23" s="30"/>
      <c r="FO23" s="30"/>
      <c r="FP23" s="30"/>
      <c r="FQ23" s="30"/>
      <c r="FR23" s="30"/>
      <c r="FS23" s="30"/>
      <c r="FT23" s="30"/>
      <c r="FU23" s="30"/>
      <c r="FV23" s="30"/>
      <c r="FW23" s="30"/>
      <c r="FX23" s="30"/>
      <c r="FY23" s="30"/>
      <c r="FZ23" s="30"/>
      <c r="GA23" s="30"/>
      <c r="GB23" s="30"/>
      <c r="GC23" s="30"/>
      <c r="GD23" s="30"/>
      <c r="GE23" s="30"/>
      <c r="GF23" s="30"/>
      <c r="GG23" s="30"/>
      <c r="GH23" s="30"/>
      <c r="GI23" s="30"/>
      <c r="GJ23" s="30"/>
      <c r="GK23" s="30"/>
      <c r="GL23" s="30"/>
      <c r="GM23" s="30"/>
      <c r="GN23" s="30"/>
      <c r="GO23" s="30"/>
      <c r="GP23" s="30"/>
      <c r="GQ23" s="30"/>
      <c r="GR23" s="30"/>
      <c r="GS23" s="30"/>
      <c r="GT23" s="30"/>
      <c r="GU23" s="30"/>
      <c r="GV23" s="30"/>
      <c r="GW23" s="30"/>
      <c r="GX23" s="30"/>
      <c r="GY23" s="30"/>
      <c r="GZ23" s="30"/>
      <c r="HA23" s="30"/>
      <c r="HB23" s="30"/>
      <c r="HC23" s="30"/>
      <c r="HD23" s="30"/>
      <c r="HE23" s="30"/>
      <c r="HF23" s="30"/>
      <c r="HG23" s="30"/>
      <c r="HH23" s="30"/>
      <c r="HI23" s="30"/>
      <c r="HJ23" s="30"/>
      <c r="HK23" s="30"/>
      <c r="HL23" s="30"/>
      <c r="HM23" s="30"/>
      <c r="HN23" s="30"/>
      <c r="HO23" s="30"/>
      <c r="HP23" s="30"/>
      <c r="HQ23" s="30"/>
      <c r="HR23" s="30"/>
      <c r="HS23" s="30"/>
      <c r="HT23" s="30"/>
      <c r="HU23" s="30"/>
      <c r="HV23" s="30"/>
      <c r="HW23" s="30"/>
      <c r="HX23" s="30"/>
      <c r="HY23" s="30"/>
      <c r="HZ23" s="30"/>
      <c r="IA23" s="30"/>
      <c r="IB23" s="30"/>
      <c r="IC23" s="30"/>
      <c r="ID23" s="30"/>
      <c r="IE23" s="30"/>
      <c r="IF23" s="30"/>
      <c r="IG23" s="30"/>
      <c r="IH23" s="30"/>
      <c r="II23" s="30"/>
      <c r="IJ23" s="30"/>
      <c r="IK23" s="30"/>
    </row>
    <row r="24" spans="1:245" ht="25.5">
      <c r="A24" s="28"/>
      <c r="B24" s="261" t="s">
        <v>515</v>
      </c>
      <c r="C24" s="29" t="s">
        <v>555</v>
      </c>
      <c r="D24" s="262"/>
      <c r="E24" s="262"/>
      <c r="F24" s="262">
        <f>0.6+0.15+3.65*2+0.655</f>
        <v>8.7050000000000001</v>
      </c>
      <c r="G24" s="262"/>
      <c r="H24" s="263">
        <v>4</v>
      </c>
      <c r="I24" s="39"/>
      <c r="J24" s="39">
        <f>SUM(D24:G24)*H24+I24*2*H24</f>
        <v>34.82</v>
      </c>
      <c r="K24" s="40"/>
      <c r="L24" s="413"/>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c r="CE24" s="30"/>
      <c r="CF24" s="30"/>
      <c r="CG24" s="30"/>
      <c r="CH24" s="30"/>
      <c r="CI24" s="30"/>
      <c r="CJ24" s="30"/>
      <c r="CK24" s="30"/>
      <c r="CL24" s="30"/>
      <c r="CM24" s="30"/>
      <c r="CN24" s="30"/>
      <c r="CO24" s="30"/>
      <c r="CP24" s="30"/>
      <c r="CQ24" s="30"/>
      <c r="CR24" s="30"/>
      <c r="CS24" s="30"/>
      <c r="CT24" s="30"/>
      <c r="CU24" s="30"/>
      <c r="CV24" s="30"/>
      <c r="CW24" s="30"/>
      <c r="CX24" s="30"/>
      <c r="CY24" s="30"/>
      <c r="CZ24" s="30"/>
      <c r="DA24" s="30"/>
      <c r="DB24" s="30"/>
      <c r="DC24" s="30"/>
      <c r="DD24" s="30"/>
      <c r="DE24" s="30"/>
      <c r="DF24" s="30"/>
      <c r="DG24" s="30"/>
      <c r="DH24" s="30"/>
      <c r="DI24" s="30"/>
      <c r="DJ24" s="30"/>
      <c r="DK24" s="30"/>
      <c r="DL24" s="30"/>
      <c r="DM24" s="30"/>
      <c r="DN24" s="30"/>
      <c r="DO24" s="30"/>
      <c r="DP24" s="30"/>
      <c r="DQ24" s="30"/>
      <c r="DR24" s="30"/>
      <c r="DS24" s="30"/>
      <c r="DT24" s="30"/>
      <c r="DU24" s="30"/>
      <c r="DV24" s="30"/>
      <c r="DW24" s="30"/>
      <c r="DX24" s="30"/>
      <c r="DY24" s="30"/>
      <c r="DZ24" s="30"/>
      <c r="EA24" s="30"/>
      <c r="EB24" s="30"/>
      <c r="EC24" s="30"/>
      <c r="ED24" s="30"/>
      <c r="EE24" s="30"/>
      <c r="EF24" s="30"/>
      <c r="EG24" s="30"/>
      <c r="EH24" s="30"/>
      <c r="EI24" s="30"/>
      <c r="EJ24" s="30"/>
      <c r="EK24" s="30"/>
      <c r="EL24" s="30"/>
      <c r="EM24" s="30"/>
      <c r="EN24" s="30"/>
      <c r="EO24" s="30"/>
      <c r="EP24" s="30"/>
      <c r="EQ24" s="30"/>
      <c r="ER24" s="30"/>
      <c r="ES24" s="30"/>
      <c r="ET24" s="30"/>
      <c r="EU24" s="30"/>
      <c r="EV24" s="30"/>
      <c r="EW24" s="30"/>
      <c r="EX24" s="30"/>
      <c r="EY24" s="30"/>
      <c r="EZ24" s="30"/>
      <c r="FA24" s="30"/>
      <c r="FB24" s="30"/>
      <c r="FC24" s="30"/>
      <c r="FD24" s="30"/>
      <c r="FE24" s="30"/>
      <c r="FF24" s="30"/>
      <c r="FG24" s="30"/>
      <c r="FH24" s="30"/>
      <c r="FI24" s="30"/>
      <c r="FJ24" s="30"/>
      <c r="FK24" s="30"/>
      <c r="FL24" s="30"/>
      <c r="FM24" s="30"/>
      <c r="FN24" s="30"/>
      <c r="FO24" s="30"/>
      <c r="FP24" s="30"/>
      <c r="FQ24" s="30"/>
      <c r="FR24" s="30"/>
      <c r="FS24" s="30"/>
      <c r="FT24" s="30"/>
      <c r="FU24" s="30"/>
      <c r="FV24" s="30"/>
      <c r="FW24" s="30"/>
      <c r="FX24" s="30"/>
      <c r="FY24" s="30"/>
      <c r="FZ24" s="30"/>
      <c r="GA24" s="30"/>
      <c r="GB24" s="30"/>
      <c r="GC24" s="30"/>
      <c r="GD24" s="30"/>
      <c r="GE24" s="30"/>
      <c r="GF24" s="30"/>
      <c r="GG24" s="30"/>
      <c r="GH24" s="30"/>
      <c r="GI24" s="30"/>
      <c r="GJ24" s="30"/>
      <c r="GK24" s="30"/>
      <c r="GL24" s="30"/>
      <c r="GM24" s="30"/>
      <c r="GN24" s="30"/>
      <c r="GO24" s="30"/>
      <c r="GP24" s="30"/>
      <c r="GQ24" s="30"/>
      <c r="GR24" s="30"/>
      <c r="GS24" s="30"/>
      <c r="GT24" s="30"/>
      <c r="GU24" s="30"/>
      <c r="GV24" s="30"/>
      <c r="GW24" s="30"/>
      <c r="GX24" s="30"/>
      <c r="GY24" s="30"/>
      <c r="GZ24" s="30"/>
      <c r="HA24" s="30"/>
      <c r="HB24" s="30"/>
      <c r="HC24" s="30"/>
      <c r="HD24" s="30"/>
      <c r="HE24" s="30"/>
      <c r="HF24" s="30"/>
      <c r="HG24" s="30"/>
      <c r="HH24" s="30"/>
      <c r="HI24" s="30"/>
      <c r="HJ24" s="30"/>
      <c r="HK24" s="30"/>
      <c r="HL24" s="30"/>
      <c r="HM24" s="30"/>
      <c r="HN24" s="30"/>
      <c r="HO24" s="30"/>
      <c r="HP24" s="30"/>
      <c r="HQ24" s="30"/>
      <c r="HR24" s="30"/>
      <c r="HS24" s="30"/>
      <c r="HT24" s="30"/>
      <c r="HU24" s="30"/>
      <c r="HV24" s="30"/>
      <c r="HW24" s="30"/>
      <c r="HX24" s="30"/>
      <c r="HY24" s="30"/>
      <c r="HZ24" s="30"/>
      <c r="IA24" s="30"/>
      <c r="IB24" s="30"/>
      <c r="IC24" s="30"/>
      <c r="ID24" s="30"/>
      <c r="IE24" s="30"/>
      <c r="IF24" s="30"/>
      <c r="IG24" s="30"/>
      <c r="IH24" s="30"/>
      <c r="II24" s="30"/>
      <c r="IJ24" s="30"/>
      <c r="IK24" s="30"/>
    </row>
    <row r="25" spans="1:245" ht="14.25">
      <c r="A25" s="41" t="s">
        <v>79</v>
      </c>
      <c r="B25" s="895" t="s">
        <v>511</v>
      </c>
      <c r="C25" s="896"/>
      <c r="D25" s="896"/>
      <c r="E25" s="896"/>
      <c r="F25" s="896"/>
      <c r="G25" s="896"/>
      <c r="H25" s="897"/>
      <c r="I25" s="234"/>
      <c r="J25" s="73">
        <f>SUM(J26:J27)</f>
        <v>22.856000000000002</v>
      </c>
      <c r="K25" s="73"/>
      <c r="L25" s="412">
        <f>SUM(J25:K25)</f>
        <v>22.856000000000002</v>
      </c>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c r="CE25" s="30"/>
      <c r="CF25" s="30"/>
      <c r="CG25" s="30"/>
      <c r="CH25" s="30"/>
      <c r="CI25" s="30"/>
      <c r="CJ25" s="30"/>
      <c r="CK25" s="30"/>
      <c r="CL25" s="30"/>
      <c r="CM25" s="30"/>
      <c r="CN25" s="30"/>
      <c r="CO25" s="30"/>
      <c r="CP25" s="30"/>
      <c r="CQ25" s="30"/>
      <c r="CR25" s="30"/>
      <c r="CS25" s="30"/>
      <c r="CT25" s="30"/>
      <c r="CU25" s="30"/>
      <c r="CV25" s="30"/>
      <c r="CW25" s="30"/>
      <c r="CX25" s="30"/>
      <c r="CY25" s="30"/>
      <c r="CZ25" s="30"/>
      <c r="DA25" s="30"/>
      <c r="DB25" s="30"/>
      <c r="DC25" s="30"/>
      <c r="DD25" s="30"/>
      <c r="DE25" s="30"/>
      <c r="DF25" s="30"/>
      <c r="DG25" s="30"/>
      <c r="DH25" s="30"/>
      <c r="DI25" s="30"/>
      <c r="DJ25" s="30"/>
      <c r="DK25" s="30"/>
      <c r="DL25" s="30"/>
      <c r="DM25" s="30"/>
      <c r="DN25" s="30"/>
      <c r="DO25" s="30"/>
      <c r="DP25" s="30"/>
      <c r="DQ25" s="30"/>
      <c r="DR25" s="30"/>
      <c r="DS25" s="30"/>
      <c r="DT25" s="30"/>
      <c r="DU25" s="30"/>
      <c r="DV25" s="30"/>
      <c r="DW25" s="30"/>
      <c r="DX25" s="30"/>
      <c r="DY25" s="30"/>
      <c r="DZ25" s="30"/>
      <c r="EA25" s="30"/>
      <c r="EB25" s="30"/>
      <c r="EC25" s="30"/>
      <c r="ED25" s="30"/>
      <c r="EE25" s="30"/>
      <c r="EF25" s="30"/>
      <c r="EG25" s="30"/>
      <c r="EH25" s="30"/>
      <c r="EI25" s="30"/>
      <c r="EJ25" s="30"/>
      <c r="EK25" s="30"/>
      <c r="EL25" s="30"/>
      <c r="EM25" s="30"/>
      <c r="EN25" s="30"/>
      <c r="EO25" s="30"/>
      <c r="EP25" s="30"/>
      <c r="EQ25" s="30"/>
      <c r="ER25" s="30"/>
      <c r="ES25" s="30"/>
      <c r="ET25" s="30"/>
      <c r="EU25" s="30"/>
      <c r="EV25" s="30"/>
      <c r="EW25" s="30"/>
      <c r="EX25" s="30"/>
      <c r="EY25" s="30"/>
      <c r="EZ25" s="30"/>
      <c r="FA25" s="30"/>
      <c r="FB25" s="30"/>
      <c r="FC25" s="30"/>
      <c r="FD25" s="30"/>
      <c r="FE25" s="30"/>
      <c r="FF25" s="30"/>
      <c r="FG25" s="30"/>
      <c r="FH25" s="30"/>
      <c r="FI25" s="30"/>
      <c r="FJ25" s="30"/>
      <c r="FK25" s="30"/>
      <c r="FL25" s="30"/>
      <c r="FM25" s="30"/>
      <c r="FN25" s="30"/>
      <c r="FO25" s="30"/>
      <c r="FP25" s="30"/>
      <c r="FQ25" s="30"/>
      <c r="FR25" s="30"/>
      <c r="FS25" s="30"/>
      <c r="FT25" s="30"/>
      <c r="FU25" s="30"/>
      <c r="FV25" s="30"/>
      <c r="FW25" s="30"/>
      <c r="FX25" s="30"/>
      <c r="FY25" s="30"/>
      <c r="FZ25" s="30"/>
      <c r="GA25" s="30"/>
      <c r="GB25" s="30"/>
      <c r="GC25" s="30"/>
      <c r="GD25" s="30"/>
      <c r="GE25" s="30"/>
      <c r="GF25" s="30"/>
      <c r="GG25" s="30"/>
      <c r="GH25" s="30"/>
      <c r="GI25" s="30"/>
      <c r="GJ25" s="30"/>
      <c r="GK25" s="30"/>
      <c r="GL25" s="30"/>
      <c r="GM25" s="30"/>
      <c r="GN25" s="30"/>
      <c r="GO25" s="30"/>
      <c r="GP25" s="30"/>
      <c r="GQ25" s="30"/>
      <c r="GR25" s="30"/>
      <c r="GS25" s="30"/>
      <c r="GT25" s="30"/>
      <c r="GU25" s="30"/>
      <c r="GV25" s="30"/>
      <c r="GW25" s="30"/>
      <c r="GX25" s="30"/>
      <c r="GY25" s="30"/>
      <c r="GZ25" s="30"/>
      <c r="HA25" s="30"/>
      <c r="HB25" s="30"/>
      <c r="HC25" s="30"/>
      <c r="HD25" s="30"/>
      <c r="HE25" s="30"/>
      <c r="HF25" s="30"/>
      <c r="HG25" s="30"/>
      <c r="HH25" s="30"/>
      <c r="HI25" s="30"/>
      <c r="HJ25" s="30"/>
      <c r="HK25" s="30"/>
      <c r="HL25" s="30"/>
      <c r="HM25" s="30"/>
      <c r="HN25" s="30"/>
      <c r="HO25" s="30"/>
      <c r="HP25" s="30"/>
      <c r="HQ25" s="30"/>
      <c r="HR25" s="30"/>
      <c r="HS25" s="30"/>
      <c r="HT25" s="30"/>
      <c r="HU25" s="30"/>
      <c r="HV25" s="30"/>
      <c r="HW25" s="30"/>
      <c r="HX25" s="30"/>
      <c r="HY25" s="30"/>
      <c r="HZ25" s="30"/>
      <c r="IA25" s="30"/>
      <c r="IB25" s="30"/>
      <c r="IC25" s="30"/>
      <c r="ID25" s="30"/>
      <c r="IE25" s="30"/>
      <c r="IF25" s="30"/>
      <c r="IG25" s="30"/>
      <c r="IH25" s="30"/>
      <c r="II25" s="30"/>
      <c r="IJ25" s="30"/>
      <c r="IK25" s="30"/>
    </row>
    <row r="26" spans="1:245" ht="25.5">
      <c r="A26" s="28">
        <v>1</v>
      </c>
      <c r="B26" s="261" t="s">
        <v>512</v>
      </c>
      <c r="C26" s="390" t="s">
        <v>854</v>
      </c>
      <c r="D26" s="263">
        <f>$I$9</f>
        <v>3.5</v>
      </c>
      <c r="E26" s="39">
        <v>1.4</v>
      </c>
      <c r="F26" s="39">
        <f>(1.23+1.753+0.268)+5</f>
        <v>8.2509999999999994</v>
      </c>
      <c r="G26" s="39"/>
      <c r="H26" s="39">
        <v>1</v>
      </c>
      <c r="I26" s="39">
        <v>0.5</v>
      </c>
      <c r="J26" s="39">
        <f>SUM(D26:G26)*H26+I26*2*H26</f>
        <v>14.151</v>
      </c>
      <c r="K26" s="40"/>
      <c r="L26" s="413"/>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0"/>
      <c r="HS26" s="30"/>
      <c r="HT26" s="30"/>
      <c r="HU26" s="30"/>
      <c r="HV26" s="30"/>
      <c r="HW26" s="30"/>
      <c r="HX26" s="30"/>
      <c r="HY26" s="30"/>
      <c r="HZ26" s="30"/>
      <c r="IA26" s="30"/>
      <c r="IB26" s="30"/>
      <c r="IC26" s="30"/>
      <c r="ID26" s="30"/>
      <c r="IE26" s="30"/>
      <c r="IF26" s="30"/>
      <c r="IG26" s="30"/>
      <c r="IH26" s="30"/>
      <c r="II26" s="30"/>
      <c r="IJ26" s="30"/>
      <c r="IK26" s="30"/>
    </row>
    <row r="27" spans="1:245" ht="25.5">
      <c r="A27" s="28"/>
      <c r="B27" s="261" t="s">
        <v>515</v>
      </c>
      <c r="C27" s="29" t="s">
        <v>555</v>
      </c>
      <c r="D27" s="262"/>
      <c r="E27" s="262"/>
      <c r="F27" s="262">
        <f>0.6+0.15+3.65*2+0.655</f>
        <v>8.7050000000000001</v>
      </c>
      <c r="G27" s="262"/>
      <c r="H27" s="263">
        <v>1</v>
      </c>
      <c r="I27" s="39"/>
      <c r="J27" s="39">
        <f>SUM(D27:G27)*H27+I27*2*H27</f>
        <v>8.7050000000000001</v>
      </c>
      <c r="K27" s="40"/>
      <c r="L27" s="413"/>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c r="BY27" s="30"/>
      <c r="BZ27" s="30"/>
      <c r="CA27" s="30"/>
      <c r="CB27" s="30"/>
      <c r="CC27" s="30"/>
      <c r="CD27" s="30"/>
      <c r="CE27" s="30"/>
      <c r="CF27" s="30"/>
      <c r="CG27" s="30"/>
      <c r="CH27" s="30"/>
      <c r="CI27" s="30"/>
      <c r="CJ27" s="30"/>
      <c r="CK27" s="30"/>
      <c r="CL27" s="30"/>
      <c r="CM27" s="30"/>
      <c r="CN27" s="30"/>
      <c r="CO27" s="30"/>
      <c r="CP27" s="30"/>
      <c r="CQ27" s="30"/>
      <c r="CR27" s="30"/>
      <c r="CS27" s="30"/>
      <c r="CT27" s="30"/>
      <c r="CU27" s="30"/>
      <c r="CV27" s="30"/>
      <c r="CW27" s="30"/>
      <c r="CX27" s="30"/>
      <c r="CY27" s="30"/>
      <c r="CZ27" s="30"/>
      <c r="DA27" s="30"/>
      <c r="DB27" s="30"/>
      <c r="DC27" s="30"/>
      <c r="DD27" s="30"/>
      <c r="DE27" s="30"/>
      <c r="DF27" s="30"/>
      <c r="DG27" s="30"/>
      <c r="DH27" s="30"/>
      <c r="DI27" s="30"/>
      <c r="DJ27" s="30"/>
      <c r="DK27" s="30"/>
      <c r="DL27" s="30"/>
      <c r="DM27" s="30"/>
      <c r="DN27" s="30"/>
      <c r="DO27" s="30"/>
      <c r="DP27" s="30"/>
      <c r="DQ27" s="30"/>
      <c r="DR27" s="30"/>
      <c r="DS27" s="30"/>
      <c r="DT27" s="30"/>
      <c r="DU27" s="30"/>
      <c r="DV27" s="30"/>
      <c r="DW27" s="30"/>
      <c r="DX27" s="30"/>
      <c r="DY27" s="30"/>
      <c r="DZ27" s="30"/>
      <c r="EA27" s="30"/>
      <c r="EB27" s="30"/>
      <c r="EC27" s="30"/>
      <c r="ED27" s="30"/>
      <c r="EE27" s="30"/>
      <c r="EF27" s="30"/>
      <c r="EG27" s="30"/>
      <c r="EH27" s="30"/>
      <c r="EI27" s="30"/>
      <c r="EJ27" s="30"/>
      <c r="EK27" s="30"/>
      <c r="EL27" s="30"/>
      <c r="EM27" s="30"/>
      <c r="EN27" s="30"/>
      <c r="EO27" s="30"/>
      <c r="EP27" s="30"/>
      <c r="EQ27" s="30"/>
      <c r="ER27" s="30"/>
      <c r="ES27" s="30"/>
      <c r="ET27" s="30"/>
      <c r="EU27" s="30"/>
      <c r="EV27" s="30"/>
      <c r="EW27" s="30"/>
      <c r="EX27" s="30"/>
      <c r="EY27" s="30"/>
      <c r="EZ27" s="30"/>
      <c r="FA27" s="30"/>
      <c r="FB27" s="30"/>
      <c r="FC27" s="30"/>
      <c r="FD27" s="30"/>
      <c r="FE27" s="30"/>
      <c r="FF27" s="30"/>
      <c r="FG27" s="30"/>
      <c r="FH27" s="30"/>
      <c r="FI27" s="30"/>
      <c r="FJ27" s="30"/>
      <c r="FK27" s="30"/>
      <c r="FL27" s="30"/>
      <c r="FM27" s="30"/>
      <c r="FN27" s="30"/>
      <c r="FO27" s="30"/>
      <c r="FP27" s="30"/>
      <c r="FQ27" s="30"/>
      <c r="FR27" s="30"/>
      <c r="FS27" s="30"/>
      <c r="FT27" s="30"/>
      <c r="FU27" s="30"/>
      <c r="FV27" s="30"/>
      <c r="FW27" s="30"/>
      <c r="FX27" s="30"/>
      <c r="FY27" s="30"/>
      <c r="FZ27" s="30"/>
      <c r="GA27" s="30"/>
      <c r="GB27" s="30"/>
      <c r="GC27" s="30"/>
      <c r="GD27" s="30"/>
      <c r="GE27" s="30"/>
      <c r="GF27" s="30"/>
      <c r="GG27" s="30"/>
      <c r="GH27" s="30"/>
      <c r="GI27" s="30"/>
      <c r="GJ27" s="30"/>
      <c r="GK27" s="30"/>
      <c r="GL27" s="30"/>
      <c r="GM27" s="30"/>
      <c r="GN27" s="30"/>
      <c r="GO27" s="30"/>
      <c r="GP27" s="30"/>
      <c r="GQ27" s="30"/>
      <c r="GR27" s="30"/>
      <c r="GS27" s="30"/>
      <c r="GT27" s="30"/>
      <c r="GU27" s="30"/>
      <c r="GV27" s="30"/>
      <c r="GW27" s="30"/>
      <c r="GX27" s="30"/>
      <c r="GY27" s="30"/>
      <c r="GZ27" s="30"/>
      <c r="HA27" s="30"/>
      <c r="HB27" s="30"/>
      <c r="HC27" s="30"/>
      <c r="HD27" s="30"/>
      <c r="HE27" s="30"/>
      <c r="HF27" s="30"/>
      <c r="HG27" s="30"/>
      <c r="HH27" s="30"/>
      <c r="HI27" s="30"/>
      <c r="HJ27" s="30"/>
      <c r="HK27" s="30"/>
      <c r="HL27" s="30"/>
      <c r="HM27" s="30"/>
      <c r="HN27" s="30"/>
      <c r="HO27" s="30"/>
      <c r="HP27" s="30"/>
      <c r="HQ27" s="30"/>
      <c r="HR27" s="30"/>
      <c r="HS27" s="30"/>
      <c r="HT27" s="30"/>
      <c r="HU27" s="30"/>
      <c r="HV27" s="30"/>
      <c r="HW27" s="30"/>
      <c r="HX27" s="30"/>
      <c r="HY27" s="30"/>
      <c r="HZ27" s="30"/>
      <c r="IA27" s="30"/>
      <c r="IB27" s="30"/>
      <c r="IC27" s="30"/>
      <c r="ID27" s="30"/>
      <c r="IE27" s="30"/>
      <c r="IF27" s="30"/>
      <c r="IG27" s="30"/>
      <c r="IH27" s="30"/>
      <c r="II27" s="30"/>
      <c r="IJ27" s="30"/>
      <c r="IK27" s="30"/>
    </row>
    <row r="28" spans="1:245" ht="14.45" customHeight="1">
      <c r="A28" s="41" t="s">
        <v>80</v>
      </c>
      <c r="B28" s="895" t="s">
        <v>516</v>
      </c>
      <c r="C28" s="896"/>
      <c r="D28" s="896"/>
      <c r="E28" s="896"/>
      <c r="F28" s="896"/>
      <c r="G28" s="896"/>
      <c r="H28" s="897"/>
      <c r="I28" s="234"/>
      <c r="J28" s="73">
        <f>SUM(J29:J32)</f>
        <v>155.816</v>
      </c>
      <c r="K28" s="73"/>
      <c r="L28" s="412">
        <f>SUM(J28:K28)</f>
        <v>155.816</v>
      </c>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c r="CE28" s="30"/>
      <c r="CF28" s="30"/>
      <c r="CG28" s="30"/>
      <c r="CH28" s="30"/>
      <c r="CI28" s="30"/>
      <c r="CJ28" s="30"/>
      <c r="CK28" s="30"/>
      <c r="CL28" s="30"/>
      <c r="CM28" s="30"/>
      <c r="CN28" s="30"/>
      <c r="CO28" s="30"/>
      <c r="CP28" s="30"/>
      <c r="CQ28" s="30"/>
      <c r="CR28" s="30"/>
      <c r="CS28" s="30"/>
      <c r="CT28" s="30"/>
      <c r="CU28" s="30"/>
      <c r="CV28" s="30"/>
      <c r="CW28" s="30"/>
      <c r="CX28" s="30"/>
      <c r="CY28" s="30"/>
      <c r="CZ28" s="30"/>
      <c r="DA28" s="30"/>
      <c r="DB28" s="30"/>
      <c r="DC28" s="30"/>
      <c r="DD28" s="30"/>
      <c r="DE28" s="30"/>
      <c r="DF28" s="30"/>
      <c r="DG28" s="30"/>
      <c r="DH28" s="30"/>
      <c r="DI28" s="30"/>
      <c r="DJ28" s="30"/>
      <c r="DK28" s="30"/>
      <c r="DL28" s="30"/>
      <c r="DM28" s="30"/>
      <c r="DN28" s="30"/>
      <c r="DO28" s="30"/>
      <c r="DP28" s="30"/>
      <c r="DQ28" s="30"/>
      <c r="DR28" s="30"/>
      <c r="DS28" s="30"/>
      <c r="DT28" s="30"/>
      <c r="DU28" s="30"/>
      <c r="DV28" s="30"/>
      <c r="DW28" s="30"/>
      <c r="DX28" s="30"/>
      <c r="DY28" s="30"/>
      <c r="DZ28" s="30"/>
      <c r="EA28" s="30"/>
      <c r="EB28" s="30"/>
      <c r="EC28" s="30"/>
      <c r="ED28" s="30"/>
      <c r="EE28" s="30"/>
      <c r="EF28" s="30"/>
      <c r="EG28" s="30"/>
      <c r="EH28" s="30"/>
      <c r="EI28" s="30"/>
      <c r="EJ28" s="30"/>
      <c r="EK28" s="30"/>
      <c r="EL28" s="30"/>
      <c r="EM28" s="30"/>
      <c r="EN28" s="30"/>
      <c r="EO28" s="30"/>
      <c r="EP28" s="30"/>
      <c r="EQ28" s="30"/>
      <c r="ER28" s="30"/>
      <c r="ES28" s="30"/>
      <c r="ET28" s="30"/>
      <c r="EU28" s="30"/>
      <c r="EV28" s="30"/>
      <c r="EW28" s="30"/>
      <c r="EX28" s="30"/>
      <c r="EY28" s="30"/>
      <c r="EZ28" s="30"/>
      <c r="FA28" s="30"/>
      <c r="FB28" s="30"/>
      <c r="FC28" s="30"/>
      <c r="FD28" s="30"/>
      <c r="FE28" s="30"/>
      <c r="FF28" s="30"/>
      <c r="FG28" s="30"/>
      <c r="FH28" s="30"/>
      <c r="FI28" s="30"/>
      <c r="FJ28" s="30"/>
      <c r="FK28" s="30"/>
      <c r="FL28" s="30"/>
      <c r="FM28" s="30"/>
      <c r="FN28" s="30"/>
      <c r="FO28" s="30"/>
      <c r="FP28" s="30"/>
      <c r="FQ28" s="30"/>
      <c r="FR28" s="30"/>
      <c r="FS28" s="30"/>
      <c r="FT28" s="30"/>
      <c r="FU28" s="30"/>
      <c r="FV28" s="30"/>
      <c r="FW28" s="30"/>
      <c r="FX28" s="30"/>
      <c r="FY28" s="30"/>
      <c r="FZ28" s="30"/>
      <c r="GA28" s="30"/>
      <c r="GB28" s="30"/>
      <c r="GC28" s="30"/>
      <c r="GD28" s="30"/>
      <c r="GE28" s="30"/>
      <c r="GF28" s="30"/>
      <c r="GG28" s="30"/>
      <c r="GH28" s="30"/>
      <c r="GI28" s="30"/>
      <c r="GJ28" s="30"/>
      <c r="GK28" s="30"/>
      <c r="GL28" s="30"/>
      <c r="GM28" s="30"/>
      <c r="GN28" s="30"/>
      <c r="GO28" s="30"/>
      <c r="GP28" s="30"/>
      <c r="GQ28" s="30"/>
      <c r="GR28" s="30"/>
      <c r="GS28" s="30"/>
      <c r="GT28" s="30"/>
      <c r="GU28" s="30"/>
      <c r="GV28" s="30"/>
      <c r="GW28" s="30"/>
      <c r="GX28" s="30"/>
      <c r="GY28" s="30"/>
      <c r="GZ28" s="30"/>
      <c r="HA28" s="30"/>
      <c r="HB28" s="30"/>
      <c r="HC28" s="30"/>
      <c r="HD28" s="30"/>
      <c r="HE28" s="30"/>
      <c r="HF28" s="30"/>
      <c r="HG28" s="30"/>
      <c r="HH28" s="30"/>
      <c r="HI28" s="30"/>
      <c r="HJ28" s="30"/>
      <c r="HK28" s="30"/>
      <c r="HL28" s="30"/>
      <c r="HM28" s="30"/>
      <c r="HN28" s="30"/>
      <c r="HO28" s="30"/>
      <c r="HP28" s="30"/>
      <c r="HQ28" s="30"/>
      <c r="HR28" s="30"/>
      <c r="HS28" s="30"/>
      <c r="HT28" s="30"/>
      <c r="HU28" s="30"/>
      <c r="HV28" s="30"/>
      <c r="HW28" s="30"/>
      <c r="HX28" s="30"/>
      <c r="HY28" s="30"/>
      <c r="HZ28" s="30"/>
      <c r="IA28" s="30"/>
      <c r="IB28" s="30"/>
      <c r="IC28" s="30"/>
      <c r="ID28" s="30"/>
      <c r="IE28" s="30"/>
      <c r="IF28" s="30"/>
      <c r="IG28" s="30"/>
      <c r="IH28" s="30"/>
      <c r="II28" s="30"/>
      <c r="IJ28" s="30"/>
      <c r="IK28" s="30"/>
    </row>
    <row r="29" spans="1:245" ht="25.5">
      <c r="A29" s="28">
        <v>1</v>
      </c>
      <c r="B29" s="226" t="s">
        <v>517</v>
      </c>
      <c r="C29" s="390" t="s">
        <v>855</v>
      </c>
      <c r="D29" s="39">
        <f>$I$9</f>
        <v>3.5</v>
      </c>
      <c r="E29" s="39">
        <f>$I$10</f>
        <v>3.3</v>
      </c>
      <c r="F29" s="39">
        <f>(1.23+1.753+0.268)*2</f>
        <v>6.5019999999999989</v>
      </c>
      <c r="G29" s="39"/>
      <c r="H29" s="39">
        <v>4</v>
      </c>
      <c r="I29" s="39">
        <v>0.5</v>
      </c>
      <c r="J29" s="39">
        <f>SUM(D29:G29)*H29+0.2*2*H29</f>
        <v>54.808</v>
      </c>
      <c r="K29" s="40"/>
      <c r="L29" s="413"/>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c r="FH29" s="30"/>
      <c r="FI29" s="30"/>
      <c r="FJ29" s="30"/>
      <c r="FK29" s="30"/>
      <c r="FL29" s="30"/>
      <c r="FM29" s="30"/>
      <c r="FN29" s="30"/>
      <c r="FO29" s="30"/>
      <c r="FP29" s="30"/>
      <c r="FQ29" s="30"/>
      <c r="FR29" s="30"/>
      <c r="FS29" s="30"/>
      <c r="FT29" s="30"/>
      <c r="FU29" s="30"/>
      <c r="FV29" s="30"/>
      <c r="FW29" s="30"/>
      <c r="FX29" s="30"/>
      <c r="FY29" s="30"/>
      <c r="FZ29" s="30"/>
      <c r="GA29" s="30"/>
      <c r="GB29" s="30"/>
      <c r="GC29" s="30"/>
      <c r="GD29" s="30"/>
      <c r="GE29" s="30"/>
      <c r="GF29" s="30"/>
      <c r="GG29" s="30"/>
      <c r="GH29" s="30"/>
      <c r="GI29" s="30"/>
      <c r="GJ29" s="30"/>
      <c r="GK29" s="30"/>
      <c r="GL29" s="30"/>
      <c r="GM29" s="30"/>
      <c r="GN29" s="30"/>
      <c r="GO29" s="30"/>
      <c r="GP29" s="30"/>
      <c r="GQ29" s="30"/>
      <c r="GR29" s="30"/>
      <c r="GS29" s="30"/>
      <c r="GT29" s="30"/>
      <c r="GU29" s="30"/>
      <c r="GV29" s="30"/>
      <c r="GW29" s="30"/>
      <c r="GX29" s="30"/>
      <c r="GY29" s="30"/>
      <c r="GZ29" s="30"/>
      <c r="HA29" s="30"/>
      <c r="HB29" s="30"/>
      <c r="HC29" s="30"/>
      <c r="HD29" s="30"/>
      <c r="HE29" s="30"/>
      <c r="HF29" s="30"/>
      <c r="HG29" s="30"/>
      <c r="HH29" s="30"/>
      <c r="HI29" s="30"/>
      <c r="HJ29" s="30"/>
      <c r="HK29" s="30"/>
      <c r="HL29" s="30"/>
      <c r="HM29" s="30"/>
      <c r="HN29" s="30"/>
      <c r="HO29" s="30"/>
      <c r="HP29" s="30"/>
      <c r="HQ29" s="30"/>
      <c r="HR29" s="30"/>
      <c r="HS29" s="30"/>
      <c r="HT29" s="30"/>
      <c r="HU29" s="30"/>
      <c r="HV29" s="30"/>
      <c r="HW29" s="30"/>
      <c r="HX29" s="30"/>
      <c r="HY29" s="30"/>
      <c r="HZ29" s="30"/>
      <c r="IA29" s="30"/>
      <c r="IB29" s="30"/>
      <c r="IC29" s="30"/>
      <c r="ID29" s="30"/>
      <c r="IE29" s="30"/>
      <c r="IF29" s="30"/>
      <c r="IG29" s="30"/>
      <c r="IH29" s="30"/>
      <c r="II29" s="30"/>
      <c r="IJ29" s="30"/>
      <c r="IK29" s="30"/>
    </row>
    <row r="30" spans="1:245" ht="25.5">
      <c r="A30" s="28"/>
      <c r="B30" s="261" t="s">
        <v>515</v>
      </c>
      <c r="C30" s="29" t="s">
        <v>555</v>
      </c>
      <c r="D30" s="262"/>
      <c r="E30" s="262"/>
      <c r="F30" s="262">
        <f>$I$7-$I$9+$I$10</f>
        <v>3.95</v>
      </c>
      <c r="G30" s="262"/>
      <c r="H30" s="263">
        <v>4</v>
      </c>
      <c r="I30" s="39"/>
      <c r="J30" s="39">
        <f>SUM(D30:G30)*H30+I30*2*H30</f>
        <v>15.8</v>
      </c>
      <c r="K30" s="40"/>
      <c r="L30" s="413"/>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c r="ED30" s="30"/>
      <c r="EE30" s="30"/>
      <c r="EF30" s="30"/>
      <c r="EG30" s="30"/>
      <c r="EH30" s="30"/>
      <c r="EI30" s="30"/>
      <c r="EJ30" s="30"/>
      <c r="EK30" s="30"/>
      <c r="EL30" s="30"/>
      <c r="EM30" s="30"/>
      <c r="EN30" s="30"/>
      <c r="EO30" s="30"/>
      <c r="EP30" s="30"/>
      <c r="EQ30" s="30"/>
      <c r="ER30" s="30"/>
      <c r="ES30" s="30"/>
      <c r="ET30" s="30"/>
      <c r="EU30" s="30"/>
      <c r="EV30" s="30"/>
      <c r="EW30" s="30"/>
      <c r="EX30" s="30"/>
      <c r="EY30" s="30"/>
      <c r="EZ30" s="30"/>
      <c r="FA30" s="30"/>
      <c r="FB30" s="30"/>
      <c r="FC30" s="30"/>
      <c r="FD30" s="30"/>
      <c r="FE30" s="30"/>
      <c r="FF30" s="30"/>
      <c r="FG30" s="30"/>
      <c r="FH30" s="30"/>
      <c r="FI30" s="30"/>
      <c r="FJ30" s="30"/>
      <c r="FK30" s="30"/>
      <c r="FL30" s="30"/>
      <c r="FM30" s="30"/>
      <c r="FN30" s="30"/>
      <c r="FO30" s="30"/>
      <c r="FP30" s="30"/>
      <c r="FQ30" s="30"/>
      <c r="FR30" s="30"/>
      <c r="FS30" s="30"/>
      <c r="FT30" s="30"/>
      <c r="FU30" s="30"/>
      <c r="FV30" s="30"/>
      <c r="FW30" s="30"/>
      <c r="FX30" s="30"/>
      <c r="FY30" s="30"/>
      <c r="FZ30" s="30"/>
      <c r="GA30" s="30"/>
      <c r="GB30" s="30"/>
      <c r="GC30" s="30"/>
      <c r="GD30" s="30"/>
      <c r="GE30" s="30"/>
      <c r="GF30" s="30"/>
      <c r="GG30" s="30"/>
      <c r="GH30" s="30"/>
      <c r="GI30" s="30"/>
      <c r="GJ30" s="30"/>
      <c r="GK30" s="30"/>
      <c r="GL30" s="30"/>
      <c r="GM30" s="30"/>
      <c r="GN30" s="30"/>
      <c r="GO30" s="30"/>
      <c r="GP30" s="30"/>
      <c r="GQ30" s="30"/>
      <c r="GR30" s="30"/>
      <c r="GS30" s="30"/>
      <c r="GT30" s="30"/>
      <c r="GU30" s="30"/>
      <c r="GV30" s="30"/>
      <c r="GW30" s="30"/>
      <c r="GX30" s="30"/>
      <c r="GY30" s="30"/>
      <c r="GZ30" s="30"/>
      <c r="HA30" s="30"/>
      <c r="HB30" s="30"/>
      <c r="HC30" s="30"/>
      <c r="HD30" s="30"/>
      <c r="HE30" s="30"/>
      <c r="HF30" s="30"/>
      <c r="HG30" s="30"/>
      <c r="HH30" s="30"/>
      <c r="HI30" s="30"/>
      <c r="HJ30" s="30"/>
      <c r="HK30" s="30"/>
      <c r="HL30" s="30"/>
      <c r="HM30" s="30"/>
      <c r="HN30" s="30"/>
      <c r="HO30" s="30"/>
      <c r="HP30" s="30"/>
      <c r="HQ30" s="30"/>
      <c r="HR30" s="30"/>
      <c r="HS30" s="30"/>
      <c r="HT30" s="30"/>
      <c r="HU30" s="30"/>
      <c r="HV30" s="30"/>
      <c r="HW30" s="30"/>
      <c r="HX30" s="30"/>
      <c r="HY30" s="30"/>
      <c r="HZ30" s="30"/>
      <c r="IA30" s="30"/>
      <c r="IB30" s="30"/>
      <c r="IC30" s="30"/>
      <c r="ID30" s="30"/>
      <c r="IE30" s="30"/>
      <c r="IF30" s="30"/>
      <c r="IG30" s="30"/>
      <c r="IH30" s="30"/>
      <c r="II30" s="30"/>
      <c r="IJ30" s="30"/>
      <c r="IK30" s="30"/>
    </row>
    <row r="31" spans="1:245" ht="25.5">
      <c r="A31" s="28">
        <v>2</v>
      </c>
      <c r="B31" s="226" t="s">
        <v>518</v>
      </c>
      <c r="C31" s="390" t="s">
        <v>856</v>
      </c>
      <c r="D31" s="39">
        <f>$I$9</f>
        <v>3.5</v>
      </c>
      <c r="E31" s="262">
        <f>$I$10</f>
        <v>3.3</v>
      </c>
      <c r="F31" s="39">
        <f>(1.23+1.753+0.268)*2</f>
        <v>6.5019999999999989</v>
      </c>
      <c r="G31" s="262"/>
      <c r="H31" s="39">
        <v>4</v>
      </c>
      <c r="I31" s="39">
        <v>0.5</v>
      </c>
      <c r="J31" s="39">
        <f>SUM(D31:G31)*H31+0.2*2*H31</f>
        <v>54.808</v>
      </c>
      <c r="K31" s="40"/>
      <c r="L31" s="413"/>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c r="CE31" s="30"/>
      <c r="CF31" s="30"/>
      <c r="CG31" s="30"/>
      <c r="CH31" s="30"/>
      <c r="CI31" s="30"/>
      <c r="CJ31" s="30"/>
      <c r="CK31" s="30"/>
      <c r="CL31" s="30"/>
      <c r="CM31" s="30"/>
      <c r="CN31" s="30"/>
      <c r="CO31" s="30"/>
      <c r="CP31" s="30"/>
      <c r="CQ31" s="30"/>
      <c r="CR31" s="30"/>
      <c r="CS31" s="30"/>
      <c r="CT31" s="30"/>
      <c r="CU31" s="30"/>
      <c r="CV31" s="30"/>
      <c r="CW31" s="30"/>
      <c r="CX31" s="30"/>
      <c r="CY31" s="30"/>
      <c r="CZ31" s="30"/>
      <c r="DA31" s="30"/>
      <c r="DB31" s="30"/>
      <c r="DC31" s="30"/>
      <c r="DD31" s="30"/>
      <c r="DE31" s="30"/>
      <c r="DF31" s="30"/>
      <c r="DG31" s="30"/>
      <c r="DH31" s="30"/>
      <c r="DI31" s="30"/>
      <c r="DJ31" s="30"/>
      <c r="DK31" s="30"/>
      <c r="DL31" s="30"/>
      <c r="DM31" s="30"/>
      <c r="DN31" s="30"/>
      <c r="DO31" s="30"/>
      <c r="DP31" s="30"/>
      <c r="DQ31" s="30"/>
      <c r="DR31" s="30"/>
      <c r="DS31" s="30"/>
      <c r="DT31" s="30"/>
      <c r="DU31" s="30"/>
      <c r="DV31" s="30"/>
      <c r="DW31" s="30"/>
      <c r="DX31" s="30"/>
      <c r="DY31" s="30"/>
      <c r="DZ31" s="30"/>
      <c r="EA31" s="30"/>
      <c r="EB31" s="30"/>
      <c r="EC31" s="30"/>
      <c r="ED31" s="30"/>
      <c r="EE31" s="30"/>
      <c r="EF31" s="30"/>
      <c r="EG31" s="30"/>
      <c r="EH31" s="30"/>
      <c r="EI31" s="30"/>
      <c r="EJ31" s="30"/>
      <c r="EK31" s="30"/>
      <c r="EL31" s="30"/>
      <c r="EM31" s="30"/>
      <c r="EN31" s="30"/>
      <c r="EO31" s="30"/>
      <c r="EP31" s="30"/>
      <c r="EQ31" s="30"/>
      <c r="ER31" s="30"/>
      <c r="ES31" s="30"/>
      <c r="ET31" s="30"/>
      <c r="EU31" s="30"/>
      <c r="EV31" s="30"/>
      <c r="EW31" s="30"/>
      <c r="EX31" s="30"/>
      <c r="EY31" s="30"/>
      <c r="EZ31" s="30"/>
      <c r="FA31" s="30"/>
      <c r="FB31" s="30"/>
      <c r="FC31" s="30"/>
      <c r="FD31" s="30"/>
      <c r="FE31" s="30"/>
      <c r="FF31" s="30"/>
      <c r="FG31" s="30"/>
      <c r="FH31" s="30"/>
      <c r="FI31" s="30"/>
      <c r="FJ31" s="30"/>
      <c r="FK31" s="30"/>
      <c r="FL31" s="30"/>
      <c r="FM31" s="30"/>
      <c r="FN31" s="30"/>
      <c r="FO31" s="30"/>
      <c r="FP31" s="30"/>
      <c r="FQ31" s="30"/>
      <c r="FR31" s="30"/>
      <c r="FS31" s="30"/>
      <c r="FT31" s="30"/>
      <c r="FU31" s="30"/>
      <c r="FV31" s="30"/>
      <c r="FW31" s="30"/>
      <c r="FX31" s="30"/>
      <c r="FY31" s="30"/>
      <c r="FZ31" s="30"/>
      <c r="GA31" s="30"/>
      <c r="GB31" s="30"/>
      <c r="GC31" s="30"/>
      <c r="GD31" s="30"/>
      <c r="GE31" s="30"/>
      <c r="GF31" s="30"/>
      <c r="GG31" s="30"/>
      <c r="GH31" s="30"/>
      <c r="GI31" s="30"/>
      <c r="GJ31" s="30"/>
      <c r="GK31" s="30"/>
      <c r="GL31" s="30"/>
      <c r="GM31" s="30"/>
      <c r="GN31" s="30"/>
      <c r="GO31" s="30"/>
      <c r="GP31" s="30"/>
      <c r="GQ31" s="30"/>
      <c r="GR31" s="30"/>
      <c r="GS31" s="30"/>
      <c r="GT31" s="30"/>
      <c r="GU31" s="30"/>
      <c r="GV31" s="30"/>
      <c r="GW31" s="30"/>
      <c r="GX31" s="30"/>
      <c r="GY31" s="30"/>
      <c r="GZ31" s="30"/>
      <c r="HA31" s="30"/>
      <c r="HB31" s="30"/>
      <c r="HC31" s="30"/>
      <c r="HD31" s="30"/>
      <c r="HE31" s="30"/>
      <c r="HF31" s="30"/>
      <c r="HG31" s="30"/>
      <c r="HH31" s="30"/>
      <c r="HI31" s="30"/>
      <c r="HJ31" s="30"/>
      <c r="HK31" s="30"/>
      <c r="HL31" s="30"/>
      <c r="HM31" s="30"/>
      <c r="HN31" s="30"/>
      <c r="HO31" s="30"/>
      <c r="HP31" s="30"/>
      <c r="HQ31" s="30"/>
      <c r="HR31" s="30"/>
      <c r="HS31" s="30"/>
      <c r="HT31" s="30"/>
      <c r="HU31" s="30"/>
      <c r="HV31" s="30"/>
      <c r="HW31" s="30"/>
      <c r="HX31" s="30"/>
      <c r="HY31" s="30"/>
      <c r="HZ31" s="30"/>
      <c r="IA31" s="30"/>
      <c r="IB31" s="30"/>
      <c r="IC31" s="30"/>
      <c r="ID31" s="30"/>
      <c r="IE31" s="30"/>
      <c r="IF31" s="30"/>
      <c r="IG31" s="30"/>
      <c r="IH31" s="30"/>
      <c r="II31" s="30"/>
      <c r="IJ31" s="30"/>
      <c r="IK31" s="30"/>
    </row>
    <row r="32" spans="1:245" ht="25.5">
      <c r="A32" s="28"/>
      <c r="B32" s="261" t="s">
        <v>515</v>
      </c>
      <c r="C32" s="29" t="s">
        <v>555</v>
      </c>
      <c r="D32" s="262"/>
      <c r="E32" s="262"/>
      <c r="F32" s="262">
        <f>$I$7-$I$9+$I$8+$I$10</f>
        <v>7.6000000000000005</v>
      </c>
      <c r="G32" s="262"/>
      <c r="H32" s="263">
        <v>4</v>
      </c>
      <c r="I32" s="39"/>
      <c r="J32" s="39">
        <f>SUM(D32:G32)*H32+I32*2*H32</f>
        <v>30.400000000000002</v>
      </c>
      <c r="K32" s="40"/>
      <c r="L32" s="413"/>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c r="BY32" s="30"/>
      <c r="BZ32" s="30"/>
      <c r="CA32" s="30"/>
      <c r="CB32" s="30"/>
      <c r="CC32" s="30"/>
      <c r="CD32" s="30"/>
      <c r="CE32" s="30"/>
      <c r="CF32" s="30"/>
      <c r="CG32" s="30"/>
      <c r="CH32" s="30"/>
      <c r="CI32" s="30"/>
      <c r="CJ32" s="30"/>
      <c r="CK32" s="30"/>
      <c r="CL32" s="30"/>
      <c r="CM32" s="30"/>
      <c r="CN32" s="30"/>
      <c r="CO32" s="30"/>
      <c r="CP32" s="30"/>
      <c r="CQ32" s="30"/>
      <c r="CR32" s="30"/>
      <c r="CS32" s="30"/>
      <c r="CT32" s="30"/>
      <c r="CU32" s="30"/>
      <c r="CV32" s="30"/>
      <c r="CW32" s="30"/>
      <c r="CX32" s="30"/>
      <c r="CY32" s="30"/>
      <c r="CZ32" s="30"/>
      <c r="DA32" s="30"/>
      <c r="DB32" s="30"/>
      <c r="DC32" s="30"/>
      <c r="DD32" s="30"/>
      <c r="DE32" s="30"/>
      <c r="DF32" s="30"/>
      <c r="DG32" s="30"/>
      <c r="DH32" s="30"/>
      <c r="DI32" s="30"/>
      <c r="DJ32" s="30"/>
      <c r="DK32" s="30"/>
      <c r="DL32" s="30"/>
      <c r="DM32" s="30"/>
      <c r="DN32" s="30"/>
      <c r="DO32" s="30"/>
      <c r="DP32" s="30"/>
      <c r="DQ32" s="30"/>
      <c r="DR32" s="30"/>
      <c r="DS32" s="30"/>
      <c r="DT32" s="30"/>
      <c r="DU32" s="30"/>
      <c r="DV32" s="30"/>
      <c r="DW32" s="30"/>
      <c r="DX32" s="30"/>
      <c r="DY32" s="30"/>
      <c r="DZ32" s="30"/>
      <c r="EA32" s="30"/>
      <c r="EB32" s="30"/>
      <c r="EC32" s="30"/>
      <c r="ED32" s="30"/>
      <c r="EE32" s="30"/>
      <c r="EF32" s="30"/>
      <c r="EG32" s="30"/>
      <c r="EH32" s="30"/>
      <c r="EI32" s="30"/>
      <c r="EJ32" s="30"/>
      <c r="EK32" s="30"/>
      <c r="EL32" s="30"/>
      <c r="EM32" s="30"/>
      <c r="EN32" s="30"/>
      <c r="EO32" s="30"/>
      <c r="EP32" s="30"/>
      <c r="EQ32" s="30"/>
      <c r="ER32" s="30"/>
      <c r="ES32" s="30"/>
      <c r="ET32" s="30"/>
      <c r="EU32" s="30"/>
      <c r="EV32" s="30"/>
      <c r="EW32" s="30"/>
      <c r="EX32" s="30"/>
      <c r="EY32" s="30"/>
      <c r="EZ32" s="30"/>
      <c r="FA32" s="30"/>
      <c r="FB32" s="30"/>
      <c r="FC32" s="30"/>
      <c r="FD32" s="30"/>
      <c r="FE32" s="30"/>
      <c r="FF32" s="30"/>
      <c r="FG32" s="30"/>
      <c r="FH32" s="30"/>
      <c r="FI32" s="30"/>
      <c r="FJ32" s="30"/>
      <c r="FK32" s="30"/>
      <c r="FL32" s="30"/>
      <c r="FM32" s="30"/>
      <c r="FN32" s="30"/>
      <c r="FO32" s="30"/>
      <c r="FP32" s="30"/>
      <c r="FQ32" s="30"/>
      <c r="FR32" s="30"/>
      <c r="FS32" s="30"/>
      <c r="FT32" s="30"/>
      <c r="FU32" s="30"/>
      <c r="FV32" s="30"/>
      <c r="FW32" s="30"/>
      <c r="FX32" s="30"/>
      <c r="FY32" s="30"/>
      <c r="FZ32" s="30"/>
      <c r="GA32" s="30"/>
      <c r="GB32" s="30"/>
      <c r="GC32" s="30"/>
      <c r="GD32" s="30"/>
      <c r="GE32" s="30"/>
      <c r="GF32" s="30"/>
      <c r="GG32" s="30"/>
      <c r="GH32" s="30"/>
      <c r="GI32" s="30"/>
      <c r="GJ32" s="30"/>
      <c r="GK32" s="30"/>
      <c r="GL32" s="30"/>
      <c r="GM32" s="30"/>
      <c r="GN32" s="30"/>
      <c r="GO32" s="30"/>
      <c r="GP32" s="30"/>
      <c r="GQ32" s="30"/>
      <c r="GR32" s="30"/>
      <c r="GS32" s="30"/>
      <c r="GT32" s="30"/>
      <c r="GU32" s="30"/>
      <c r="GV32" s="30"/>
      <c r="GW32" s="30"/>
      <c r="GX32" s="30"/>
      <c r="GY32" s="30"/>
      <c r="GZ32" s="30"/>
      <c r="HA32" s="30"/>
      <c r="HB32" s="30"/>
      <c r="HC32" s="30"/>
      <c r="HD32" s="30"/>
      <c r="HE32" s="30"/>
      <c r="HF32" s="30"/>
      <c r="HG32" s="30"/>
      <c r="HH32" s="30"/>
      <c r="HI32" s="30"/>
      <c r="HJ32" s="30"/>
      <c r="HK32" s="30"/>
      <c r="HL32" s="30"/>
      <c r="HM32" s="30"/>
      <c r="HN32" s="30"/>
      <c r="HO32" s="30"/>
      <c r="HP32" s="30"/>
      <c r="HQ32" s="30"/>
      <c r="HR32" s="30"/>
      <c r="HS32" s="30"/>
      <c r="HT32" s="30"/>
      <c r="HU32" s="30"/>
      <c r="HV32" s="30"/>
      <c r="HW32" s="30"/>
      <c r="HX32" s="30"/>
      <c r="HY32" s="30"/>
      <c r="HZ32" s="30"/>
      <c r="IA32" s="30"/>
      <c r="IB32" s="30"/>
      <c r="IC32" s="30"/>
      <c r="ID32" s="30"/>
      <c r="IE32" s="30"/>
      <c r="IF32" s="30"/>
      <c r="IG32" s="30"/>
      <c r="IH32" s="30"/>
      <c r="II32" s="30"/>
      <c r="IJ32" s="30"/>
      <c r="IK32" s="30"/>
    </row>
    <row r="33" spans="1:245" ht="14.45" customHeight="1">
      <c r="A33" s="41" t="s">
        <v>78</v>
      </c>
      <c r="B33" s="895" t="s">
        <v>442</v>
      </c>
      <c r="C33" s="896"/>
      <c r="D33" s="896"/>
      <c r="E33" s="896"/>
      <c r="F33" s="896"/>
      <c r="G33" s="896"/>
      <c r="H33" s="897"/>
      <c r="I33" s="234"/>
      <c r="J33" s="73">
        <f>SUM(J34:J38)</f>
        <v>241.11600000000001</v>
      </c>
      <c r="K33" s="73"/>
      <c r="L33" s="412">
        <f>SUM(J33:K33)</f>
        <v>241.11600000000001</v>
      </c>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c r="BY33" s="30"/>
      <c r="BZ33" s="30"/>
      <c r="CA33" s="30"/>
      <c r="CB33" s="30"/>
      <c r="CC33" s="30"/>
      <c r="CD33" s="30"/>
      <c r="CE33" s="30"/>
      <c r="CF33" s="30"/>
      <c r="CG33" s="30"/>
      <c r="CH33" s="30"/>
      <c r="CI33" s="30"/>
      <c r="CJ33" s="30"/>
      <c r="CK33" s="30"/>
      <c r="CL33" s="30"/>
      <c r="CM33" s="30"/>
      <c r="CN33" s="30"/>
      <c r="CO33" s="30"/>
      <c r="CP33" s="30"/>
      <c r="CQ33" s="30"/>
      <c r="CR33" s="30"/>
      <c r="CS33" s="30"/>
      <c r="CT33" s="30"/>
      <c r="CU33" s="30"/>
      <c r="CV33" s="30"/>
      <c r="CW33" s="30"/>
      <c r="CX33" s="30"/>
      <c r="CY33" s="30"/>
      <c r="CZ33" s="30"/>
      <c r="DA33" s="30"/>
      <c r="DB33" s="30"/>
      <c r="DC33" s="30"/>
      <c r="DD33" s="30"/>
      <c r="DE33" s="30"/>
      <c r="DF33" s="30"/>
      <c r="DG33" s="30"/>
      <c r="DH33" s="30"/>
      <c r="DI33" s="30"/>
      <c r="DJ33" s="30"/>
      <c r="DK33" s="30"/>
      <c r="DL33" s="30"/>
      <c r="DM33" s="30"/>
      <c r="DN33" s="30"/>
      <c r="DO33" s="30"/>
      <c r="DP33" s="30"/>
      <c r="DQ33" s="30"/>
      <c r="DR33" s="30"/>
      <c r="DS33" s="30"/>
      <c r="DT33" s="30"/>
      <c r="DU33" s="30"/>
      <c r="DV33" s="30"/>
      <c r="DW33" s="30"/>
      <c r="DX33" s="30"/>
      <c r="DY33" s="30"/>
      <c r="DZ33" s="30"/>
      <c r="EA33" s="30"/>
      <c r="EB33" s="30"/>
      <c r="EC33" s="30"/>
      <c r="ED33" s="30"/>
      <c r="EE33" s="30"/>
      <c r="EF33" s="30"/>
      <c r="EG33" s="30"/>
      <c r="EH33" s="30"/>
      <c r="EI33" s="30"/>
      <c r="EJ33" s="30"/>
      <c r="EK33" s="30"/>
      <c r="EL33" s="30"/>
      <c r="EM33" s="30"/>
      <c r="EN33" s="30"/>
      <c r="EO33" s="30"/>
      <c r="EP33" s="30"/>
      <c r="EQ33" s="30"/>
      <c r="ER33" s="30"/>
      <c r="ES33" s="30"/>
      <c r="ET33" s="30"/>
      <c r="EU33" s="30"/>
      <c r="EV33" s="30"/>
      <c r="EW33" s="30"/>
      <c r="EX33" s="30"/>
      <c r="EY33" s="30"/>
      <c r="EZ33" s="30"/>
      <c r="FA33" s="30"/>
      <c r="FB33" s="30"/>
      <c r="FC33" s="30"/>
      <c r="FD33" s="30"/>
      <c r="FE33" s="30"/>
      <c r="FF33" s="30"/>
      <c r="FG33" s="30"/>
      <c r="FH33" s="30"/>
      <c r="FI33" s="30"/>
      <c r="FJ33" s="30"/>
      <c r="FK33" s="30"/>
      <c r="FL33" s="30"/>
      <c r="FM33" s="30"/>
      <c r="FN33" s="30"/>
      <c r="FO33" s="30"/>
      <c r="FP33" s="30"/>
      <c r="FQ33" s="30"/>
      <c r="FR33" s="30"/>
      <c r="FS33" s="30"/>
      <c r="FT33" s="30"/>
      <c r="FU33" s="30"/>
      <c r="FV33" s="30"/>
      <c r="FW33" s="30"/>
      <c r="FX33" s="30"/>
      <c r="FY33" s="30"/>
      <c r="FZ33" s="30"/>
      <c r="GA33" s="30"/>
      <c r="GB33" s="30"/>
      <c r="GC33" s="30"/>
      <c r="GD33" s="30"/>
      <c r="GE33" s="30"/>
      <c r="GF33" s="30"/>
      <c r="GG33" s="30"/>
      <c r="GH33" s="30"/>
      <c r="GI33" s="30"/>
      <c r="GJ33" s="30"/>
      <c r="GK33" s="30"/>
      <c r="GL33" s="30"/>
      <c r="GM33" s="30"/>
      <c r="GN33" s="30"/>
      <c r="GO33" s="30"/>
      <c r="GP33" s="30"/>
      <c r="GQ33" s="30"/>
      <c r="GR33" s="30"/>
      <c r="GS33" s="30"/>
      <c r="GT33" s="30"/>
      <c r="GU33" s="30"/>
      <c r="GV33" s="30"/>
      <c r="GW33" s="30"/>
      <c r="GX33" s="30"/>
      <c r="GY33" s="30"/>
      <c r="GZ33" s="30"/>
      <c r="HA33" s="30"/>
      <c r="HB33" s="30"/>
      <c r="HC33" s="30"/>
      <c r="HD33" s="30"/>
      <c r="HE33" s="30"/>
      <c r="HF33" s="30"/>
      <c r="HG33" s="30"/>
      <c r="HH33" s="30"/>
      <c r="HI33" s="30"/>
      <c r="HJ33" s="30"/>
      <c r="HK33" s="30"/>
      <c r="HL33" s="30"/>
      <c r="HM33" s="30"/>
      <c r="HN33" s="30"/>
      <c r="HO33" s="30"/>
      <c r="HP33" s="30"/>
      <c r="HQ33" s="30"/>
      <c r="HR33" s="30"/>
      <c r="HS33" s="30"/>
      <c r="HT33" s="30"/>
      <c r="HU33" s="30"/>
      <c r="HV33" s="30"/>
      <c r="HW33" s="30"/>
      <c r="HX33" s="30"/>
      <c r="HY33" s="30"/>
      <c r="HZ33" s="30"/>
      <c r="IA33" s="30"/>
      <c r="IB33" s="30"/>
      <c r="IC33" s="30"/>
      <c r="ID33" s="30"/>
      <c r="IE33" s="30"/>
      <c r="IF33" s="30"/>
      <c r="IG33" s="30"/>
      <c r="IH33" s="30"/>
      <c r="II33" s="30"/>
      <c r="IJ33" s="30"/>
      <c r="IK33" s="30"/>
    </row>
    <row r="34" spans="1:245" ht="14.25">
      <c r="A34" s="28">
        <v>1</v>
      </c>
      <c r="B34" s="226" t="s">
        <v>446</v>
      </c>
      <c r="C34" s="29" t="s">
        <v>579</v>
      </c>
      <c r="D34" s="39">
        <f>$I$9</f>
        <v>3.5</v>
      </c>
      <c r="E34" s="39">
        <f>$I$11</f>
        <v>2</v>
      </c>
      <c r="F34" s="39">
        <f>1.211*2+0.744+4+1.4+4.4</f>
        <v>12.966000000000001</v>
      </c>
      <c r="G34" s="39">
        <f>0.3+6+11+2.992+1.01+0.272</f>
        <v>21.574000000000002</v>
      </c>
      <c r="H34" s="39">
        <v>5</v>
      </c>
      <c r="I34" s="39">
        <v>0.5</v>
      </c>
      <c r="J34" s="39">
        <f>SUM(D34:G34)*H34+0.2*2*H34</f>
        <v>202.20000000000005</v>
      </c>
      <c r="K34" s="40"/>
      <c r="L34" s="413"/>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c r="BY34" s="30"/>
      <c r="BZ34" s="30"/>
      <c r="CA34" s="30"/>
      <c r="CB34" s="30"/>
      <c r="CC34" s="30"/>
      <c r="CD34" s="30"/>
      <c r="CE34" s="30"/>
      <c r="CF34" s="30"/>
      <c r="CG34" s="30"/>
      <c r="CH34" s="30"/>
      <c r="CI34" s="30"/>
      <c r="CJ34" s="30"/>
      <c r="CK34" s="30"/>
      <c r="CL34" s="30"/>
      <c r="CM34" s="30"/>
      <c r="CN34" s="30"/>
      <c r="CO34" s="30"/>
      <c r="CP34" s="30"/>
      <c r="CQ34" s="30"/>
      <c r="CR34" s="30"/>
      <c r="CS34" s="30"/>
      <c r="CT34" s="30"/>
      <c r="CU34" s="30"/>
      <c r="CV34" s="30"/>
      <c r="CW34" s="30"/>
      <c r="CX34" s="30"/>
      <c r="CY34" s="30"/>
      <c r="CZ34" s="30"/>
      <c r="DA34" s="30"/>
      <c r="DB34" s="30"/>
      <c r="DC34" s="30"/>
      <c r="DD34" s="30"/>
      <c r="DE34" s="30"/>
      <c r="DF34" s="30"/>
      <c r="DG34" s="30"/>
      <c r="DH34" s="30"/>
      <c r="DI34" s="30"/>
      <c r="DJ34" s="30"/>
      <c r="DK34" s="30"/>
      <c r="DL34" s="30"/>
      <c r="DM34" s="30"/>
      <c r="DN34" s="30"/>
      <c r="DO34" s="30"/>
      <c r="DP34" s="30"/>
      <c r="DQ34" s="30"/>
      <c r="DR34" s="30"/>
      <c r="DS34" s="30"/>
      <c r="DT34" s="30"/>
      <c r="DU34" s="30"/>
      <c r="DV34" s="30"/>
      <c r="DW34" s="30"/>
      <c r="DX34" s="30"/>
      <c r="DY34" s="30"/>
      <c r="DZ34" s="30"/>
      <c r="EA34" s="30"/>
      <c r="EB34" s="30"/>
      <c r="EC34" s="30"/>
      <c r="ED34" s="30"/>
      <c r="EE34" s="30"/>
      <c r="EF34" s="30"/>
      <c r="EG34" s="30"/>
      <c r="EH34" s="30"/>
      <c r="EI34" s="30"/>
      <c r="EJ34" s="30"/>
      <c r="EK34" s="30"/>
      <c r="EL34" s="30"/>
      <c r="EM34" s="30"/>
      <c r="EN34" s="30"/>
      <c r="EO34" s="30"/>
      <c r="EP34" s="30"/>
      <c r="EQ34" s="30"/>
      <c r="ER34" s="30"/>
      <c r="ES34" s="30"/>
      <c r="ET34" s="30"/>
      <c r="EU34" s="30"/>
      <c r="EV34" s="30"/>
      <c r="EW34" s="30"/>
      <c r="EX34" s="30"/>
      <c r="EY34" s="30"/>
      <c r="EZ34" s="30"/>
      <c r="FA34" s="30"/>
      <c r="FB34" s="30"/>
      <c r="FC34" s="30"/>
      <c r="FD34" s="30"/>
      <c r="FE34" s="30"/>
      <c r="FF34" s="30"/>
      <c r="FG34" s="30"/>
      <c r="FH34" s="30"/>
      <c r="FI34" s="30"/>
      <c r="FJ34" s="30"/>
      <c r="FK34" s="30"/>
      <c r="FL34" s="30"/>
      <c r="FM34" s="30"/>
      <c r="FN34" s="30"/>
      <c r="FO34" s="30"/>
      <c r="FP34" s="30"/>
      <c r="FQ34" s="30"/>
      <c r="FR34" s="30"/>
      <c r="FS34" s="30"/>
      <c r="FT34" s="30"/>
      <c r="FU34" s="30"/>
      <c r="FV34" s="30"/>
      <c r="FW34" s="30"/>
      <c r="FX34" s="30"/>
      <c r="FY34" s="30"/>
      <c r="FZ34" s="30"/>
      <c r="GA34" s="30"/>
      <c r="GB34" s="30"/>
      <c r="GC34" s="30"/>
      <c r="GD34" s="30"/>
      <c r="GE34" s="30"/>
      <c r="GF34" s="30"/>
      <c r="GG34" s="30"/>
      <c r="GH34" s="30"/>
      <c r="GI34" s="30"/>
      <c r="GJ34" s="30"/>
      <c r="GK34" s="30"/>
      <c r="GL34" s="30"/>
      <c r="GM34" s="30"/>
      <c r="GN34" s="30"/>
      <c r="GO34" s="30"/>
      <c r="GP34" s="30"/>
      <c r="GQ34" s="30"/>
      <c r="GR34" s="30"/>
      <c r="GS34" s="30"/>
      <c r="GT34" s="30"/>
      <c r="GU34" s="30"/>
      <c r="GV34" s="30"/>
      <c r="GW34" s="30"/>
      <c r="GX34" s="30"/>
      <c r="GY34" s="30"/>
      <c r="GZ34" s="30"/>
      <c r="HA34" s="30"/>
      <c r="HB34" s="30"/>
      <c r="HC34" s="30"/>
      <c r="HD34" s="30"/>
      <c r="HE34" s="30"/>
      <c r="HF34" s="30"/>
      <c r="HG34" s="30"/>
      <c r="HH34" s="30"/>
      <c r="HI34" s="30"/>
      <c r="HJ34" s="30"/>
      <c r="HK34" s="30"/>
      <c r="HL34" s="30"/>
      <c r="HM34" s="30"/>
      <c r="HN34" s="30"/>
      <c r="HO34" s="30"/>
      <c r="HP34" s="30"/>
      <c r="HQ34" s="30"/>
      <c r="HR34" s="30"/>
      <c r="HS34" s="30"/>
      <c r="HT34" s="30"/>
      <c r="HU34" s="30"/>
      <c r="HV34" s="30"/>
      <c r="HW34" s="30"/>
      <c r="HX34" s="30"/>
      <c r="HY34" s="30"/>
      <c r="HZ34" s="30"/>
      <c r="IA34" s="30"/>
      <c r="IB34" s="30"/>
      <c r="IC34" s="30"/>
      <c r="ID34" s="30"/>
      <c r="IE34" s="30"/>
      <c r="IF34" s="30"/>
      <c r="IG34" s="30"/>
      <c r="IH34" s="30"/>
      <c r="II34" s="30"/>
      <c r="IJ34" s="30"/>
      <c r="IK34" s="30"/>
    </row>
    <row r="35" spans="1:245" ht="25.5">
      <c r="A35" s="28">
        <v>2</v>
      </c>
      <c r="B35" s="226" t="s">
        <v>517</v>
      </c>
      <c r="C35" s="390" t="s">
        <v>855</v>
      </c>
      <c r="D35" s="39">
        <f>$I$9+$I$10</f>
        <v>6.8</v>
      </c>
      <c r="E35" s="39"/>
      <c r="F35" s="39">
        <f>(1.211+1.753+0.268)*2</f>
        <v>6.4640000000000004</v>
      </c>
      <c r="G35" s="39"/>
      <c r="H35" s="39">
        <v>1</v>
      </c>
      <c r="I35" s="39">
        <v>0.5</v>
      </c>
      <c r="J35" s="39">
        <f>SUM(D35:G35)*H35+0.2*2*H35</f>
        <v>13.664</v>
      </c>
      <c r="K35" s="40"/>
      <c r="L35" s="413"/>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c r="CE35" s="30"/>
      <c r="CF35" s="30"/>
      <c r="CG35" s="30"/>
      <c r="CH35" s="30"/>
      <c r="CI35" s="30"/>
      <c r="CJ35" s="30"/>
      <c r="CK35" s="30"/>
      <c r="CL35" s="30"/>
      <c r="CM35" s="30"/>
      <c r="CN35" s="30"/>
      <c r="CO35" s="30"/>
      <c r="CP35" s="30"/>
      <c r="CQ35" s="30"/>
      <c r="CR35" s="30"/>
      <c r="CS35" s="30"/>
      <c r="CT35" s="30"/>
      <c r="CU35" s="30"/>
      <c r="CV35" s="30"/>
      <c r="CW35" s="30"/>
      <c r="CX35" s="30"/>
      <c r="CY35" s="30"/>
      <c r="CZ35" s="30"/>
      <c r="DA35" s="30"/>
      <c r="DB35" s="30"/>
      <c r="DC35" s="30"/>
      <c r="DD35" s="30"/>
      <c r="DE35" s="30"/>
      <c r="DF35" s="30"/>
      <c r="DG35" s="30"/>
      <c r="DH35" s="30"/>
      <c r="DI35" s="30"/>
      <c r="DJ35" s="30"/>
      <c r="DK35" s="30"/>
      <c r="DL35" s="30"/>
      <c r="DM35" s="30"/>
      <c r="DN35" s="30"/>
      <c r="DO35" s="30"/>
      <c r="DP35" s="30"/>
      <c r="DQ35" s="30"/>
      <c r="DR35" s="30"/>
      <c r="DS35" s="30"/>
      <c r="DT35" s="30"/>
      <c r="DU35" s="30"/>
      <c r="DV35" s="30"/>
      <c r="DW35" s="30"/>
      <c r="DX35" s="30"/>
      <c r="DY35" s="30"/>
      <c r="DZ35" s="30"/>
      <c r="EA35" s="30"/>
      <c r="EB35" s="30"/>
      <c r="EC35" s="30"/>
      <c r="ED35" s="30"/>
      <c r="EE35" s="30"/>
      <c r="EF35" s="30"/>
      <c r="EG35" s="30"/>
      <c r="EH35" s="30"/>
      <c r="EI35" s="30"/>
      <c r="EJ35" s="30"/>
      <c r="EK35" s="30"/>
      <c r="EL35" s="30"/>
      <c r="EM35" s="30"/>
      <c r="EN35" s="30"/>
      <c r="EO35" s="30"/>
      <c r="EP35" s="30"/>
      <c r="EQ35" s="30"/>
      <c r="ER35" s="30"/>
      <c r="ES35" s="30"/>
      <c r="ET35" s="30"/>
      <c r="EU35" s="30"/>
      <c r="EV35" s="30"/>
      <c r="EW35" s="30"/>
      <c r="EX35" s="30"/>
      <c r="EY35" s="30"/>
      <c r="EZ35" s="30"/>
      <c r="FA35" s="30"/>
      <c r="FB35" s="30"/>
      <c r="FC35" s="30"/>
      <c r="FD35" s="30"/>
      <c r="FE35" s="30"/>
      <c r="FF35" s="30"/>
      <c r="FG35" s="30"/>
      <c r="FH35" s="30"/>
      <c r="FI35" s="30"/>
      <c r="FJ35" s="30"/>
      <c r="FK35" s="30"/>
      <c r="FL35" s="30"/>
      <c r="FM35" s="30"/>
      <c r="FN35" s="30"/>
      <c r="FO35" s="30"/>
      <c r="FP35" s="30"/>
      <c r="FQ35" s="30"/>
      <c r="FR35" s="30"/>
      <c r="FS35" s="30"/>
      <c r="FT35" s="30"/>
      <c r="FU35" s="30"/>
      <c r="FV35" s="30"/>
      <c r="FW35" s="30"/>
      <c r="FX35" s="30"/>
      <c r="FY35" s="30"/>
      <c r="FZ35" s="30"/>
      <c r="GA35" s="30"/>
      <c r="GB35" s="30"/>
      <c r="GC35" s="30"/>
      <c r="GD35" s="30"/>
      <c r="GE35" s="30"/>
      <c r="GF35" s="30"/>
      <c r="GG35" s="30"/>
      <c r="GH35" s="30"/>
      <c r="GI35" s="30"/>
      <c r="GJ35" s="30"/>
      <c r="GK35" s="30"/>
      <c r="GL35" s="30"/>
      <c r="GM35" s="30"/>
      <c r="GN35" s="30"/>
      <c r="GO35" s="30"/>
      <c r="GP35" s="30"/>
      <c r="GQ35" s="30"/>
      <c r="GR35" s="30"/>
      <c r="GS35" s="30"/>
      <c r="GT35" s="30"/>
      <c r="GU35" s="30"/>
      <c r="GV35" s="30"/>
      <c r="GW35" s="30"/>
      <c r="GX35" s="30"/>
      <c r="GY35" s="30"/>
      <c r="GZ35" s="30"/>
      <c r="HA35" s="30"/>
      <c r="HB35" s="30"/>
      <c r="HC35" s="30"/>
      <c r="HD35" s="30"/>
      <c r="HE35" s="30"/>
      <c r="HF35" s="30"/>
      <c r="HG35" s="30"/>
      <c r="HH35" s="30"/>
      <c r="HI35" s="30"/>
      <c r="HJ35" s="30"/>
      <c r="HK35" s="30"/>
      <c r="HL35" s="30"/>
      <c r="HM35" s="30"/>
      <c r="HN35" s="30"/>
      <c r="HO35" s="30"/>
      <c r="HP35" s="30"/>
      <c r="HQ35" s="30"/>
      <c r="HR35" s="30"/>
      <c r="HS35" s="30"/>
      <c r="HT35" s="30"/>
      <c r="HU35" s="30"/>
      <c r="HV35" s="30"/>
      <c r="HW35" s="30"/>
      <c r="HX35" s="30"/>
      <c r="HY35" s="30"/>
      <c r="HZ35" s="30"/>
      <c r="IA35" s="30"/>
      <c r="IB35" s="30"/>
      <c r="IC35" s="30"/>
      <c r="ID35" s="30"/>
      <c r="IE35" s="30"/>
      <c r="IF35" s="30"/>
      <c r="IG35" s="30"/>
      <c r="IH35" s="30"/>
      <c r="II35" s="30"/>
      <c r="IJ35" s="30"/>
      <c r="IK35" s="30"/>
    </row>
    <row r="36" spans="1:245" ht="25.5">
      <c r="A36" s="28"/>
      <c r="B36" s="261" t="s">
        <v>515</v>
      </c>
      <c r="C36" s="29" t="s">
        <v>555</v>
      </c>
      <c r="D36" s="262"/>
      <c r="E36" s="262"/>
      <c r="F36" s="262">
        <f>$I$7-$I$9+$I$10</f>
        <v>3.95</v>
      </c>
      <c r="G36" s="262"/>
      <c r="H36" s="263">
        <v>1</v>
      </c>
      <c r="I36" s="39"/>
      <c r="J36" s="39">
        <f>SUM(D36:G36)*H36+I36*2*H36</f>
        <v>3.95</v>
      </c>
      <c r="K36" s="40"/>
      <c r="L36" s="413"/>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c r="CE36" s="30"/>
      <c r="CF36" s="30"/>
      <c r="CG36" s="30"/>
      <c r="CH36" s="30"/>
      <c r="CI36" s="30"/>
      <c r="CJ36" s="30"/>
      <c r="CK36" s="30"/>
      <c r="CL36" s="30"/>
      <c r="CM36" s="30"/>
      <c r="CN36" s="30"/>
      <c r="CO36" s="30"/>
      <c r="CP36" s="30"/>
      <c r="CQ36" s="30"/>
      <c r="CR36" s="30"/>
      <c r="CS36" s="30"/>
      <c r="CT36" s="30"/>
      <c r="CU36" s="30"/>
      <c r="CV36" s="30"/>
      <c r="CW36" s="30"/>
      <c r="CX36" s="30"/>
      <c r="CY36" s="30"/>
      <c r="CZ36" s="30"/>
      <c r="DA36" s="30"/>
      <c r="DB36" s="30"/>
      <c r="DC36" s="30"/>
      <c r="DD36" s="30"/>
      <c r="DE36" s="30"/>
      <c r="DF36" s="30"/>
      <c r="DG36" s="30"/>
      <c r="DH36" s="30"/>
      <c r="DI36" s="30"/>
      <c r="DJ36" s="30"/>
      <c r="DK36" s="30"/>
      <c r="DL36" s="30"/>
      <c r="DM36" s="30"/>
      <c r="DN36" s="30"/>
      <c r="DO36" s="30"/>
      <c r="DP36" s="30"/>
      <c r="DQ36" s="30"/>
      <c r="DR36" s="30"/>
      <c r="DS36" s="30"/>
      <c r="DT36" s="30"/>
      <c r="DU36" s="30"/>
      <c r="DV36" s="30"/>
      <c r="DW36" s="30"/>
      <c r="DX36" s="30"/>
      <c r="DY36" s="30"/>
      <c r="DZ36" s="30"/>
      <c r="EA36" s="30"/>
      <c r="EB36" s="30"/>
      <c r="EC36" s="30"/>
      <c r="ED36" s="30"/>
      <c r="EE36" s="30"/>
      <c r="EF36" s="30"/>
      <c r="EG36" s="30"/>
      <c r="EH36" s="30"/>
      <c r="EI36" s="30"/>
      <c r="EJ36" s="30"/>
      <c r="EK36" s="30"/>
      <c r="EL36" s="30"/>
      <c r="EM36" s="30"/>
      <c r="EN36" s="30"/>
      <c r="EO36" s="30"/>
      <c r="EP36" s="30"/>
      <c r="EQ36" s="30"/>
      <c r="ER36" s="30"/>
      <c r="ES36" s="30"/>
      <c r="ET36" s="30"/>
      <c r="EU36" s="30"/>
      <c r="EV36" s="30"/>
      <c r="EW36" s="30"/>
      <c r="EX36" s="30"/>
      <c r="EY36" s="30"/>
      <c r="EZ36" s="30"/>
      <c r="FA36" s="30"/>
      <c r="FB36" s="30"/>
      <c r="FC36" s="30"/>
      <c r="FD36" s="30"/>
      <c r="FE36" s="30"/>
      <c r="FF36" s="30"/>
      <c r="FG36" s="30"/>
      <c r="FH36" s="30"/>
      <c r="FI36" s="30"/>
      <c r="FJ36" s="30"/>
      <c r="FK36" s="30"/>
      <c r="FL36" s="30"/>
      <c r="FM36" s="30"/>
      <c r="FN36" s="30"/>
      <c r="FO36" s="30"/>
      <c r="FP36" s="30"/>
      <c r="FQ36" s="30"/>
      <c r="FR36" s="30"/>
      <c r="FS36" s="30"/>
      <c r="FT36" s="30"/>
      <c r="FU36" s="30"/>
      <c r="FV36" s="30"/>
      <c r="FW36" s="30"/>
      <c r="FX36" s="30"/>
      <c r="FY36" s="30"/>
      <c r="FZ36" s="30"/>
      <c r="GA36" s="30"/>
      <c r="GB36" s="30"/>
      <c r="GC36" s="30"/>
      <c r="GD36" s="30"/>
      <c r="GE36" s="30"/>
      <c r="GF36" s="30"/>
      <c r="GG36" s="30"/>
      <c r="GH36" s="30"/>
      <c r="GI36" s="30"/>
      <c r="GJ36" s="30"/>
      <c r="GK36" s="30"/>
      <c r="GL36" s="30"/>
      <c r="GM36" s="30"/>
      <c r="GN36" s="30"/>
      <c r="GO36" s="30"/>
      <c r="GP36" s="30"/>
      <c r="GQ36" s="30"/>
      <c r="GR36" s="30"/>
      <c r="GS36" s="30"/>
      <c r="GT36" s="30"/>
      <c r="GU36" s="30"/>
      <c r="GV36" s="30"/>
      <c r="GW36" s="30"/>
      <c r="GX36" s="30"/>
      <c r="GY36" s="30"/>
      <c r="GZ36" s="30"/>
      <c r="HA36" s="30"/>
      <c r="HB36" s="30"/>
      <c r="HC36" s="30"/>
      <c r="HD36" s="30"/>
      <c r="HE36" s="30"/>
      <c r="HF36" s="30"/>
      <c r="HG36" s="30"/>
      <c r="HH36" s="30"/>
      <c r="HI36" s="30"/>
      <c r="HJ36" s="30"/>
      <c r="HK36" s="30"/>
      <c r="HL36" s="30"/>
      <c r="HM36" s="30"/>
      <c r="HN36" s="30"/>
      <c r="HO36" s="30"/>
      <c r="HP36" s="30"/>
      <c r="HQ36" s="30"/>
      <c r="HR36" s="30"/>
      <c r="HS36" s="30"/>
      <c r="HT36" s="30"/>
      <c r="HU36" s="30"/>
      <c r="HV36" s="30"/>
      <c r="HW36" s="30"/>
      <c r="HX36" s="30"/>
      <c r="HY36" s="30"/>
      <c r="HZ36" s="30"/>
      <c r="IA36" s="30"/>
      <c r="IB36" s="30"/>
      <c r="IC36" s="30"/>
      <c r="ID36" s="30"/>
      <c r="IE36" s="30"/>
      <c r="IF36" s="30"/>
      <c r="IG36" s="30"/>
      <c r="IH36" s="30"/>
      <c r="II36" s="30"/>
      <c r="IJ36" s="30"/>
      <c r="IK36" s="30"/>
    </row>
    <row r="37" spans="1:245" ht="25.5">
      <c r="A37" s="28">
        <v>3</v>
      </c>
      <c r="B37" s="226" t="s">
        <v>518</v>
      </c>
      <c r="C37" s="390" t="s">
        <v>856</v>
      </c>
      <c r="D37" s="39">
        <f>$I$9</f>
        <v>3.5</v>
      </c>
      <c r="E37" s="262">
        <f>$I$10</f>
        <v>3.3</v>
      </c>
      <c r="F37" s="39">
        <f>(1.23+1.753+0.268)*2</f>
        <v>6.5019999999999989</v>
      </c>
      <c r="G37" s="262"/>
      <c r="H37" s="39">
        <v>1</v>
      </c>
      <c r="I37" s="39">
        <v>0.5</v>
      </c>
      <c r="J37" s="39">
        <f>SUM(D37:G37)*H37+0.2*2*H37</f>
        <v>13.702</v>
      </c>
      <c r="K37" s="40"/>
      <c r="L37" s="413"/>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c r="CE37" s="30"/>
      <c r="CF37" s="30"/>
      <c r="CG37" s="30"/>
      <c r="CH37" s="30"/>
      <c r="CI37" s="30"/>
      <c r="CJ37" s="30"/>
      <c r="CK37" s="30"/>
      <c r="CL37" s="30"/>
      <c r="CM37" s="30"/>
      <c r="CN37" s="30"/>
      <c r="CO37" s="30"/>
      <c r="CP37" s="30"/>
      <c r="CQ37" s="30"/>
      <c r="CR37" s="30"/>
      <c r="CS37" s="30"/>
      <c r="CT37" s="30"/>
      <c r="CU37" s="30"/>
      <c r="CV37" s="30"/>
      <c r="CW37" s="30"/>
      <c r="CX37" s="30"/>
      <c r="CY37" s="30"/>
      <c r="CZ37" s="30"/>
      <c r="DA37" s="30"/>
      <c r="DB37" s="30"/>
      <c r="DC37" s="30"/>
      <c r="DD37" s="30"/>
      <c r="DE37" s="30"/>
      <c r="DF37" s="30"/>
      <c r="DG37" s="30"/>
      <c r="DH37" s="30"/>
      <c r="DI37" s="30"/>
      <c r="DJ37" s="30"/>
      <c r="DK37" s="30"/>
      <c r="DL37" s="30"/>
      <c r="DM37" s="30"/>
      <c r="DN37" s="30"/>
      <c r="DO37" s="30"/>
      <c r="DP37" s="30"/>
      <c r="DQ37" s="30"/>
      <c r="DR37" s="30"/>
      <c r="DS37" s="30"/>
      <c r="DT37" s="30"/>
      <c r="DU37" s="30"/>
      <c r="DV37" s="30"/>
      <c r="DW37" s="30"/>
      <c r="DX37" s="30"/>
      <c r="DY37" s="30"/>
      <c r="DZ37" s="30"/>
      <c r="EA37" s="30"/>
      <c r="EB37" s="30"/>
      <c r="EC37" s="30"/>
      <c r="ED37" s="30"/>
      <c r="EE37" s="30"/>
      <c r="EF37" s="30"/>
      <c r="EG37" s="30"/>
      <c r="EH37" s="30"/>
      <c r="EI37" s="30"/>
      <c r="EJ37" s="30"/>
      <c r="EK37" s="30"/>
      <c r="EL37" s="30"/>
      <c r="EM37" s="30"/>
      <c r="EN37" s="30"/>
      <c r="EO37" s="30"/>
      <c r="EP37" s="30"/>
      <c r="EQ37" s="30"/>
      <c r="ER37" s="30"/>
      <c r="ES37" s="30"/>
      <c r="ET37" s="30"/>
      <c r="EU37" s="30"/>
      <c r="EV37" s="30"/>
      <c r="EW37" s="30"/>
      <c r="EX37" s="30"/>
      <c r="EY37" s="30"/>
      <c r="EZ37" s="30"/>
      <c r="FA37" s="30"/>
      <c r="FB37" s="30"/>
      <c r="FC37" s="30"/>
      <c r="FD37" s="30"/>
      <c r="FE37" s="30"/>
      <c r="FF37" s="30"/>
      <c r="FG37" s="30"/>
      <c r="FH37" s="30"/>
      <c r="FI37" s="30"/>
      <c r="FJ37" s="30"/>
      <c r="FK37" s="30"/>
      <c r="FL37" s="30"/>
      <c r="FM37" s="30"/>
      <c r="FN37" s="30"/>
      <c r="FO37" s="30"/>
      <c r="FP37" s="30"/>
      <c r="FQ37" s="30"/>
      <c r="FR37" s="30"/>
      <c r="FS37" s="30"/>
      <c r="FT37" s="30"/>
      <c r="FU37" s="30"/>
      <c r="FV37" s="30"/>
      <c r="FW37" s="30"/>
      <c r="FX37" s="30"/>
      <c r="FY37" s="30"/>
      <c r="FZ37" s="30"/>
      <c r="GA37" s="30"/>
      <c r="GB37" s="30"/>
      <c r="GC37" s="30"/>
      <c r="GD37" s="30"/>
      <c r="GE37" s="30"/>
      <c r="GF37" s="30"/>
      <c r="GG37" s="30"/>
      <c r="GH37" s="30"/>
      <c r="GI37" s="30"/>
      <c r="GJ37" s="30"/>
      <c r="GK37" s="30"/>
      <c r="GL37" s="30"/>
      <c r="GM37" s="30"/>
      <c r="GN37" s="30"/>
      <c r="GO37" s="30"/>
      <c r="GP37" s="30"/>
      <c r="GQ37" s="30"/>
      <c r="GR37" s="30"/>
      <c r="GS37" s="30"/>
      <c r="GT37" s="30"/>
      <c r="GU37" s="30"/>
      <c r="GV37" s="30"/>
      <c r="GW37" s="30"/>
      <c r="GX37" s="30"/>
      <c r="GY37" s="30"/>
      <c r="GZ37" s="30"/>
      <c r="HA37" s="30"/>
      <c r="HB37" s="30"/>
      <c r="HC37" s="30"/>
      <c r="HD37" s="30"/>
      <c r="HE37" s="30"/>
      <c r="HF37" s="30"/>
      <c r="HG37" s="30"/>
      <c r="HH37" s="30"/>
      <c r="HI37" s="30"/>
      <c r="HJ37" s="30"/>
      <c r="HK37" s="30"/>
      <c r="HL37" s="30"/>
      <c r="HM37" s="30"/>
      <c r="HN37" s="30"/>
      <c r="HO37" s="30"/>
      <c r="HP37" s="30"/>
      <c r="HQ37" s="30"/>
      <c r="HR37" s="30"/>
      <c r="HS37" s="30"/>
      <c r="HT37" s="30"/>
      <c r="HU37" s="30"/>
      <c r="HV37" s="30"/>
      <c r="HW37" s="30"/>
      <c r="HX37" s="30"/>
      <c r="HY37" s="30"/>
      <c r="HZ37" s="30"/>
      <c r="IA37" s="30"/>
      <c r="IB37" s="30"/>
      <c r="IC37" s="30"/>
      <c r="ID37" s="30"/>
      <c r="IE37" s="30"/>
      <c r="IF37" s="30"/>
      <c r="IG37" s="30"/>
      <c r="IH37" s="30"/>
      <c r="II37" s="30"/>
      <c r="IJ37" s="30"/>
      <c r="IK37" s="30"/>
    </row>
    <row r="38" spans="1:245" ht="25.5">
      <c r="A38" s="28"/>
      <c r="B38" s="261" t="s">
        <v>515</v>
      </c>
      <c r="C38" s="29" t="s">
        <v>555</v>
      </c>
      <c r="D38" s="262"/>
      <c r="E38" s="262"/>
      <c r="F38" s="262">
        <f>$I$7-$I$9+$I$8+$I$10</f>
        <v>7.6000000000000005</v>
      </c>
      <c r="G38" s="262"/>
      <c r="H38" s="263">
        <v>1</v>
      </c>
      <c r="I38" s="39"/>
      <c r="J38" s="39">
        <f>SUM(D38:G38)*H38+I38*2*H38</f>
        <v>7.6000000000000005</v>
      </c>
      <c r="K38" s="40"/>
      <c r="L38" s="413"/>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c r="CE38" s="30"/>
      <c r="CF38" s="30"/>
      <c r="CG38" s="30"/>
      <c r="CH38" s="30"/>
      <c r="CI38" s="30"/>
      <c r="CJ38" s="30"/>
      <c r="CK38" s="30"/>
      <c r="CL38" s="30"/>
      <c r="CM38" s="30"/>
      <c r="CN38" s="30"/>
      <c r="CO38" s="30"/>
      <c r="CP38" s="30"/>
      <c r="CQ38" s="30"/>
      <c r="CR38" s="30"/>
      <c r="CS38" s="30"/>
      <c r="CT38" s="30"/>
      <c r="CU38" s="30"/>
      <c r="CV38" s="30"/>
      <c r="CW38" s="30"/>
      <c r="CX38" s="30"/>
      <c r="CY38" s="30"/>
      <c r="CZ38" s="30"/>
      <c r="DA38" s="30"/>
      <c r="DB38" s="30"/>
      <c r="DC38" s="30"/>
      <c r="DD38" s="30"/>
      <c r="DE38" s="30"/>
      <c r="DF38" s="30"/>
      <c r="DG38" s="30"/>
      <c r="DH38" s="30"/>
      <c r="DI38" s="30"/>
      <c r="DJ38" s="30"/>
      <c r="DK38" s="30"/>
      <c r="DL38" s="30"/>
      <c r="DM38" s="30"/>
      <c r="DN38" s="30"/>
      <c r="DO38" s="30"/>
      <c r="DP38" s="30"/>
      <c r="DQ38" s="30"/>
      <c r="DR38" s="30"/>
      <c r="DS38" s="30"/>
      <c r="DT38" s="30"/>
      <c r="DU38" s="30"/>
      <c r="DV38" s="30"/>
      <c r="DW38" s="30"/>
      <c r="DX38" s="30"/>
      <c r="DY38" s="30"/>
      <c r="DZ38" s="30"/>
      <c r="EA38" s="30"/>
      <c r="EB38" s="30"/>
      <c r="EC38" s="30"/>
      <c r="ED38" s="30"/>
      <c r="EE38" s="30"/>
      <c r="EF38" s="30"/>
      <c r="EG38" s="30"/>
      <c r="EH38" s="30"/>
      <c r="EI38" s="30"/>
      <c r="EJ38" s="30"/>
      <c r="EK38" s="30"/>
      <c r="EL38" s="30"/>
      <c r="EM38" s="30"/>
      <c r="EN38" s="30"/>
      <c r="EO38" s="30"/>
      <c r="EP38" s="30"/>
      <c r="EQ38" s="30"/>
      <c r="ER38" s="30"/>
      <c r="ES38" s="30"/>
      <c r="ET38" s="30"/>
      <c r="EU38" s="30"/>
      <c r="EV38" s="30"/>
      <c r="EW38" s="30"/>
      <c r="EX38" s="30"/>
      <c r="EY38" s="30"/>
      <c r="EZ38" s="30"/>
      <c r="FA38" s="30"/>
      <c r="FB38" s="30"/>
      <c r="FC38" s="30"/>
      <c r="FD38" s="30"/>
      <c r="FE38" s="30"/>
      <c r="FF38" s="30"/>
      <c r="FG38" s="30"/>
      <c r="FH38" s="30"/>
      <c r="FI38" s="30"/>
      <c r="FJ38" s="30"/>
      <c r="FK38" s="30"/>
      <c r="FL38" s="30"/>
      <c r="FM38" s="30"/>
      <c r="FN38" s="30"/>
      <c r="FO38" s="30"/>
      <c r="FP38" s="30"/>
      <c r="FQ38" s="30"/>
      <c r="FR38" s="30"/>
      <c r="FS38" s="30"/>
      <c r="FT38" s="30"/>
      <c r="FU38" s="30"/>
      <c r="FV38" s="30"/>
      <c r="FW38" s="30"/>
      <c r="FX38" s="30"/>
      <c r="FY38" s="30"/>
      <c r="FZ38" s="30"/>
      <c r="GA38" s="30"/>
      <c r="GB38" s="30"/>
      <c r="GC38" s="30"/>
      <c r="GD38" s="30"/>
      <c r="GE38" s="30"/>
      <c r="GF38" s="30"/>
      <c r="GG38" s="30"/>
      <c r="GH38" s="30"/>
      <c r="GI38" s="30"/>
      <c r="GJ38" s="30"/>
      <c r="GK38" s="30"/>
      <c r="GL38" s="30"/>
      <c r="GM38" s="30"/>
      <c r="GN38" s="30"/>
      <c r="GO38" s="30"/>
      <c r="GP38" s="30"/>
      <c r="GQ38" s="30"/>
      <c r="GR38" s="30"/>
      <c r="GS38" s="30"/>
      <c r="GT38" s="30"/>
      <c r="GU38" s="30"/>
      <c r="GV38" s="30"/>
      <c r="GW38" s="30"/>
      <c r="GX38" s="30"/>
      <c r="GY38" s="30"/>
      <c r="GZ38" s="30"/>
      <c r="HA38" s="30"/>
      <c r="HB38" s="30"/>
      <c r="HC38" s="30"/>
      <c r="HD38" s="30"/>
      <c r="HE38" s="30"/>
      <c r="HF38" s="30"/>
      <c r="HG38" s="30"/>
      <c r="HH38" s="30"/>
      <c r="HI38" s="30"/>
      <c r="HJ38" s="30"/>
      <c r="HK38" s="30"/>
      <c r="HL38" s="30"/>
      <c r="HM38" s="30"/>
      <c r="HN38" s="30"/>
      <c r="HO38" s="30"/>
      <c r="HP38" s="30"/>
      <c r="HQ38" s="30"/>
      <c r="HR38" s="30"/>
      <c r="HS38" s="30"/>
      <c r="HT38" s="30"/>
      <c r="HU38" s="30"/>
      <c r="HV38" s="30"/>
      <c r="HW38" s="30"/>
      <c r="HX38" s="30"/>
      <c r="HY38" s="30"/>
      <c r="HZ38" s="30"/>
      <c r="IA38" s="30"/>
      <c r="IB38" s="30"/>
      <c r="IC38" s="30"/>
      <c r="ID38" s="30"/>
      <c r="IE38" s="30"/>
      <c r="IF38" s="30"/>
      <c r="IG38" s="30"/>
      <c r="IH38" s="30"/>
      <c r="II38" s="30"/>
      <c r="IJ38" s="30"/>
      <c r="IK38" s="30"/>
    </row>
    <row r="39" spans="1:245" ht="14.25">
      <c r="A39" s="41" t="s">
        <v>80</v>
      </c>
      <c r="B39" s="895" t="s">
        <v>519</v>
      </c>
      <c r="C39" s="896"/>
      <c r="D39" s="896"/>
      <c r="E39" s="896"/>
      <c r="F39" s="896"/>
      <c r="G39" s="896"/>
      <c r="H39" s="897"/>
      <c r="I39" s="234"/>
      <c r="J39" s="73">
        <f>SUM(J40:J42)</f>
        <v>173.625</v>
      </c>
      <c r="K39" s="73">
        <f>SUM(K40:K41)</f>
        <v>0</v>
      </c>
      <c r="L39" s="412">
        <f>SUM(J39:K39)</f>
        <v>173.625</v>
      </c>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c r="CE39" s="30"/>
      <c r="CF39" s="30"/>
      <c r="CG39" s="30"/>
      <c r="CH39" s="30"/>
      <c r="CI39" s="30"/>
      <c r="CJ39" s="30"/>
      <c r="CK39" s="30"/>
      <c r="CL39" s="30"/>
      <c r="CM39" s="30"/>
      <c r="CN39" s="30"/>
      <c r="CO39" s="30"/>
      <c r="CP39" s="30"/>
      <c r="CQ39" s="30"/>
      <c r="CR39" s="30"/>
      <c r="CS39" s="30"/>
      <c r="CT39" s="30"/>
      <c r="CU39" s="30"/>
      <c r="CV39" s="30"/>
      <c r="CW39" s="30"/>
      <c r="CX39" s="30"/>
      <c r="CY39" s="30"/>
      <c r="CZ39" s="30"/>
      <c r="DA39" s="30"/>
      <c r="DB39" s="30"/>
      <c r="DC39" s="30"/>
      <c r="DD39" s="30"/>
      <c r="DE39" s="30"/>
      <c r="DF39" s="30"/>
      <c r="DG39" s="30"/>
      <c r="DH39" s="30"/>
      <c r="DI39" s="30"/>
      <c r="DJ39" s="30"/>
      <c r="DK39" s="30"/>
      <c r="DL39" s="30"/>
      <c r="DM39" s="30"/>
      <c r="DN39" s="30"/>
      <c r="DO39" s="30"/>
      <c r="DP39" s="30"/>
      <c r="DQ39" s="30"/>
      <c r="DR39" s="30"/>
      <c r="DS39" s="30"/>
      <c r="DT39" s="30"/>
      <c r="DU39" s="30"/>
      <c r="DV39" s="30"/>
      <c r="DW39" s="30"/>
      <c r="DX39" s="30"/>
      <c r="DY39" s="30"/>
      <c r="DZ39" s="30"/>
      <c r="EA39" s="30"/>
      <c r="EB39" s="30"/>
      <c r="EC39" s="30"/>
      <c r="ED39" s="30"/>
      <c r="EE39" s="30"/>
      <c r="EF39" s="30"/>
      <c r="EG39" s="30"/>
      <c r="EH39" s="30"/>
      <c r="EI39" s="30"/>
      <c r="EJ39" s="30"/>
      <c r="EK39" s="30"/>
      <c r="EL39" s="30"/>
      <c r="EM39" s="30"/>
      <c r="EN39" s="30"/>
      <c r="EO39" s="30"/>
      <c r="EP39" s="30"/>
      <c r="EQ39" s="30"/>
      <c r="ER39" s="30"/>
      <c r="ES39" s="30"/>
      <c r="ET39" s="30"/>
      <c r="EU39" s="30"/>
      <c r="EV39" s="30"/>
      <c r="EW39" s="30"/>
      <c r="EX39" s="30"/>
      <c r="EY39" s="30"/>
      <c r="EZ39" s="30"/>
      <c r="FA39" s="30"/>
      <c r="FB39" s="30"/>
      <c r="FC39" s="30"/>
      <c r="FD39" s="30"/>
      <c r="FE39" s="30"/>
      <c r="FF39" s="30"/>
      <c r="FG39" s="30"/>
      <c r="FH39" s="30"/>
      <c r="FI39" s="30"/>
      <c r="FJ39" s="30"/>
      <c r="FK39" s="30"/>
      <c r="FL39" s="30"/>
      <c r="FM39" s="30"/>
      <c r="FN39" s="30"/>
      <c r="FO39" s="30"/>
      <c r="FP39" s="30"/>
      <c r="FQ39" s="30"/>
      <c r="FR39" s="30"/>
      <c r="FS39" s="30"/>
      <c r="FT39" s="30"/>
      <c r="FU39" s="30"/>
      <c r="FV39" s="30"/>
      <c r="FW39" s="30"/>
      <c r="FX39" s="30"/>
      <c r="FY39" s="30"/>
      <c r="FZ39" s="30"/>
      <c r="GA39" s="30"/>
      <c r="GB39" s="30"/>
      <c r="GC39" s="30"/>
      <c r="GD39" s="30"/>
      <c r="GE39" s="30"/>
      <c r="GF39" s="30"/>
      <c r="GG39" s="30"/>
      <c r="GH39" s="30"/>
      <c r="GI39" s="30"/>
      <c r="GJ39" s="30"/>
      <c r="GK39" s="30"/>
      <c r="GL39" s="30"/>
      <c r="GM39" s="30"/>
      <c r="GN39" s="30"/>
      <c r="GO39" s="30"/>
      <c r="GP39" s="30"/>
      <c r="GQ39" s="30"/>
      <c r="GR39" s="30"/>
      <c r="GS39" s="30"/>
      <c r="GT39" s="30"/>
      <c r="GU39" s="30"/>
      <c r="GV39" s="30"/>
      <c r="GW39" s="30"/>
      <c r="GX39" s="30"/>
      <c r="GY39" s="30"/>
      <c r="GZ39" s="30"/>
      <c r="HA39" s="30"/>
      <c r="HB39" s="30"/>
      <c r="HC39" s="30"/>
      <c r="HD39" s="30"/>
      <c r="HE39" s="30"/>
      <c r="HF39" s="30"/>
      <c r="HG39" s="30"/>
      <c r="HH39" s="30"/>
      <c r="HI39" s="30"/>
      <c r="HJ39" s="30"/>
      <c r="HK39" s="30"/>
      <c r="HL39" s="30"/>
      <c r="HM39" s="30"/>
      <c r="HN39" s="30"/>
      <c r="HO39" s="30"/>
      <c r="HP39" s="30"/>
      <c r="HQ39" s="30"/>
      <c r="HR39" s="30"/>
      <c r="HS39" s="30"/>
      <c r="HT39" s="30"/>
      <c r="HU39" s="30"/>
      <c r="HV39" s="30"/>
      <c r="HW39" s="30"/>
      <c r="HX39" s="30"/>
      <c r="HY39" s="30"/>
      <c r="HZ39" s="30"/>
      <c r="IA39" s="30"/>
      <c r="IB39" s="30"/>
      <c r="IC39" s="30"/>
      <c r="ID39" s="30"/>
      <c r="IE39" s="30"/>
      <c r="IF39" s="30"/>
      <c r="IG39" s="30"/>
      <c r="IH39" s="30"/>
      <c r="II39" s="30"/>
      <c r="IJ39" s="30"/>
      <c r="IK39" s="30"/>
    </row>
    <row r="40" spans="1:245" ht="25.5">
      <c r="A40" s="28">
        <v>1</v>
      </c>
      <c r="B40" s="226" t="s">
        <v>520</v>
      </c>
      <c r="C40" s="390" t="s">
        <v>854</v>
      </c>
      <c r="D40" s="39">
        <f>$I$9</f>
        <v>3.5</v>
      </c>
      <c r="E40" s="39">
        <v>1.3</v>
      </c>
      <c r="F40" s="39">
        <f>1.23+1.753+0.268+5+0.5</f>
        <v>8.7509999999999994</v>
      </c>
      <c r="G40" s="39"/>
      <c r="H40" s="39">
        <v>5</v>
      </c>
      <c r="I40" s="39">
        <f>0.5</f>
        <v>0.5</v>
      </c>
      <c r="J40" s="39">
        <f>SUM(D40:G40)*H40+0.2*2*H40</f>
        <v>69.754999999999995</v>
      </c>
      <c r="K40" s="40"/>
      <c r="L40" s="413"/>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c r="CE40" s="30"/>
      <c r="CF40" s="30"/>
      <c r="CG40" s="30"/>
      <c r="CH40" s="30"/>
      <c r="CI40" s="30"/>
      <c r="CJ40" s="30"/>
      <c r="CK40" s="30"/>
      <c r="CL40" s="30"/>
      <c r="CM40" s="30"/>
      <c r="CN40" s="30"/>
      <c r="CO40" s="30"/>
      <c r="CP40" s="30"/>
      <c r="CQ40" s="30"/>
      <c r="CR40" s="30"/>
      <c r="CS40" s="30"/>
      <c r="CT40" s="30"/>
      <c r="CU40" s="30"/>
      <c r="CV40" s="30"/>
      <c r="CW40" s="30"/>
      <c r="CX40" s="30"/>
      <c r="CY40" s="30"/>
      <c r="CZ40" s="30"/>
      <c r="DA40" s="30"/>
      <c r="DB40" s="30"/>
      <c r="DC40" s="30"/>
      <c r="DD40" s="30"/>
      <c r="DE40" s="30"/>
      <c r="DF40" s="30"/>
      <c r="DG40" s="30"/>
      <c r="DH40" s="30"/>
      <c r="DI40" s="30"/>
      <c r="DJ40" s="30"/>
      <c r="DK40" s="30"/>
      <c r="DL40" s="30"/>
      <c r="DM40" s="30"/>
      <c r="DN40" s="30"/>
      <c r="DO40" s="30"/>
      <c r="DP40" s="30"/>
      <c r="DQ40" s="30"/>
      <c r="DR40" s="30"/>
      <c r="DS40" s="30"/>
      <c r="DT40" s="30"/>
      <c r="DU40" s="30"/>
      <c r="DV40" s="30"/>
      <c r="DW40" s="30"/>
      <c r="DX40" s="30"/>
      <c r="DY40" s="30"/>
      <c r="DZ40" s="30"/>
      <c r="EA40" s="30"/>
      <c r="EB40" s="30"/>
      <c r="EC40" s="30"/>
      <c r="ED40" s="30"/>
      <c r="EE40" s="30"/>
      <c r="EF40" s="30"/>
      <c r="EG40" s="30"/>
      <c r="EH40" s="30"/>
      <c r="EI40" s="30"/>
      <c r="EJ40" s="30"/>
      <c r="EK40" s="30"/>
      <c r="EL40" s="30"/>
      <c r="EM40" s="30"/>
      <c r="EN40" s="30"/>
      <c r="EO40" s="30"/>
      <c r="EP40" s="30"/>
      <c r="EQ40" s="30"/>
      <c r="ER40" s="30"/>
      <c r="ES40" s="30"/>
      <c r="ET40" s="30"/>
      <c r="EU40" s="30"/>
      <c r="EV40" s="30"/>
      <c r="EW40" s="30"/>
      <c r="EX40" s="30"/>
      <c r="EY40" s="30"/>
      <c r="EZ40" s="30"/>
      <c r="FA40" s="30"/>
      <c r="FB40" s="30"/>
      <c r="FC40" s="30"/>
      <c r="FD40" s="30"/>
      <c r="FE40" s="30"/>
      <c r="FF40" s="30"/>
      <c r="FG40" s="30"/>
      <c r="FH40" s="30"/>
      <c r="FI40" s="30"/>
      <c r="FJ40" s="30"/>
      <c r="FK40" s="30"/>
      <c r="FL40" s="30"/>
      <c r="FM40" s="30"/>
      <c r="FN40" s="30"/>
      <c r="FO40" s="30"/>
      <c r="FP40" s="30"/>
      <c r="FQ40" s="30"/>
      <c r="FR40" s="30"/>
      <c r="FS40" s="30"/>
      <c r="FT40" s="30"/>
      <c r="FU40" s="30"/>
      <c r="FV40" s="30"/>
      <c r="FW40" s="30"/>
      <c r="FX40" s="30"/>
      <c r="FY40" s="30"/>
      <c r="FZ40" s="30"/>
      <c r="GA40" s="30"/>
      <c r="GB40" s="30"/>
      <c r="GC40" s="30"/>
      <c r="GD40" s="30"/>
      <c r="GE40" s="30"/>
      <c r="GF40" s="30"/>
      <c r="GG40" s="30"/>
      <c r="GH40" s="30"/>
      <c r="GI40" s="30"/>
      <c r="GJ40" s="30"/>
      <c r="GK40" s="30"/>
      <c r="GL40" s="30"/>
      <c r="GM40" s="30"/>
      <c r="GN40" s="30"/>
      <c r="GO40" s="30"/>
      <c r="GP40" s="30"/>
      <c r="GQ40" s="30"/>
      <c r="GR40" s="30"/>
      <c r="GS40" s="30"/>
      <c r="GT40" s="30"/>
      <c r="GU40" s="30"/>
      <c r="GV40" s="30"/>
      <c r="GW40" s="30"/>
      <c r="GX40" s="30"/>
      <c r="GY40" s="30"/>
      <c r="GZ40" s="30"/>
      <c r="HA40" s="30"/>
      <c r="HB40" s="30"/>
      <c r="HC40" s="30"/>
      <c r="HD40" s="30"/>
      <c r="HE40" s="30"/>
      <c r="HF40" s="30"/>
      <c r="HG40" s="30"/>
      <c r="HH40" s="30"/>
      <c r="HI40" s="30"/>
      <c r="HJ40" s="30"/>
      <c r="HK40" s="30"/>
      <c r="HL40" s="30"/>
      <c r="HM40" s="30"/>
      <c r="HN40" s="30"/>
      <c r="HO40" s="30"/>
      <c r="HP40" s="30"/>
      <c r="HQ40" s="30"/>
      <c r="HR40" s="30"/>
      <c r="HS40" s="30"/>
      <c r="HT40" s="30"/>
      <c r="HU40" s="30"/>
      <c r="HV40" s="30"/>
      <c r="HW40" s="30"/>
      <c r="HX40" s="30"/>
      <c r="HY40" s="30"/>
      <c r="HZ40" s="30"/>
      <c r="IA40" s="30"/>
      <c r="IB40" s="30"/>
      <c r="IC40" s="30"/>
      <c r="ID40" s="30"/>
      <c r="IE40" s="30"/>
      <c r="IF40" s="30"/>
      <c r="IG40" s="30"/>
      <c r="IH40" s="30"/>
      <c r="II40" s="30"/>
      <c r="IJ40" s="30"/>
      <c r="IK40" s="30"/>
    </row>
    <row r="41" spans="1:245" ht="25.5">
      <c r="A41" s="28"/>
      <c r="B41" s="261" t="s">
        <v>515</v>
      </c>
      <c r="C41" s="29" t="s">
        <v>555</v>
      </c>
      <c r="D41" s="262"/>
      <c r="E41" s="262"/>
      <c r="F41" s="262">
        <f>$I$7-$I$9+$I$8*2+0.655</f>
        <v>8.6050000000000004</v>
      </c>
      <c r="G41" s="262"/>
      <c r="H41" s="263">
        <v>5</v>
      </c>
      <c r="I41" s="39"/>
      <c r="J41" s="39">
        <f>SUM(D41:G41)*H41+I41*2*H41</f>
        <v>43.025000000000006</v>
      </c>
      <c r="K41" s="40"/>
      <c r="L41" s="413"/>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c r="CE41" s="30"/>
      <c r="CF41" s="30"/>
      <c r="CG41" s="30"/>
      <c r="CH41" s="30"/>
      <c r="CI41" s="30"/>
      <c r="CJ41" s="30"/>
      <c r="CK41" s="30"/>
      <c r="CL41" s="30"/>
      <c r="CM41" s="30"/>
      <c r="CN41" s="30"/>
      <c r="CO41" s="30"/>
      <c r="CP41" s="30"/>
      <c r="CQ41" s="30"/>
      <c r="CR41" s="30"/>
      <c r="CS41" s="30"/>
      <c r="CT41" s="30"/>
      <c r="CU41" s="30"/>
      <c r="CV41" s="30"/>
      <c r="CW41" s="30"/>
      <c r="CX41" s="30"/>
      <c r="CY41" s="30"/>
      <c r="CZ41" s="30"/>
      <c r="DA41" s="30"/>
      <c r="DB41" s="30"/>
      <c r="DC41" s="30"/>
      <c r="DD41" s="30"/>
      <c r="DE41" s="30"/>
      <c r="DF41" s="30"/>
      <c r="DG41" s="30"/>
      <c r="DH41" s="30"/>
      <c r="DI41" s="30"/>
      <c r="DJ41" s="30"/>
      <c r="DK41" s="30"/>
      <c r="DL41" s="30"/>
      <c r="DM41" s="30"/>
      <c r="DN41" s="30"/>
      <c r="DO41" s="30"/>
      <c r="DP41" s="30"/>
      <c r="DQ41" s="30"/>
      <c r="DR41" s="30"/>
      <c r="DS41" s="30"/>
      <c r="DT41" s="30"/>
      <c r="DU41" s="30"/>
      <c r="DV41" s="30"/>
      <c r="DW41" s="30"/>
      <c r="DX41" s="30"/>
      <c r="DY41" s="30"/>
      <c r="DZ41" s="30"/>
      <c r="EA41" s="30"/>
      <c r="EB41" s="30"/>
      <c r="EC41" s="30"/>
      <c r="ED41" s="30"/>
      <c r="EE41" s="30"/>
      <c r="EF41" s="30"/>
      <c r="EG41" s="30"/>
      <c r="EH41" s="30"/>
      <c r="EI41" s="30"/>
      <c r="EJ41" s="30"/>
      <c r="EK41" s="30"/>
      <c r="EL41" s="30"/>
      <c r="EM41" s="30"/>
      <c r="EN41" s="30"/>
      <c r="EO41" s="30"/>
      <c r="EP41" s="30"/>
      <c r="EQ41" s="30"/>
      <c r="ER41" s="30"/>
      <c r="ES41" s="30"/>
      <c r="ET41" s="30"/>
      <c r="EU41" s="30"/>
      <c r="EV41" s="30"/>
      <c r="EW41" s="30"/>
      <c r="EX41" s="30"/>
      <c r="EY41" s="30"/>
      <c r="EZ41" s="30"/>
      <c r="FA41" s="30"/>
      <c r="FB41" s="30"/>
      <c r="FC41" s="30"/>
      <c r="FD41" s="30"/>
      <c r="FE41" s="30"/>
      <c r="FF41" s="30"/>
      <c r="FG41" s="30"/>
      <c r="FH41" s="30"/>
      <c r="FI41" s="30"/>
      <c r="FJ41" s="30"/>
      <c r="FK41" s="30"/>
      <c r="FL41" s="30"/>
      <c r="FM41" s="30"/>
      <c r="FN41" s="30"/>
      <c r="FO41" s="30"/>
      <c r="FP41" s="30"/>
      <c r="FQ41" s="30"/>
      <c r="FR41" s="30"/>
      <c r="FS41" s="30"/>
      <c r="FT41" s="30"/>
      <c r="FU41" s="30"/>
      <c r="FV41" s="30"/>
      <c r="FW41" s="30"/>
      <c r="FX41" s="30"/>
      <c r="FY41" s="30"/>
      <c r="FZ41" s="30"/>
      <c r="GA41" s="30"/>
      <c r="GB41" s="30"/>
      <c r="GC41" s="30"/>
      <c r="GD41" s="30"/>
      <c r="GE41" s="30"/>
      <c r="GF41" s="30"/>
      <c r="GG41" s="30"/>
      <c r="GH41" s="30"/>
      <c r="GI41" s="30"/>
      <c r="GJ41" s="30"/>
      <c r="GK41" s="30"/>
      <c r="GL41" s="30"/>
      <c r="GM41" s="30"/>
      <c r="GN41" s="30"/>
      <c r="GO41" s="30"/>
      <c r="GP41" s="30"/>
      <c r="GQ41" s="30"/>
      <c r="GR41" s="30"/>
      <c r="GS41" s="30"/>
      <c r="GT41" s="30"/>
      <c r="GU41" s="30"/>
      <c r="GV41" s="30"/>
      <c r="GW41" s="30"/>
      <c r="GX41" s="30"/>
      <c r="GY41" s="30"/>
      <c r="GZ41" s="30"/>
      <c r="HA41" s="30"/>
      <c r="HB41" s="30"/>
      <c r="HC41" s="30"/>
      <c r="HD41" s="30"/>
      <c r="HE41" s="30"/>
      <c r="HF41" s="30"/>
      <c r="HG41" s="30"/>
      <c r="HH41" s="30"/>
      <c r="HI41" s="30"/>
      <c r="HJ41" s="30"/>
      <c r="HK41" s="30"/>
      <c r="HL41" s="30"/>
      <c r="HM41" s="30"/>
      <c r="HN41" s="30"/>
      <c r="HO41" s="30"/>
      <c r="HP41" s="30"/>
      <c r="HQ41" s="30"/>
      <c r="HR41" s="30"/>
      <c r="HS41" s="30"/>
      <c r="HT41" s="30"/>
      <c r="HU41" s="30"/>
      <c r="HV41" s="30"/>
      <c r="HW41" s="30"/>
      <c r="HX41" s="30"/>
      <c r="HY41" s="30"/>
      <c r="HZ41" s="30"/>
      <c r="IA41" s="30"/>
      <c r="IB41" s="30"/>
      <c r="IC41" s="30"/>
      <c r="ID41" s="30"/>
      <c r="IE41" s="30"/>
      <c r="IF41" s="30"/>
      <c r="IG41" s="30"/>
      <c r="IH41" s="30"/>
      <c r="II41" s="30"/>
      <c r="IJ41" s="30"/>
      <c r="IK41" s="30"/>
    </row>
    <row r="42" spans="1:245" ht="14.25">
      <c r="A42" s="28">
        <v>2</v>
      </c>
      <c r="B42" s="226" t="s">
        <v>592</v>
      </c>
      <c r="C42" s="29" t="s">
        <v>553</v>
      </c>
      <c r="D42" s="39">
        <f>$I$10</f>
        <v>3.3</v>
      </c>
      <c r="E42" s="39">
        <f>(1.58+$I$8-$I$10)</f>
        <v>1.9300000000000006</v>
      </c>
      <c r="F42" s="39">
        <f>(1.23+1.753+0.268)+0.333+0.734+1.196+1.025</f>
        <v>6.5389999999999997</v>
      </c>
      <c r="G42" s="39"/>
      <c r="H42" s="39">
        <v>5</v>
      </c>
      <c r="I42" s="39">
        <v>0.5</v>
      </c>
      <c r="J42" s="39">
        <f>SUM(D42:G42)*H42+0.2*2*H42</f>
        <v>60.844999999999999</v>
      </c>
      <c r="K42" s="40"/>
      <c r="L42" s="413"/>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c r="CE42" s="30"/>
      <c r="CF42" s="30"/>
      <c r="CG42" s="30"/>
      <c r="CH42" s="30"/>
      <c r="CI42" s="30"/>
      <c r="CJ42" s="30"/>
      <c r="CK42" s="30"/>
      <c r="CL42" s="30"/>
      <c r="CM42" s="30"/>
      <c r="CN42" s="30"/>
      <c r="CO42" s="30"/>
      <c r="CP42" s="30"/>
      <c r="CQ42" s="30"/>
      <c r="CR42" s="30"/>
      <c r="CS42" s="30"/>
      <c r="CT42" s="30"/>
      <c r="CU42" s="30"/>
      <c r="CV42" s="30"/>
      <c r="CW42" s="30"/>
      <c r="CX42" s="30"/>
      <c r="CY42" s="30"/>
      <c r="CZ42" s="30"/>
      <c r="DA42" s="30"/>
      <c r="DB42" s="30"/>
      <c r="DC42" s="30"/>
      <c r="DD42" s="30"/>
      <c r="DE42" s="30"/>
      <c r="DF42" s="30"/>
      <c r="DG42" s="30"/>
      <c r="DH42" s="30"/>
      <c r="DI42" s="30"/>
      <c r="DJ42" s="30"/>
      <c r="DK42" s="30"/>
      <c r="DL42" s="30"/>
      <c r="DM42" s="30"/>
      <c r="DN42" s="30"/>
      <c r="DO42" s="30"/>
      <c r="DP42" s="30"/>
      <c r="DQ42" s="30"/>
      <c r="DR42" s="30"/>
      <c r="DS42" s="30"/>
      <c r="DT42" s="30"/>
      <c r="DU42" s="30"/>
      <c r="DV42" s="30"/>
      <c r="DW42" s="30"/>
      <c r="DX42" s="30"/>
      <c r="DY42" s="30"/>
      <c r="DZ42" s="30"/>
      <c r="EA42" s="30"/>
      <c r="EB42" s="30"/>
      <c r="EC42" s="30"/>
      <c r="ED42" s="30"/>
      <c r="EE42" s="30"/>
      <c r="EF42" s="30"/>
      <c r="EG42" s="30"/>
      <c r="EH42" s="30"/>
      <c r="EI42" s="30"/>
      <c r="EJ42" s="30"/>
      <c r="EK42" s="30"/>
      <c r="EL42" s="30"/>
      <c r="EM42" s="30"/>
      <c r="EN42" s="30"/>
      <c r="EO42" s="30"/>
      <c r="EP42" s="30"/>
      <c r="EQ42" s="30"/>
      <c r="ER42" s="30"/>
      <c r="ES42" s="30"/>
      <c r="ET42" s="30"/>
      <c r="EU42" s="30"/>
      <c r="EV42" s="30"/>
      <c r="EW42" s="30"/>
      <c r="EX42" s="30"/>
      <c r="EY42" s="30"/>
      <c r="EZ42" s="30"/>
      <c r="FA42" s="30"/>
      <c r="FB42" s="30"/>
      <c r="FC42" s="30"/>
      <c r="FD42" s="30"/>
      <c r="FE42" s="30"/>
      <c r="FF42" s="30"/>
      <c r="FG42" s="30"/>
      <c r="FH42" s="30"/>
      <c r="FI42" s="30"/>
      <c r="FJ42" s="30"/>
      <c r="FK42" s="30"/>
      <c r="FL42" s="30"/>
      <c r="FM42" s="30"/>
      <c r="FN42" s="30"/>
      <c r="FO42" s="30"/>
      <c r="FP42" s="30"/>
      <c r="FQ42" s="30"/>
      <c r="FR42" s="30"/>
      <c r="FS42" s="30"/>
      <c r="FT42" s="30"/>
      <c r="FU42" s="30"/>
      <c r="FV42" s="30"/>
      <c r="FW42" s="30"/>
      <c r="FX42" s="30"/>
      <c r="FY42" s="30"/>
      <c r="FZ42" s="30"/>
      <c r="GA42" s="30"/>
      <c r="GB42" s="30"/>
      <c r="GC42" s="30"/>
      <c r="GD42" s="30"/>
      <c r="GE42" s="30"/>
      <c r="GF42" s="30"/>
      <c r="GG42" s="30"/>
      <c r="GH42" s="30"/>
      <c r="GI42" s="30"/>
      <c r="GJ42" s="30"/>
      <c r="GK42" s="30"/>
      <c r="GL42" s="30"/>
      <c r="GM42" s="30"/>
      <c r="GN42" s="30"/>
      <c r="GO42" s="30"/>
      <c r="GP42" s="30"/>
      <c r="GQ42" s="30"/>
      <c r="GR42" s="30"/>
      <c r="GS42" s="30"/>
      <c r="GT42" s="30"/>
      <c r="GU42" s="30"/>
      <c r="GV42" s="30"/>
      <c r="GW42" s="30"/>
      <c r="GX42" s="30"/>
      <c r="GY42" s="30"/>
      <c r="GZ42" s="30"/>
      <c r="HA42" s="30"/>
      <c r="HB42" s="30"/>
      <c r="HC42" s="30"/>
      <c r="HD42" s="30"/>
      <c r="HE42" s="30"/>
      <c r="HF42" s="30"/>
      <c r="HG42" s="30"/>
      <c r="HH42" s="30"/>
      <c r="HI42" s="30"/>
      <c r="HJ42" s="30"/>
      <c r="HK42" s="30"/>
      <c r="HL42" s="30"/>
      <c r="HM42" s="30"/>
      <c r="HN42" s="30"/>
      <c r="HO42" s="30"/>
      <c r="HP42" s="30"/>
      <c r="HQ42" s="30"/>
      <c r="HR42" s="30"/>
      <c r="HS42" s="30"/>
      <c r="HT42" s="30"/>
      <c r="HU42" s="30"/>
      <c r="HV42" s="30"/>
      <c r="HW42" s="30"/>
      <c r="HX42" s="30"/>
      <c r="HY42" s="30"/>
      <c r="HZ42" s="30"/>
      <c r="IA42" s="30"/>
      <c r="IB42" s="30"/>
      <c r="IC42" s="30"/>
      <c r="ID42" s="30"/>
      <c r="IE42" s="30"/>
      <c r="IF42" s="30"/>
      <c r="IG42" s="30"/>
      <c r="IH42" s="30"/>
      <c r="II42" s="30"/>
      <c r="IJ42" s="30"/>
      <c r="IK42" s="30"/>
    </row>
    <row r="43" spans="1:245" ht="14.25">
      <c r="A43" s="28"/>
      <c r="B43" s="261"/>
      <c r="C43" s="391"/>
      <c r="D43" s="262"/>
      <c r="E43" s="262"/>
      <c r="F43" s="262"/>
      <c r="G43" s="262"/>
      <c r="H43" s="263"/>
      <c r="I43" s="39"/>
      <c r="J43" s="39"/>
      <c r="K43" s="40"/>
      <c r="L43" s="413"/>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c r="CU43" s="30"/>
      <c r="CV43" s="30"/>
      <c r="CW43" s="30"/>
      <c r="CX43" s="30"/>
      <c r="CY43" s="30"/>
      <c r="CZ43" s="30"/>
      <c r="DA43" s="30"/>
      <c r="DB43" s="30"/>
      <c r="DC43" s="30"/>
      <c r="DD43" s="30"/>
      <c r="DE43" s="30"/>
      <c r="DF43" s="30"/>
      <c r="DG43" s="30"/>
      <c r="DH43" s="30"/>
      <c r="DI43" s="30"/>
      <c r="DJ43" s="30"/>
      <c r="DK43" s="30"/>
      <c r="DL43" s="30"/>
      <c r="DM43" s="30"/>
      <c r="DN43" s="30"/>
      <c r="DO43" s="30"/>
      <c r="DP43" s="30"/>
      <c r="DQ43" s="30"/>
      <c r="DR43" s="30"/>
      <c r="DS43" s="30"/>
      <c r="DT43" s="30"/>
      <c r="DU43" s="30"/>
      <c r="DV43" s="30"/>
      <c r="DW43" s="30"/>
      <c r="DX43" s="30"/>
      <c r="DY43" s="30"/>
      <c r="DZ43" s="30"/>
      <c r="EA43" s="30"/>
      <c r="EB43" s="30"/>
      <c r="EC43" s="30"/>
      <c r="ED43" s="30"/>
      <c r="EE43" s="30"/>
      <c r="EF43" s="30"/>
      <c r="EG43" s="30"/>
      <c r="EH43" s="30"/>
      <c r="EI43" s="30"/>
      <c r="EJ43" s="30"/>
      <c r="EK43" s="30"/>
      <c r="EL43" s="30"/>
      <c r="EM43" s="30"/>
      <c r="EN43" s="30"/>
      <c r="EO43" s="30"/>
      <c r="EP43" s="30"/>
      <c r="EQ43" s="30"/>
      <c r="ER43" s="30"/>
      <c r="ES43" s="30"/>
      <c r="ET43" s="30"/>
      <c r="EU43" s="30"/>
      <c r="EV43" s="30"/>
      <c r="EW43" s="30"/>
      <c r="EX43" s="30"/>
      <c r="EY43" s="30"/>
      <c r="EZ43" s="30"/>
      <c r="FA43" s="30"/>
      <c r="FB43" s="30"/>
      <c r="FC43" s="30"/>
      <c r="FD43" s="30"/>
      <c r="FE43" s="30"/>
      <c r="FF43" s="30"/>
      <c r="FG43" s="30"/>
      <c r="FH43" s="30"/>
      <c r="FI43" s="30"/>
      <c r="FJ43" s="30"/>
      <c r="FK43" s="30"/>
      <c r="FL43" s="30"/>
      <c r="FM43" s="30"/>
      <c r="FN43" s="30"/>
      <c r="FO43" s="30"/>
      <c r="FP43" s="30"/>
      <c r="FQ43" s="30"/>
      <c r="FR43" s="30"/>
      <c r="FS43" s="30"/>
      <c r="FT43" s="30"/>
      <c r="FU43" s="30"/>
      <c r="FV43" s="30"/>
      <c r="FW43" s="30"/>
      <c r="FX43" s="30"/>
      <c r="FY43" s="30"/>
      <c r="FZ43" s="30"/>
      <c r="GA43" s="30"/>
      <c r="GB43" s="30"/>
      <c r="GC43" s="30"/>
      <c r="GD43" s="30"/>
      <c r="GE43" s="30"/>
      <c r="GF43" s="30"/>
      <c r="GG43" s="30"/>
      <c r="GH43" s="30"/>
      <c r="GI43" s="30"/>
      <c r="GJ43" s="30"/>
      <c r="GK43" s="30"/>
      <c r="GL43" s="30"/>
      <c r="GM43" s="30"/>
      <c r="GN43" s="30"/>
      <c r="GO43" s="30"/>
      <c r="GP43" s="30"/>
      <c r="GQ43" s="30"/>
      <c r="GR43" s="30"/>
      <c r="GS43" s="30"/>
      <c r="GT43" s="30"/>
      <c r="GU43" s="30"/>
      <c r="GV43" s="30"/>
      <c r="GW43" s="30"/>
      <c r="GX43" s="30"/>
      <c r="GY43" s="30"/>
      <c r="GZ43" s="30"/>
      <c r="HA43" s="30"/>
      <c r="HB43" s="30"/>
      <c r="HC43" s="30"/>
      <c r="HD43" s="30"/>
      <c r="HE43" s="30"/>
      <c r="HF43" s="30"/>
      <c r="HG43" s="30"/>
      <c r="HH43" s="30"/>
      <c r="HI43" s="30"/>
      <c r="HJ43" s="30"/>
      <c r="HK43" s="30"/>
      <c r="HL43" s="30"/>
      <c r="HM43" s="30"/>
      <c r="HN43" s="30"/>
      <c r="HO43" s="30"/>
      <c r="HP43" s="30"/>
      <c r="HQ43" s="30"/>
      <c r="HR43" s="30"/>
      <c r="HS43" s="30"/>
      <c r="HT43" s="30"/>
      <c r="HU43" s="30"/>
      <c r="HV43" s="30"/>
      <c r="HW43" s="30"/>
      <c r="HX43" s="30"/>
      <c r="HY43" s="30"/>
      <c r="HZ43" s="30"/>
      <c r="IA43" s="30"/>
      <c r="IB43" s="30"/>
      <c r="IC43" s="30"/>
      <c r="ID43" s="30"/>
      <c r="IE43" s="30"/>
      <c r="IF43" s="30"/>
      <c r="IG43" s="30"/>
      <c r="IH43" s="30"/>
      <c r="II43" s="30"/>
      <c r="IJ43" s="30"/>
      <c r="IK43" s="30"/>
    </row>
    <row r="44" spans="1:245" ht="14.25">
      <c r="A44" s="41" t="s">
        <v>80</v>
      </c>
      <c r="B44" s="895" t="s">
        <v>443</v>
      </c>
      <c r="C44" s="896"/>
      <c r="D44" s="896"/>
      <c r="E44" s="896"/>
      <c r="F44" s="896"/>
      <c r="G44" s="896"/>
      <c r="H44" s="897"/>
      <c r="I44" s="234"/>
      <c r="J44" s="73">
        <f>J45</f>
        <v>125.22</v>
      </c>
      <c r="K44" s="73">
        <f>K45</f>
        <v>0</v>
      </c>
      <c r="L44" s="412">
        <f>SUM(J44:K44)</f>
        <v>125.22</v>
      </c>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c r="CU44" s="30"/>
      <c r="CV44" s="30"/>
      <c r="CW44" s="30"/>
      <c r="CX44" s="30"/>
      <c r="CY44" s="30"/>
      <c r="CZ44" s="30"/>
      <c r="DA44" s="30"/>
      <c r="DB44" s="30"/>
      <c r="DC44" s="30"/>
      <c r="DD44" s="30"/>
      <c r="DE44" s="30"/>
      <c r="DF44" s="30"/>
      <c r="DG44" s="30"/>
      <c r="DH44" s="30"/>
      <c r="DI44" s="30"/>
      <c r="DJ44" s="30"/>
      <c r="DK44" s="30"/>
      <c r="DL44" s="30"/>
      <c r="DM44" s="30"/>
      <c r="DN44" s="30"/>
      <c r="DO44" s="30"/>
      <c r="DP44" s="30"/>
      <c r="DQ44" s="30"/>
      <c r="DR44" s="30"/>
      <c r="DS44" s="30"/>
      <c r="DT44" s="30"/>
      <c r="DU44" s="30"/>
      <c r="DV44" s="30"/>
      <c r="DW44" s="30"/>
      <c r="DX44" s="30"/>
      <c r="DY44" s="30"/>
      <c r="DZ44" s="30"/>
      <c r="EA44" s="30"/>
      <c r="EB44" s="30"/>
      <c r="EC44" s="30"/>
      <c r="ED44" s="30"/>
      <c r="EE44" s="30"/>
      <c r="EF44" s="30"/>
      <c r="EG44" s="30"/>
      <c r="EH44" s="30"/>
      <c r="EI44" s="30"/>
      <c r="EJ44" s="30"/>
      <c r="EK44" s="30"/>
      <c r="EL44" s="30"/>
      <c r="EM44" s="30"/>
      <c r="EN44" s="30"/>
      <c r="EO44" s="30"/>
      <c r="EP44" s="30"/>
      <c r="EQ44" s="30"/>
      <c r="ER44" s="30"/>
      <c r="ES44" s="30"/>
      <c r="ET44" s="30"/>
      <c r="EU44" s="30"/>
      <c r="EV44" s="30"/>
      <c r="EW44" s="30"/>
      <c r="EX44" s="30"/>
      <c r="EY44" s="30"/>
      <c r="EZ44" s="30"/>
      <c r="FA44" s="30"/>
      <c r="FB44" s="30"/>
      <c r="FC44" s="30"/>
      <c r="FD44" s="30"/>
      <c r="FE44" s="30"/>
      <c r="FF44" s="30"/>
      <c r="FG44" s="30"/>
      <c r="FH44" s="30"/>
      <c r="FI44" s="30"/>
      <c r="FJ44" s="30"/>
      <c r="FK44" s="30"/>
      <c r="FL44" s="30"/>
      <c r="FM44" s="30"/>
      <c r="FN44" s="30"/>
      <c r="FO44" s="30"/>
      <c r="FP44" s="30"/>
      <c r="FQ44" s="30"/>
      <c r="FR44" s="30"/>
      <c r="FS44" s="30"/>
      <c r="FT44" s="30"/>
      <c r="FU44" s="30"/>
      <c r="FV44" s="30"/>
      <c r="FW44" s="30"/>
      <c r="FX44" s="30"/>
      <c r="FY44" s="30"/>
      <c r="FZ44" s="30"/>
      <c r="GA44" s="30"/>
      <c r="GB44" s="30"/>
      <c r="GC44" s="30"/>
      <c r="GD44" s="30"/>
      <c r="GE44" s="30"/>
      <c r="GF44" s="30"/>
      <c r="GG44" s="30"/>
      <c r="GH44" s="30"/>
      <c r="GI44" s="30"/>
      <c r="GJ44" s="30"/>
      <c r="GK44" s="30"/>
      <c r="GL44" s="30"/>
      <c r="GM44" s="30"/>
      <c r="GN44" s="30"/>
      <c r="GO44" s="30"/>
      <c r="GP44" s="30"/>
      <c r="GQ44" s="30"/>
      <c r="GR44" s="30"/>
      <c r="GS44" s="30"/>
      <c r="GT44" s="30"/>
      <c r="GU44" s="30"/>
      <c r="GV44" s="30"/>
      <c r="GW44" s="30"/>
      <c r="GX44" s="30"/>
      <c r="GY44" s="30"/>
      <c r="GZ44" s="30"/>
      <c r="HA44" s="30"/>
      <c r="HB44" s="30"/>
      <c r="HC44" s="30"/>
      <c r="HD44" s="30"/>
      <c r="HE44" s="30"/>
      <c r="HF44" s="30"/>
      <c r="HG44" s="30"/>
      <c r="HH44" s="30"/>
      <c r="HI44" s="30"/>
      <c r="HJ44" s="30"/>
      <c r="HK44" s="30"/>
      <c r="HL44" s="30"/>
      <c r="HM44" s="30"/>
      <c r="HN44" s="30"/>
      <c r="HO44" s="30"/>
      <c r="HP44" s="30"/>
      <c r="HQ44" s="30"/>
      <c r="HR44" s="30"/>
      <c r="HS44" s="30"/>
      <c r="HT44" s="30"/>
      <c r="HU44" s="30"/>
      <c r="HV44" s="30"/>
      <c r="HW44" s="30"/>
      <c r="HX44" s="30"/>
      <c r="HY44" s="30"/>
      <c r="HZ44" s="30"/>
      <c r="IA44" s="30"/>
      <c r="IB44" s="30"/>
      <c r="IC44" s="30"/>
      <c r="ID44" s="30"/>
      <c r="IE44" s="30"/>
      <c r="IF44" s="30"/>
      <c r="IG44" s="30"/>
      <c r="IH44" s="30"/>
      <c r="II44" s="30"/>
      <c r="IJ44" s="30"/>
      <c r="IK44" s="30"/>
    </row>
    <row r="45" spans="1:245" ht="14.25">
      <c r="A45" s="28">
        <v>1</v>
      </c>
      <c r="B45" s="226" t="s">
        <v>445</v>
      </c>
      <c r="C45" s="29" t="s">
        <v>579</v>
      </c>
      <c r="D45" s="39">
        <f>$I$9</f>
        <v>3.5</v>
      </c>
      <c r="E45" s="39">
        <f>$I$11</f>
        <v>2</v>
      </c>
      <c r="F45" s="39">
        <f>1.211*2+0.744+4+1.4+4.4</f>
        <v>12.966000000000001</v>
      </c>
      <c r="G45" s="39">
        <f>0.3+6+11+0.7+2.992+1.01+0.272</f>
        <v>22.274000000000001</v>
      </c>
      <c r="H45" s="39">
        <v>3</v>
      </c>
      <c r="I45" s="39">
        <v>0.5</v>
      </c>
      <c r="J45" s="39">
        <f>SUM(D45:G45)*H45+I45*2*H45</f>
        <v>125.22</v>
      </c>
      <c r="K45" s="40"/>
      <c r="L45" s="413"/>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c r="CU45" s="30"/>
      <c r="CV45" s="30"/>
      <c r="CW45" s="30"/>
      <c r="CX45" s="30"/>
      <c r="CY45" s="30"/>
      <c r="CZ45" s="30"/>
      <c r="DA45" s="30"/>
      <c r="DB45" s="30"/>
      <c r="DC45" s="30"/>
      <c r="DD45" s="30"/>
      <c r="DE45" s="30"/>
      <c r="DF45" s="30"/>
      <c r="DG45" s="30"/>
      <c r="DH45" s="30"/>
      <c r="DI45" s="30"/>
      <c r="DJ45" s="30"/>
      <c r="DK45" s="30"/>
      <c r="DL45" s="30"/>
      <c r="DM45" s="30"/>
      <c r="DN45" s="30"/>
      <c r="DO45" s="30"/>
      <c r="DP45" s="30"/>
      <c r="DQ45" s="30"/>
      <c r="DR45" s="30"/>
      <c r="DS45" s="30"/>
      <c r="DT45" s="30"/>
      <c r="DU45" s="30"/>
      <c r="DV45" s="30"/>
      <c r="DW45" s="30"/>
      <c r="DX45" s="30"/>
      <c r="DY45" s="30"/>
      <c r="DZ45" s="30"/>
      <c r="EA45" s="30"/>
      <c r="EB45" s="30"/>
      <c r="EC45" s="30"/>
      <c r="ED45" s="30"/>
      <c r="EE45" s="30"/>
      <c r="EF45" s="30"/>
      <c r="EG45" s="30"/>
      <c r="EH45" s="30"/>
      <c r="EI45" s="30"/>
      <c r="EJ45" s="30"/>
      <c r="EK45" s="30"/>
      <c r="EL45" s="30"/>
      <c r="EM45" s="30"/>
      <c r="EN45" s="30"/>
      <c r="EO45" s="30"/>
      <c r="EP45" s="30"/>
      <c r="EQ45" s="30"/>
      <c r="ER45" s="30"/>
      <c r="ES45" s="30"/>
      <c r="ET45" s="30"/>
      <c r="EU45" s="30"/>
      <c r="EV45" s="30"/>
      <c r="EW45" s="30"/>
      <c r="EX45" s="30"/>
      <c r="EY45" s="30"/>
      <c r="EZ45" s="30"/>
      <c r="FA45" s="30"/>
      <c r="FB45" s="30"/>
      <c r="FC45" s="30"/>
      <c r="FD45" s="30"/>
      <c r="FE45" s="30"/>
      <c r="FF45" s="30"/>
      <c r="FG45" s="30"/>
      <c r="FH45" s="30"/>
      <c r="FI45" s="30"/>
      <c r="FJ45" s="30"/>
      <c r="FK45" s="30"/>
      <c r="FL45" s="30"/>
      <c r="FM45" s="30"/>
      <c r="FN45" s="30"/>
      <c r="FO45" s="30"/>
      <c r="FP45" s="30"/>
      <c r="FQ45" s="30"/>
      <c r="FR45" s="30"/>
      <c r="FS45" s="30"/>
      <c r="FT45" s="30"/>
      <c r="FU45" s="30"/>
      <c r="FV45" s="30"/>
      <c r="FW45" s="30"/>
      <c r="FX45" s="30"/>
      <c r="FY45" s="30"/>
      <c r="FZ45" s="30"/>
      <c r="GA45" s="30"/>
      <c r="GB45" s="30"/>
      <c r="GC45" s="30"/>
      <c r="GD45" s="30"/>
      <c r="GE45" s="30"/>
      <c r="GF45" s="30"/>
      <c r="GG45" s="30"/>
      <c r="GH45" s="30"/>
      <c r="GI45" s="30"/>
      <c r="GJ45" s="30"/>
      <c r="GK45" s="30"/>
      <c r="GL45" s="30"/>
      <c r="GM45" s="30"/>
      <c r="GN45" s="30"/>
      <c r="GO45" s="30"/>
      <c r="GP45" s="30"/>
      <c r="GQ45" s="30"/>
      <c r="GR45" s="30"/>
      <c r="GS45" s="30"/>
      <c r="GT45" s="30"/>
      <c r="GU45" s="30"/>
      <c r="GV45" s="30"/>
      <c r="GW45" s="30"/>
      <c r="GX45" s="30"/>
      <c r="GY45" s="30"/>
      <c r="GZ45" s="30"/>
      <c r="HA45" s="30"/>
      <c r="HB45" s="30"/>
      <c r="HC45" s="30"/>
      <c r="HD45" s="30"/>
      <c r="HE45" s="30"/>
      <c r="HF45" s="30"/>
      <c r="HG45" s="30"/>
      <c r="HH45" s="30"/>
      <c r="HI45" s="30"/>
      <c r="HJ45" s="30"/>
      <c r="HK45" s="30"/>
      <c r="HL45" s="30"/>
      <c r="HM45" s="30"/>
      <c r="HN45" s="30"/>
      <c r="HO45" s="30"/>
      <c r="HP45" s="30"/>
      <c r="HQ45" s="30"/>
      <c r="HR45" s="30"/>
      <c r="HS45" s="30"/>
      <c r="HT45" s="30"/>
      <c r="HU45" s="30"/>
      <c r="HV45" s="30"/>
      <c r="HW45" s="30"/>
      <c r="HX45" s="30"/>
      <c r="HY45" s="30"/>
      <c r="HZ45" s="30"/>
      <c r="IA45" s="30"/>
      <c r="IB45" s="30"/>
      <c r="IC45" s="30"/>
      <c r="ID45" s="30"/>
      <c r="IE45" s="30"/>
      <c r="IF45" s="30"/>
      <c r="IG45" s="30"/>
      <c r="IH45" s="30"/>
      <c r="II45" s="30"/>
      <c r="IJ45" s="30"/>
      <c r="IK45" s="30"/>
    </row>
    <row r="46" spans="1:245" ht="14.45" customHeight="1">
      <c r="A46" s="28">
        <v>2</v>
      </c>
      <c r="B46" s="261" t="s">
        <v>594</v>
      </c>
      <c r="C46" s="29" t="s">
        <v>579</v>
      </c>
      <c r="D46" s="39"/>
      <c r="E46" s="39">
        <v>2</v>
      </c>
      <c r="F46" s="39">
        <f>1.211+4</f>
        <v>5.2110000000000003</v>
      </c>
      <c r="G46" s="39">
        <f>0.3+6+11+0.7</f>
        <v>18</v>
      </c>
      <c r="H46" s="39"/>
      <c r="I46" s="39"/>
      <c r="J46" s="40">
        <f>SUM(D46:G46)</f>
        <v>25.210999999999999</v>
      </c>
      <c r="K46" s="40"/>
      <c r="L46" s="412">
        <f>J46</f>
        <v>25.210999999999999</v>
      </c>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c r="CU46" s="30"/>
      <c r="CV46" s="30"/>
      <c r="CW46" s="30"/>
      <c r="CX46" s="30"/>
      <c r="CY46" s="30"/>
      <c r="CZ46" s="30"/>
      <c r="DA46" s="30"/>
      <c r="DB46" s="30"/>
      <c r="DC46" s="30"/>
      <c r="DD46" s="30"/>
      <c r="DE46" s="30"/>
      <c r="DF46" s="30"/>
      <c r="DG46" s="30"/>
      <c r="DH46" s="30"/>
      <c r="DI46" s="30"/>
      <c r="DJ46" s="30"/>
      <c r="DK46" s="30"/>
      <c r="DL46" s="30"/>
      <c r="DM46" s="30"/>
      <c r="DN46" s="30"/>
      <c r="DO46" s="30"/>
      <c r="DP46" s="30"/>
      <c r="DQ46" s="30"/>
      <c r="DR46" s="30"/>
      <c r="DS46" s="30"/>
      <c r="DT46" s="30"/>
      <c r="DU46" s="30"/>
      <c r="DV46" s="30"/>
      <c r="DW46" s="30"/>
      <c r="DX46" s="30"/>
      <c r="DY46" s="30"/>
      <c r="DZ46" s="30"/>
      <c r="EA46" s="30"/>
      <c r="EB46" s="30"/>
      <c r="EC46" s="30"/>
      <c r="ED46" s="30"/>
      <c r="EE46" s="30"/>
      <c r="EF46" s="30"/>
      <c r="EG46" s="30"/>
      <c r="EH46" s="30"/>
      <c r="EI46" s="30"/>
      <c r="EJ46" s="30"/>
      <c r="EK46" s="30"/>
      <c r="EL46" s="30"/>
      <c r="EM46" s="30"/>
      <c r="EN46" s="30"/>
      <c r="EO46" s="30"/>
      <c r="EP46" s="30"/>
      <c r="EQ46" s="30"/>
      <c r="ER46" s="30"/>
      <c r="ES46" s="30"/>
      <c r="ET46" s="30"/>
      <c r="EU46" s="30"/>
      <c r="EV46" s="30"/>
      <c r="EW46" s="30"/>
      <c r="EX46" s="30"/>
      <c r="EY46" s="30"/>
      <c r="EZ46" s="30"/>
      <c r="FA46" s="30"/>
      <c r="FB46" s="30"/>
      <c r="FC46" s="30"/>
      <c r="FD46" s="30"/>
      <c r="FE46" s="30"/>
      <c r="FF46" s="30"/>
      <c r="FG46" s="30"/>
      <c r="FH46" s="30"/>
      <c r="FI46" s="30"/>
      <c r="FJ46" s="30"/>
      <c r="FK46" s="30"/>
      <c r="FL46" s="30"/>
      <c r="FM46" s="30"/>
      <c r="FN46" s="30"/>
      <c r="FO46" s="30"/>
      <c r="FP46" s="30"/>
      <c r="FQ46" s="30"/>
      <c r="FR46" s="30"/>
      <c r="FS46" s="30"/>
      <c r="FT46" s="30"/>
      <c r="FU46" s="30"/>
      <c r="FV46" s="30"/>
      <c r="FW46" s="30"/>
      <c r="FX46" s="30"/>
      <c r="FY46" s="30"/>
      <c r="FZ46" s="30"/>
      <c r="GA46" s="30"/>
      <c r="GB46" s="30"/>
      <c r="GC46" s="30"/>
      <c r="GD46" s="30"/>
      <c r="GE46" s="30"/>
      <c r="GF46" s="30"/>
      <c r="GG46" s="30"/>
      <c r="GH46" s="30"/>
      <c r="GI46" s="30"/>
      <c r="GJ46" s="30"/>
      <c r="GK46" s="30"/>
      <c r="GL46" s="30"/>
      <c r="GM46" s="30"/>
      <c r="GN46" s="30"/>
      <c r="GO46" s="30"/>
      <c r="GP46" s="30"/>
      <c r="GQ46" s="30"/>
      <c r="GR46" s="30"/>
      <c r="GS46" s="30"/>
      <c r="GT46" s="30"/>
      <c r="GU46" s="30"/>
      <c r="GV46" s="30"/>
      <c r="GW46" s="30"/>
      <c r="GX46" s="30"/>
      <c r="GY46" s="30"/>
      <c r="GZ46" s="30"/>
      <c r="HA46" s="30"/>
      <c r="HB46" s="30"/>
      <c r="HC46" s="30"/>
      <c r="HD46" s="30"/>
      <c r="HE46" s="30"/>
      <c r="HF46" s="30"/>
      <c r="HG46" s="30"/>
      <c r="HH46" s="30"/>
      <c r="HI46" s="30"/>
      <c r="HJ46" s="30"/>
      <c r="HK46" s="30"/>
      <c r="HL46" s="30"/>
      <c r="HM46" s="30"/>
      <c r="HN46" s="30"/>
      <c r="HO46" s="30"/>
      <c r="HP46" s="30"/>
      <c r="HQ46" s="30"/>
      <c r="HR46" s="30"/>
      <c r="HS46" s="30"/>
      <c r="HT46" s="30"/>
      <c r="HU46" s="30"/>
      <c r="HV46" s="30"/>
      <c r="HW46" s="30"/>
      <c r="HX46" s="30"/>
      <c r="HY46" s="30"/>
      <c r="HZ46" s="30"/>
      <c r="IA46" s="30"/>
      <c r="IB46" s="30"/>
      <c r="IC46" s="30"/>
      <c r="ID46" s="30"/>
      <c r="IE46" s="30"/>
      <c r="IF46" s="30"/>
      <c r="IG46" s="30"/>
      <c r="IH46" s="30"/>
      <c r="II46" s="30"/>
      <c r="IJ46" s="30"/>
      <c r="IK46" s="30"/>
    </row>
    <row r="47" spans="1:245" ht="14.25">
      <c r="A47" s="41" t="s">
        <v>101</v>
      </c>
      <c r="B47" s="895" t="s">
        <v>451</v>
      </c>
      <c r="C47" s="896"/>
      <c r="D47" s="896"/>
      <c r="E47" s="896"/>
      <c r="F47" s="896"/>
      <c r="G47" s="896"/>
      <c r="H47" s="897"/>
      <c r="I47" s="234"/>
      <c r="J47" s="264">
        <f>J48</f>
        <v>112.10000000000002</v>
      </c>
      <c r="K47" s="264">
        <f>K48</f>
        <v>0</v>
      </c>
      <c r="L47" s="412">
        <f>SUM(J47:K47)</f>
        <v>112.10000000000002</v>
      </c>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c r="CE47" s="30"/>
      <c r="CF47" s="30"/>
      <c r="CG47" s="30"/>
      <c r="CH47" s="30"/>
      <c r="CI47" s="30"/>
      <c r="CJ47" s="30"/>
      <c r="CK47" s="30"/>
      <c r="CL47" s="30"/>
      <c r="CM47" s="30"/>
      <c r="CN47" s="30"/>
      <c r="CO47" s="30"/>
      <c r="CP47" s="30"/>
      <c r="CQ47" s="30"/>
      <c r="CR47" s="30"/>
      <c r="CS47" s="30"/>
      <c r="CT47" s="30"/>
      <c r="CU47" s="30"/>
      <c r="CV47" s="30"/>
      <c r="CW47" s="30"/>
      <c r="CX47" s="30"/>
      <c r="CY47" s="30"/>
      <c r="CZ47" s="30"/>
      <c r="DA47" s="30"/>
      <c r="DB47" s="30"/>
      <c r="DC47" s="30"/>
      <c r="DD47" s="30"/>
      <c r="DE47" s="30"/>
      <c r="DF47" s="30"/>
      <c r="DG47" s="30"/>
      <c r="DH47" s="30"/>
      <c r="DI47" s="30"/>
      <c r="DJ47" s="30"/>
      <c r="DK47" s="30"/>
      <c r="DL47" s="30"/>
      <c r="DM47" s="30"/>
      <c r="DN47" s="30"/>
      <c r="DO47" s="30"/>
      <c r="DP47" s="30"/>
      <c r="DQ47" s="30"/>
      <c r="DR47" s="30"/>
      <c r="DS47" s="30"/>
      <c r="DT47" s="30"/>
      <c r="DU47" s="30"/>
      <c r="DV47" s="30"/>
      <c r="DW47" s="30"/>
      <c r="DX47" s="30"/>
      <c r="DY47" s="30"/>
      <c r="DZ47" s="30"/>
      <c r="EA47" s="30"/>
      <c r="EB47" s="30"/>
      <c r="EC47" s="30"/>
      <c r="ED47" s="30"/>
      <c r="EE47" s="30"/>
      <c r="EF47" s="30"/>
      <c r="EG47" s="30"/>
      <c r="EH47" s="30"/>
      <c r="EI47" s="30"/>
      <c r="EJ47" s="30"/>
      <c r="EK47" s="30"/>
      <c r="EL47" s="30"/>
      <c r="EM47" s="30"/>
      <c r="EN47" s="30"/>
      <c r="EO47" s="30"/>
      <c r="EP47" s="30"/>
      <c r="EQ47" s="30"/>
      <c r="ER47" s="30"/>
      <c r="ES47" s="30"/>
      <c r="ET47" s="30"/>
      <c r="EU47" s="30"/>
      <c r="EV47" s="30"/>
      <c r="EW47" s="30"/>
      <c r="EX47" s="30"/>
      <c r="EY47" s="30"/>
      <c r="EZ47" s="30"/>
      <c r="FA47" s="30"/>
      <c r="FB47" s="30"/>
      <c r="FC47" s="30"/>
      <c r="FD47" s="30"/>
      <c r="FE47" s="30"/>
      <c r="FF47" s="30"/>
      <c r="FG47" s="30"/>
      <c r="FH47" s="30"/>
      <c r="FI47" s="30"/>
      <c r="FJ47" s="30"/>
      <c r="FK47" s="30"/>
      <c r="FL47" s="30"/>
      <c r="FM47" s="30"/>
      <c r="FN47" s="30"/>
      <c r="FO47" s="30"/>
      <c r="FP47" s="30"/>
      <c r="FQ47" s="30"/>
      <c r="FR47" s="30"/>
      <c r="FS47" s="30"/>
      <c r="FT47" s="30"/>
      <c r="FU47" s="30"/>
      <c r="FV47" s="30"/>
      <c r="FW47" s="30"/>
      <c r="FX47" s="30"/>
      <c r="FY47" s="30"/>
      <c r="FZ47" s="30"/>
      <c r="GA47" s="30"/>
      <c r="GB47" s="30"/>
      <c r="GC47" s="30"/>
      <c r="GD47" s="30"/>
      <c r="GE47" s="30"/>
      <c r="GF47" s="30"/>
      <c r="GG47" s="30"/>
      <c r="GH47" s="30"/>
      <c r="GI47" s="30"/>
      <c r="GJ47" s="30"/>
      <c r="GK47" s="30"/>
      <c r="GL47" s="30"/>
      <c r="GM47" s="30"/>
      <c r="GN47" s="30"/>
      <c r="GO47" s="30"/>
      <c r="GP47" s="30"/>
      <c r="GQ47" s="30"/>
      <c r="GR47" s="30"/>
      <c r="GS47" s="30"/>
      <c r="GT47" s="30"/>
      <c r="GU47" s="30"/>
      <c r="GV47" s="30"/>
      <c r="GW47" s="30"/>
      <c r="GX47" s="30"/>
      <c r="GY47" s="30"/>
      <c r="GZ47" s="30"/>
      <c r="HA47" s="30"/>
      <c r="HB47" s="30"/>
      <c r="HC47" s="30"/>
      <c r="HD47" s="30"/>
      <c r="HE47" s="30"/>
      <c r="HF47" s="30"/>
      <c r="HG47" s="30"/>
      <c r="HH47" s="30"/>
      <c r="HI47" s="30"/>
      <c r="HJ47" s="30"/>
      <c r="HK47" s="30"/>
      <c r="HL47" s="30"/>
      <c r="HM47" s="30"/>
      <c r="HN47" s="30"/>
      <c r="HO47" s="30"/>
      <c r="HP47" s="30"/>
      <c r="HQ47" s="30"/>
      <c r="HR47" s="30"/>
      <c r="HS47" s="30"/>
      <c r="HT47" s="30"/>
      <c r="HU47" s="30"/>
      <c r="HV47" s="30"/>
      <c r="HW47" s="30"/>
      <c r="HX47" s="30"/>
      <c r="HY47" s="30"/>
      <c r="HZ47" s="30"/>
      <c r="IA47" s="30"/>
      <c r="IB47" s="30"/>
      <c r="IC47" s="30"/>
      <c r="ID47" s="30"/>
      <c r="IE47" s="30"/>
      <c r="IF47" s="30"/>
      <c r="IG47" s="30"/>
      <c r="IH47" s="30"/>
      <c r="II47" s="30"/>
      <c r="IJ47" s="30"/>
      <c r="IK47" s="30"/>
    </row>
    <row r="48" spans="1:245" ht="38.25">
      <c r="A48" s="28">
        <v>1</v>
      </c>
      <c r="B48" s="226" t="s">
        <v>452</v>
      </c>
      <c r="C48" s="29" t="s">
        <v>579</v>
      </c>
      <c r="D48" s="39"/>
      <c r="E48" s="39">
        <f>$I$11</f>
        <v>2</v>
      </c>
      <c r="F48" s="39">
        <f>1.982+2+3.4+13.679+1.3+(1.622+2.992+0.272)*2+0.712+0.565+0.494+0.85+1.7</f>
        <v>36.454000000000008</v>
      </c>
      <c r="G48" s="39">
        <f>4.896+11+0.7</f>
        <v>16.596</v>
      </c>
      <c r="H48" s="39">
        <v>2</v>
      </c>
      <c r="I48" s="39">
        <v>0.5</v>
      </c>
      <c r="J48" s="39">
        <f>SUM(D48:G48)*H48+I48*2*H48</f>
        <v>112.10000000000002</v>
      </c>
      <c r="K48" s="40"/>
      <c r="L48" s="413"/>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c r="CE48" s="30"/>
      <c r="CF48" s="30"/>
      <c r="CG48" s="30"/>
      <c r="CH48" s="30"/>
      <c r="CI48" s="30"/>
      <c r="CJ48" s="30"/>
      <c r="CK48" s="30"/>
      <c r="CL48" s="30"/>
      <c r="CM48" s="30"/>
      <c r="CN48" s="30"/>
      <c r="CO48" s="30"/>
      <c r="CP48" s="30"/>
      <c r="CQ48" s="30"/>
      <c r="CR48" s="30"/>
      <c r="CS48" s="30"/>
      <c r="CT48" s="30"/>
      <c r="CU48" s="30"/>
      <c r="CV48" s="30"/>
      <c r="CW48" s="30"/>
      <c r="CX48" s="30"/>
      <c r="CY48" s="30"/>
      <c r="CZ48" s="30"/>
      <c r="DA48" s="30"/>
      <c r="DB48" s="30"/>
      <c r="DC48" s="30"/>
      <c r="DD48" s="30"/>
      <c r="DE48" s="30"/>
      <c r="DF48" s="30"/>
      <c r="DG48" s="30"/>
      <c r="DH48" s="30"/>
      <c r="DI48" s="30"/>
      <c r="DJ48" s="30"/>
      <c r="DK48" s="30"/>
      <c r="DL48" s="30"/>
      <c r="DM48" s="30"/>
      <c r="DN48" s="30"/>
      <c r="DO48" s="30"/>
      <c r="DP48" s="30"/>
      <c r="DQ48" s="30"/>
      <c r="DR48" s="30"/>
      <c r="DS48" s="30"/>
      <c r="DT48" s="30"/>
      <c r="DU48" s="30"/>
      <c r="DV48" s="30"/>
      <c r="DW48" s="30"/>
      <c r="DX48" s="30"/>
      <c r="DY48" s="30"/>
      <c r="DZ48" s="30"/>
      <c r="EA48" s="30"/>
      <c r="EB48" s="30"/>
      <c r="EC48" s="30"/>
      <c r="ED48" s="30"/>
      <c r="EE48" s="30"/>
      <c r="EF48" s="30"/>
      <c r="EG48" s="30"/>
      <c r="EH48" s="30"/>
      <c r="EI48" s="30"/>
      <c r="EJ48" s="30"/>
      <c r="EK48" s="30"/>
      <c r="EL48" s="30"/>
      <c r="EM48" s="30"/>
      <c r="EN48" s="30"/>
      <c r="EO48" s="30"/>
      <c r="EP48" s="30"/>
      <c r="EQ48" s="30"/>
      <c r="ER48" s="30"/>
      <c r="ES48" s="30"/>
      <c r="ET48" s="30"/>
      <c r="EU48" s="30"/>
      <c r="EV48" s="30"/>
      <c r="EW48" s="30"/>
      <c r="EX48" s="30"/>
      <c r="EY48" s="30"/>
      <c r="EZ48" s="30"/>
      <c r="FA48" s="30"/>
      <c r="FB48" s="30"/>
      <c r="FC48" s="30"/>
      <c r="FD48" s="30"/>
      <c r="FE48" s="30"/>
      <c r="FF48" s="30"/>
      <c r="FG48" s="30"/>
      <c r="FH48" s="30"/>
      <c r="FI48" s="30"/>
      <c r="FJ48" s="30"/>
      <c r="FK48" s="30"/>
      <c r="FL48" s="30"/>
      <c r="FM48" s="30"/>
      <c r="FN48" s="30"/>
      <c r="FO48" s="30"/>
      <c r="FP48" s="30"/>
      <c r="FQ48" s="30"/>
      <c r="FR48" s="30"/>
      <c r="FS48" s="30"/>
      <c r="FT48" s="30"/>
      <c r="FU48" s="30"/>
      <c r="FV48" s="30"/>
      <c r="FW48" s="30"/>
      <c r="FX48" s="30"/>
      <c r="FY48" s="30"/>
      <c r="FZ48" s="30"/>
      <c r="GA48" s="30"/>
      <c r="GB48" s="30"/>
      <c r="GC48" s="30"/>
      <c r="GD48" s="30"/>
      <c r="GE48" s="30"/>
      <c r="GF48" s="30"/>
      <c r="GG48" s="30"/>
      <c r="GH48" s="30"/>
      <c r="GI48" s="30"/>
      <c r="GJ48" s="30"/>
      <c r="GK48" s="30"/>
      <c r="GL48" s="30"/>
      <c r="GM48" s="30"/>
      <c r="GN48" s="30"/>
      <c r="GO48" s="30"/>
      <c r="GP48" s="30"/>
      <c r="GQ48" s="30"/>
      <c r="GR48" s="30"/>
      <c r="GS48" s="30"/>
      <c r="GT48" s="30"/>
      <c r="GU48" s="30"/>
      <c r="GV48" s="30"/>
      <c r="GW48" s="30"/>
      <c r="GX48" s="30"/>
      <c r="GY48" s="30"/>
      <c r="GZ48" s="30"/>
      <c r="HA48" s="30"/>
      <c r="HB48" s="30"/>
      <c r="HC48" s="30"/>
      <c r="HD48" s="30"/>
      <c r="HE48" s="30"/>
      <c r="HF48" s="30"/>
      <c r="HG48" s="30"/>
      <c r="HH48" s="30"/>
      <c r="HI48" s="30"/>
      <c r="HJ48" s="30"/>
      <c r="HK48" s="30"/>
      <c r="HL48" s="30"/>
      <c r="HM48" s="30"/>
      <c r="HN48" s="30"/>
      <c r="HO48" s="30"/>
      <c r="HP48" s="30"/>
      <c r="HQ48" s="30"/>
      <c r="HR48" s="30"/>
      <c r="HS48" s="30"/>
      <c r="HT48" s="30"/>
      <c r="HU48" s="30"/>
      <c r="HV48" s="30"/>
      <c r="HW48" s="30"/>
      <c r="HX48" s="30"/>
      <c r="HY48" s="30"/>
      <c r="HZ48" s="30"/>
      <c r="IA48" s="30"/>
      <c r="IB48" s="30"/>
      <c r="IC48" s="30"/>
      <c r="ID48" s="30"/>
      <c r="IE48" s="30"/>
      <c r="IF48" s="30"/>
      <c r="IG48" s="30"/>
      <c r="IH48" s="30"/>
      <c r="II48" s="30"/>
      <c r="IJ48" s="30"/>
      <c r="IK48" s="30"/>
    </row>
    <row r="49" spans="1:245" ht="14.25">
      <c r="A49" s="28">
        <v>2</v>
      </c>
      <c r="B49" s="261" t="s">
        <v>591</v>
      </c>
      <c r="C49" s="29" t="s">
        <v>579</v>
      </c>
      <c r="D49" s="39"/>
      <c r="E49" s="39">
        <v>2</v>
      </c>
      <c r="F49" s="39">
        <f>1.982+2+3.4+13.679+1.3+0.712+0.565+0.494+0.85+1.7</f>
        <v>26.682000000000002</v>
      </c>
      <c r="G49" s="39">
        <f>4.896+11+0.7</f>
        <v>16.596</v>
      </c>
      <c r="H49" s="39"/>
      <c r="I49" s="39"/>
      <c r="J49" s="40">
        <f>SUM(E49:G49)</f>
        <v>45.278000000000006</v>
      </c>
      <c r="K49" s="40"/>
      <c r="L49" s="412">
        <f>J49</f>
        <v>45.278000000000006</v>
      </c>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c r="CE49" s="30"/>
      <c r="CF49" s="30"/>
      <c r="CG49" s="30"/>
      <c r="CH49" s="30"/>
      <c r="CI49" s="30"/>
      <c r="CJ49" s="30"/>
      <c r="CK49" s="30"/>
      <c r="CL49" s="30"/>
      <c r="CM49" s="30"/>
      <c r="CN49" s="30"/>
      <c r="CO49" s="30"/>
      <c r="CP49" s="30"/>
      <c r="CQ49" s="30"/>
      <c r="CR49" s="30"/>
      <c r="CS49" s="30"/>
      <c r="CT49" s="30"/>
      <c r="CU49" s="30"/>
      <c r="CV49" s="30"/>
      <c r="CW49" s="30"/>
      <c r="CX49" s="30"/>
      <c r="CY49" s="30"/>
      <c r="CZ49" s="30"/>
      <c r="DA49" s="30"/>
      <c r="DB49" s="30"/>
      <c r="DC49" s="30"/>
      <c r="DD49" s="30"/>
      <c r="DE49" s="30"/>
      <c r="DF49" s="30"/>
      <c r="DG49" s="30"/>
      <c r="DH49" s="30"/>
      <c r="DI49" s="30"/>
      <c r="DJ49" s="30"/>
      <c r="DK49" s="30"/>
      <c r="DL49" s="30"/>
      <c r="DM49" s="30"/>
      <c r="DN49" s="30"/>
      <c r="DO49" s="30"/>
      <c r="DP49" s="30"/>
      <c r="DQ49" s="30"/>
      <c r="DR49" s="30"/>
      <c r="DS49" s="30"/>
      <c r="DT49" s="30"/>
      <c r="DU49" s="30"/>
      <c r="DV49" s="30"/>
      <c r="DW49" s="30"/>
      <c r="DX49" s="30"/>
      <c r="DY49" s="30"/>
      <c r="DZ49" s="30"/>
      <c r="EA49" s="30"/>
      <c r="EB49" s="30"/>
      <c r="EC49" s="30"/>
      <c r="ED49" s="30"/>
      <c r="EE49" s="30"/>
      <c r="EF49" s="30"/>
      <c r="EG49" s="30"/>
      <c r="EH49" s="30"/>
      <c r="EI49" s="30"/>
      <c r="EJ49" s="30"/>
      <c r="EK49" s="30"/>
      <c r="EL49" s="30"/>
      <c r="EM49" s="30"/>
      <c r="EN49" s="30"/>
      <c r="EO49" s="30"/>
      <c r="EP49" s="30"/>
      <c r="EQ49" s="30"/>
      <c r="ER49" s="30"/>
      <c r="ES49" s="30"/>
      <c r="ET49" s="30"/>
      <c r="EU49" s="30"/>
      <c r="EV49" s="30"/>
      <c r="EW49" s="30"/>
      <c r="EX49" s="30"/>
      <c r="EY49" s="30"/>
      <c r="EZ49" s="30"/>
      <c r="FA49" s="30"/>
      <c r="FB49" s="30"/>
      <c r="FC49" s="30"/>
      <c r="FD49" s="30"/>
      <c r="FE49" s="30"/>
      <c r="FF49" s="30"/>
      <c r="FG49" s="30"/>
      <c r="FH49" s="30"/>
      <c r="FI49" s="30"/>
      <c r="FJ49" s="30"/>
      <c r="FK49" s="30"/>
      <c r="FL49" s="30"/>
      <c r="FM49" s="30"/>
      <c r="FN49" s="30"/>
      <c r="FO49" s="30"/>
      <c r="FP49" s="30"/>
      <c r="FQ49" s="30"/>
      <c r="FR49" s="30"/>
      <c r="FS49" s="30"/>
      <c r="FT49" s="30"/>
      <c r="FU49" s="30"/>
      <c r="FV49" s="30"/>
      <c r="FW49" s="30"/>
      <c r="FX49" s="30"/>
      <c r="FY49" s="30"/>
      <c r="FZ49" s="30"/>
      <c r="GA49" s="30"/>
      <c r="GB49" s="30"/>
      <c r="GC49" s="30"/>
      <c r="GD49" s="30"/>
      <c r="GE49" s="30"/>
      <c r="GF49" s="30"/>
      <c r="GG49" s="30"/>
      <c r="GH49" s="30"/>
      <c r="GI49" s="30"/>
      <c r="GJ49" s="30"/>
      <c r="GK49" s="30"/>
      <c r="GL49" s="30"/>
      <c r="GM49" s="30"/>
      <c r="GN49" s="30"/>
      <c r="GO49" s="30"/>
      <c r="GP49" s="30"/>
      <c r="GQ49" s="30"/>
      <c r="GR49" s="30"/>
      <c r="GS49" s="30"/>
      <c r="GT49" s="30"/>
      <c r="GU49" s="30"/>
      <c r="GV49" s="30"/>
      <c r="GW49" s="30"/>
      <c r="GX49" s="30"/>
      <c r="GY49" s="30"/>
      <c r="GZ49" s="30"/>
      <c r="HA49" s="30"/>
      <c r="HB49" s="30"/>
      <c r="HC49" s="30"/>
      <c r="HD49" s="30"/>
      <c r="HE49" s="30"/>
      <c r="HF49" s="30"/>
      <c r="HG49" s="30"/>
      <c r="HH49" s="30"/>
      <c r="HI49" s="30"/>
      <c r="HJ49" s="30"/>
      <c r="HK49" s="30"/>
      <c r="HL49" s="30"/>
      <c r="HM49" s="30"/>
      <c r="HN49" s="30"/>
      <c r="HO49" s="30"/>
      <c r="HP49" s="30"/>
      <c r="HQ49" s="30"/>
      <c r="HR49" s="30"/>
      <c r="HS49" s="30"/>
      <c r="HT49" s="30"/>
      <c r="HU49" s="30"/>
      <c r="HV49" s="30"/>
      <c r="HW49" s="30"/>
      <c r="HX49" s="30"/>
      <c r="HY49" s="30"/>
      <c r="HZ49" s="30"/>
      <c r="IA49" s="30"/>
      <c r="IB49" s="30"/>
      <c r="IC49" s="30"/>
      <c r="ID49" s="30"/>
      <c r="IE49" s="30"/>
      <c r="IF49" s="30"/>
      <c r="IG49" s="30"/>
      <c r="IH49" s="30"/>
      <c r="II49" s="30"/>
      <c r="IJ49" s="30"/>
      <c r="IK49" s="30"/>
    </row>
    <row r="50" spans="1:245">
      <c r="A50" s="68"/>
      <c r="B50" s="69"/>
      <c r="C50" s="70"/>
      <c r="D50" s="71"/>
      <c r="E50" s="71"/>
      <c r="F50" s="71"/>
      <c r="G50" s="71"/>
      <c r="H50" s="71"/>
      <c r="I50" s="71"/>
      <c r="J50" s="72"/>
      <c r="K50" s="72"/>
    </row>
    <row r="51" spans="1:245" ht="15">
      <c r="A51" s="41" t="s">
        <v>11</v>
      </c>
      <c r="B51" s="907" t="s">
        <v>72</v>
      </c>
      <c r="C51" s="907"/>
      <c r="D51" s="907"/>
      <c r="E51" s="42"/>
      <c r="F51" s="106"/>
      <c r="G51" s="106"/>
      <c r="H51" s="42"/>
      <c r="I51" s="42"/>
      <c r="J51" s="43"/>
      <c r="K51" s="42"/>
      <c r="L51" s="106"/>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c r="EJ51" s="34"/>
      <c r="EK51" s="34"/>
      <c r="EL51" s="34"/>
      <c r="EM51" s="34"/>
      <c r="EN51" s="34"/>
      <c r="EO51" s="34"/>
      <c r="EP51" s="34"/>
      <c r="EQ51" s="34"/>
      <c r="ER51" s="34"/>
      <c r="ES51" s="34"/>
      <c r="ET51" s="34"/>
      <c r="EU51" s="34"/>
      <c r="EV51" s="34"/>
      <c r="EW51" s="34"/>
      <c r="EX51" s="34"/>
      <c r="EY51" s="34"/>
      <c r="EZ51" s="34"/>
      <c r="FA51" s="34"/>
      <c r="FB51" s="34"/>
      <c r="FC51" s="34"/>
      <c r="FD51" s="34"/>
      <c r="FE51" s="34"/>
      <c r="FF51" s="34"/>
      <c r="FG51" s="34"/>
      <c r="FH51" s="34"/>
      <c r="FI51" s="34"/>
      <c r="FJ51" s="34"/>
      <c r="FK51" s="34"/>
      <c r="FL51" s="34"/>
      <c r="FM51" s="34"/>
      <c r="FN51" s="34"/>
      <c r="FO51" s="34"/>
      <c r="FP51" s="34"/>
      <c r="FQ51" s="34"/>
      <c r="FR51" s="34"/>
      <c r="FS51" s="34"/>
      <c r="FT51" s="34"/>
      <c r="FU51" s="34"/>
      <c r="FV51" s="34"/>
      <c r="FW51" s="34"/>
      <c r="FX51" s="34"/>
      <c r="FY51" s="34"/>
      <c r="FZ51" s="34"/>
      <c r="GA51" s="34"/>
      <c r="GB51" s="34"/>
      <c r="GC51" s="34"/>
      <c r="GD51" s="34"/>
      <c r="GE51" s="34"/>
      <c r="GF51" s="34"/>
      <c r="GG51" s="34"/>
      <c r="GH51" s="34"/>
      <c r="GI51" s="34"/>
      <c r="GJ51" s="34"/>
      <c r="GK51" s="34"/>
      <c r="GL51" s="34"/>
      <c r="GM51" s="34"/>
      <c r="GN51" s="34"/>
      <c r="GO51" s="34"/>
      <c r="GP51" s="34"/>
      <c r="GQ51" s="34"/>
      <c r="GR51" s="34"/>
      <c r="GS51" s="34"/>
      <c r="GT51" s="34"/>
      <c r="GU51" s="34"/>
      <c r="GV51" s="34"/>
      <c r="GW51" s="34"/>
      <c r="GX51" s="34"/>
      <c r="GY51" s="34"/>
      <c r="GZ51" s="34"/>
      <c r="HA51" s="34"/>
      <c r="HB51" s="34"/>
      <c r="HC51" s="34"/>
      <c r="HD51" s="34"/>
      <c r="HE51" s="34"/>
      <c r="HF51" s="34"/>
      <c r="HG51" s="34"/>
      <c r="HH51" s="34"/>
      <c r="HI51" s="34"/>
      <c r="HJ51" s="34"/>
      <c r="HK51" s="34"/>
      <c r="HL51" s="34"/>
      <c r="HM51" s="34"/>
      <c r="HN51" s="34"/>
      <c r="HO51" s="34"/>
      <c r="HP51" s="34"/>
      <c r="HQ51" s="34"/>
      <c r="HR51" s="34"/>
      <c r="HS51" s="34"/>
      <c r="HT51" s="34"/>
      <c r="HU51" s="34"/>
      <c r="HV51" s="34"/>
      <c r="HW51" s="34"/>
      <c r="HX51" s="34"/>
      <c r="HY51" s="34"/>
      <c r="HZ51" s="34"/>
      <c r="IA51" s="34"/>
      <c r="IB51" s="34"/>
      <c r="IC51" s="34"/>
      <c r="ID51" s="34"/>
      <c r="IE51" s="34"/>
      <c r="IF51" s="34"/>
      <c r="IG51" s="34"/>
      <c r="IH51" s="34"/>
      <c r="II51" s="34"/>
      <c r="IJ51" s="34"/>
      <c r="IK51" s="34"/>
    </row>
    <row r="52" spans="1:245" ht="15">
      <c r="A52" s="41">
        <v>1</v>
      </c>
      <c r="B52" s="908" t="s">
        <v>447</v>
      </c>
      <c r="C52" s="909"/>
      <c r="D52" s="235">
        <f>L16</f>
        <v>267.34800000000001</v>
      </c>
      <c r="E52" s="42"/>
      <c r="F52" s="106"/>
      <c r="G52" s="106"/>
      <c r="H52" s="42"/>
      <c r="I52" s="42"/>
      <c r="J52" s="43"/>
      <c r="K52" s="42"/>
      <c r="L52" s="106"/>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c r="EJ52" s="34"/>
      <c r="EK52" s="34"/>
      <c r="EL52" s="34"/>
      <c r="EM52" s="34"/>
      <c r="EN52" s="34"/>
      <c r="EO52" s="34"/>
      <c r="EP52" s="34"/>
      <c r="EQ52" s="34"/>
      <c r="ER52" s="34"/>
      <c r="ES52" s="34"/>
      <c r="ET52" s="34"/>
      <c r="EU52" s="34"/>
      <c r="EV52" s="34"/>
      <c r="EW52" s="34"/>
      <c r="EX52" s="34"/>
      <c r="EY52" s="34"/>
      <c r="EZ52" s="34"/>
      <c r="FA52" s="34"/>
      <c r="FB52" s="34"/>
      <c r="FC52" s="34"/>
      <c r="FD52" s="34"/>
      <c r="FE52" s="34"/>
      <c r="FF52" s="34"/>
      <c r="FG52" s="34"/>
      <c r="FH52" s="34"/>
      <c r="FI52" s="34"/>
      <c r="FJ52" s="34"/>
      <c r="FK52" s="34"/>
      <c r="FL52" s="34"/>
      <c r="FM52" s="34"/>
      <c r="FN52" s="34"/>
      <c r="FO52" s="34"/>
      <c r="FP52" s="34"/>
      <c r="FQ52" s="34"/>
      <c r="FR52" s="34"/>
      <c r="FS52" s="34"/>
      <c r="FT52" s="34"/>
      <c r="FU52" s="34"/>
      <c r="FV52" s="34"/>
      <c r="FW52" s="34"/>
      <c r="FX52" s="34"/>
      <c r="FY52" s="34"/>
      <c r="FZ52" s="34"/>
      <c r="GA52" s="34"/>
      <c r="GB52" s="34"/>
      <c r="GC52" s="34"/>
      <c r="GD52" s="34"/>
      <c r="GE52" s="34"/>
      <c r="GF52" s="34"/>
      <c r="GG52" s="34"/>
      <c r="GH52" s="34"/>
      <c r="GI52" s="34"/>
      <c r="GJ52" s="34"/>
      <c r="GK52" s="34"/>
      <c r="GL52" s="34"/>
      <c r="GM52" s="34"/>
      <c r="GN52" s="34"/>
      <c r="GO52" s="34"/>
      <c r="GP52" s="34"/>
      <c r="GQ52" s="34"/>
      <c r="GR52" s="34"/>
      <c r="GS52" s="34"/>
      <c r="GT52" s="34"/>
      <c r="GU52" s="34"/>
      <c r="GV52" s="34"/>
      <c r="GW52" s="34"/>
      <c r="GX52" s="34"/>
      <c r="GY52" s="34"/>
      <c r="GZ52" s="34"/>
      <c r="HA52" s="34"/>
      <c r="HB52" s="34"/>
      <c r="HC52" s="34"/>
      <c r="HD52" s="34"/>
      <c r="HE52" s="34"/>
      <c r="HF52" s="34"/>
      <c r="HG52" s="34"/>
      <c r="HH52" s="34"/>
      <c r="HI52" s="34"/>
      <c r="HJ52" s="34"/>
      <c r="HK52" s="34"/>
      <c r="HL52" s="34"/>
      <c r="HM52" s="34"/>
      <c r="HN52" s="34"/>
      <c r="HO52" s="34"/>
      <c r="HP52" s="34"/>
      <c r="HQ52" s="34"/>
      <c r="HR52" s="34"/>
      <c r="HS52" s="34"/>
      <c r="HT52" s="34"/>
      <c r="HU52" s="34"/>
      <c r="HV52" s="34"/>
      <c r="HW52" s="34"/>
      <c r="HX52" s="34"/>
      <c r="HY52" s="34"/>
      <c r="HZ52" s="34"/>
      <c r="IA52" s="34"/>
      <c r="IB52" s="34"/>
      <c r="IC52" s="34"/>
      <c r="ID52" s="34"/>
      <c r="IE52" s="34"/>
      <c r="IF52" s="34"/>
      <c r="IG52" s="34"/>
      <c r="IH52" s="34"/>
      <c r="II52" s="34"/>
      <c r="IJ52" s="34"/>
      <c r="IK52" s="34"/>
    </row>
    <row r="53" spans="1:245" ht="15">
      <c r="A53" s="41">
        <v>2</v>
      </c>
      <c r="B53" s="908" t="s">
        <v>608</v>
      </c>
      <c r="C53" s="909"/>
      <c r="D53" s="235">
        <f>L22</f>
        <v>89.024000000000001</v>
      </c>
      <c r="E53" s="42"/>
      <c r="F53" s="106"/>
      <c r="G53" s="106"/>
      <c r="H53" s="42"/>
      <c r="I53" s="42"/>
      <c r="J53" s="43"/>
      <c r="K53" s="42"/>
      <c r="L53" s="106"/>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4"/>
      <c r="BH53" s="34"/>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c r="DI53" s="34"/>
      <c r="DJ53" s="34"/>
      <c r="DK53" s="34"/>
      <c r="DL53" s="34"/>
      <c r="DM53" s="34"/>
      <c r="DN53" s="34"/>
      <c r="DO53" s="34"/>
      <c r="DP53" s="34"/>
      <c r="DQ53" s="34"/>
      <c r="DR53" s="34"/>
      <c r="DS53" s="34"/>
      <c r="DT53" s="34"/>
      <c r="DU53" s="34"/>
      <c r="DV53" s="34"/>
      <c r="DW53" s="34"/>
      <c r="DX53" s="34"/>
      <c r="DY53" s="34"/>
      <c r="DZ53" s="34"/>
      <c r="EA53" s="34"/>
      <c r="EB53" s="34"/>
      <c r="EC53" s="34"/>
      <c r="ED53" s="34"/>
      <c r="EE53" s="34"/>
      <c r="EF53" s="34"/>
      <c r="EG53" s="34"/>
      <c r="EH53" s="34"/>
      <c r="EI53" s="34"/>
      <c r="EJ53" s="34"/>
      <c r="EK53" s="34"/>
      <c r="EL53" s="34"/>
      <c r="EM53" s="34"/>
      <c r="EN53" s="34"/>
      <c r="EO53" s="34"/>
      <c r="EP53" s="34"/>
      <c r="EQ53" s="34"/>
      <c r="ER53" s="34"/>
      <c r="ES53" s="34"/>
      <c r="ET53" s="34"/>
      <c r="EU53" s="34"/>
      <c r="EV53" s="34"/>
      <c r="EW53" s="34"/>
      <c r="EX53" s="34"/>
      <c r="EY53" s="34"/>
      <c r="EZ53" s="34"/>
      <c r="FA53" s="34"/>
      <c r="FB53" s="34"/>
      <c r="FC53" s="34"/>
      <c r="FD53" s="34"/>
      <c r="FE53" s="34"/>
      <c r="FF53" s="34"/>
      <c r="FG53" s="34"/>
      <c r="FH53" s="34"/>
      <c r="FI53" s="34"/>
      <c r="FJ53" s="34"/>
      <c r="FK53" s="34"/>
      <c r="FL53" s="34"/>
      <c r="FM53" s="34"/>
      <c r="FN53" s="34"/>
      <c r="FO53" s="34"/>
      <c r="FP53" s="34"/>
      <c r="FQ53" s="34"/>
      <c r="FR53" s="34"/>
      <c r="FS53" s="34"/>
      <c r="FT53" s="34"/>
      <c r="FU53" s="34"/>
      <c r="FV53" s="34"/>
      <c r="FW53" s="34"/>
      <c r="FX53" s="34"/>
      <c r="FY53" s="34"/>
      <c r="FZ53" s="34"/>
      <c r="GA53" s="34"/>
      <c r="GB53" s="34"/>
      <c r="GC53" s="34"/>
      <c r="GD53" s="34"/>
      <c r="GE53" s="34"/>
      <c r="GF53" s="34"/>
      <c r="GG53" s="34"/>
      <c r="GH53" s="34"/>
      <c r="GI53" s="34"/>
      <c r="GJ53" s="34"/>
      <c r="GK53" s="34"/>
      <c r="GL53" s="34"/>
      <c r="GM53" s="34"/>
      <c r="GN53" s="34"/>
      <c r="GO53" s="34"/>
      <c r="GP53" s="34"/>
      <c r="GQ53" s="34"/>
      <c r="GR53" s="34"/>
      <c r="GS53" s="34"/>
      <c r="GT53" s="34"/>
      <c r="GU53" s="34"/>
      <c r="GV53" s="34"/>
      <c r="GW53" s="34"/>
      <c r="GX53" s="34"/>
      <c r="GY53" s="34"/>
      <c r="GZ53" s="34"/>
      <c r="HA53" s="34"/>
      <c r="HB53" s="34"/>
      <c r="HC53" s="34"/>
      <c r="HD53" s="34"/>
      <c r="HE53" s="34"/>
      <c r="HF53" s="34"/>
      <c r="HG53" s="34"/>
      <c r="HH53" s="34"/>
      <c r="HI53" s="34"/>
      <c r="HJ53" s="34"/>
      <c r="HK53" s="34"/>
      <c r="HL53" s="34"/>
      <c r="HM53" s="34"/>
      <c r="HN53" s="34"/>
      <c r="HO53" s="34"/>
      <c r="HP53" s="34"/>
      <c r="HQ53" s="34"/>
      <c r="HR53" s="34"/>
      <c r="HS53" s="34"/>
      <c r="HT53" s="34"/>
      <c r="HU53" s="34"/>
      <c r="HV53" s="34"/>
      <c r="HW53" s="34"/>
      <c r="HX53" s="34"/>
      <c r="HY53" s="34"/>
      <c r="HZ53" s="34"/>
      <c r="IA53" s="34"/>
      <c r="IB53" s="34"/>
      <c r="IC53" s="34"/>
      <c r="ID53" s="34"/>
      <c r="IE53" s="34"/>
      <c r="IF53" s="34"/>
      <c r="IG53" s="34"/>
      <c r="IH53" s="34"/>
      <c r="II53" s="34"/>
      <c r="IJ53" s="34"/>
      <c r="IK53" s="34"/>
    </row>
    <row r="54" spans="1:245" ht="15">
      <c r="A54" s="41">
        <v>3</v>
      </c>
      <c r="B54" s="908" t="s">
        <v>610</v>
      </c>
      <c r="C54" s="909"/>
      <c r="D54" s="235">
        <f>L28</f>
        <v>155.816</v>
      </c>
      <c r="E54" s="42"/>
      <c r="F54" s="106"/>
      <c r="G54" s="106"/>
      <c r="H54" s="42"/>
      <c r="I54" s="42"/>
      <c r="J54" s="43"/>
      <c r="K54" s="42"/>
      <c r="L54" s="106"/>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row>
    <row r="55" spans="1:245" ht="15">
      <c r="A55" s="41">
        <v>4</v>
      </c>
      <c r="B55" s="908" t="s">
        <v>448</v>
      </c>
      <c r="C55" s="909"/>
      <c r="D55" s="232">
        <f>L33</f>
        <v>241.11600000000001</v>
      </c>
      <c r="E55" s="42"/>
      <c r="F55" s="106"/>
      <c r="G55" s="106"/>
      <c r="H55" s="42"/>
      <c r="I55" s="42"/>
      <c r="J55" s="43"/>
      <c r="K55" s="42"/>
      <c r="L55" s="106"/>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c r="EJ55" s="34"/>
      <c r="EK55" s="34"/>
      <c r="EL55" s="34"/>
      <c r="EM55" s="34"/>
      <c r="EN55" s="34"/>
      <c r="EO55" s="34"/>
      <c r="EP55" s="34"/>
      <c r="EQ55" s="34"/>
      <c r="ER55" s="34"/>
      <c r="ES55" s="34"/>
      <c r="ET55" s="34"/>
      <c r="EU55" s="34"/>
      <c r="EV55" s="34"/>
      <c r="EW55" s="34"/>
      <c r="EX55" s="34"/>
      <c r="EY55" s="34"/>
      <c r="EZ55" s="34"/>
      <c r="FA55" s="34"/>
      <c r="FB55" s="34"/>
      <c r="FC55" s="34"/>
      <c r="FD55" s="34"/>
      <c r="FE55" s="34"/>
      <c r="FF55" s="34"/>
      <c r="FG55" s="34"/>
      <c r="FH55" s="34"/>
      <c r="FI55" s="34"/>
      <c r="FJ55" s="34"/>
      <c r="FK55" s="34"/>
      <c r="FL55" s="34"/>
      <c r="FM55" s="34"/>
      <c r="FN55" s="34"/>
      <c r="FO55" s="34"/>
      <c r="FP55" s="34"/>
      <c r="FQ55" s="34"/>
      <c r="FR55" s="34"/>
      <c r="FS55" s="34"/>
      <c r="FT55" s="34"/>
      <c r="FU55" s="34"/>
      <c r="FV55" s="34"/>
      <c r="FW55" s="34"/>
      <c r="FX55" s="34"/>
      <c r="FY55" s="34"/>
      <c r="FZ55" s="34"/>
      <c r="GA55" s="34"/>
      <c r="GB55" s="34"/>
      <c r="GC55" s="34"/>
      <c r="GD55" s="34"/>
      <c r="GE55" s="34"/>
      <c r="GF55" s="34"/>
      <c r="GG55" s="34"/>
      <c r="GH55" s="34"/>
      <c r="GI55" s="34"/>
      <c r="GJ55" s="34"/>
      <c r="GK55" s="34"/>
      <c r="GL55" s="34"/>
      <c r="GM55" s="34"/>
      <c r="GN55" s="34"/>
      <c r="GO55" s="34"/>
      <c r="GP55" s="34"/>
      <c r="GQ55" s="34"/>
      <c r="GR55" s="34"/>
      <c r="GS55" s="34"/>
      <c r="GT55" s="34"/>
      <c r="GU55" s="34"/>
      <c r="GV55" s="34"/>
      <c r="GW55" s="34"/>
      <c r="GX55" s="34"/>
      <c r="GY55" s="34"/>
      <c r="GZ55" s="34"/>
      <c r="HA55" s="34"/>
      <c r="HB55" s="34"/>
      <c r="HC55" s="34"/>
      <c r="HD55" s="34"/>
      <c r="HE55" s="34"/>
      <c r="HF55" s="34"/>
      <c r="HG55" s="34"/>
      <c r="HH55" s="34"/>
      <c r="HI55" s="34"/>
      <c r="HJ55" s="34"/>
      <c r="HK55" s="34"/>
      <c r="HL55" s="34"/>
      <c r="HM55" s="34"/>
      <c r="HN55" s="34"/>
      <c r="HO55" s="34"/>
      <c r="HP55" s="34"/>
      <c r="HQ55" s="34"/>
      <c r="HR55" s="34"/>
      <c r="HS55" s="34"/>
      <c r="HT55" s="34"/>
      <c r="HU55" s="34"/>
      <c r="HV55" s="34"/>
      <c r="HW55" s="34"/>
      <c r="HX55" s="34"/>
      <c r="HY55" s="34"/>
      <c r="HZ55" s="34"/>
      <c r="IA55" s="34"/>
      <c r="IB55" s="34"/>
      <c r="IC55" s="34"/>
      <c r="ID55" s="34"/>
      <c r="IE55" s="34"/>
      <c r="IF55" s="34"/>
      <c r="IG55" s="34"/>
      <c r="IH55" s="34"/>
      <c r="II55" s="34"/>
      <c r="IJ55" s="34"/>
      <c r="IK55" s="34"/>
    </row>
    <row r="56" spans="1:245" ht="15">
      <c r="A56" s="41">
        <v>5</v>
      </c>
      <c r="B56" s="908" t="s">
        <v>611</v>
      </c>
      <c r="C56" s="909"/>
      <c r="D56" s="232">
        <f>L39</f>
        <v>173.625</v>
      </c>
      <c r="E56" s="42"/>
      <c r="F56" s="106"/>
      <c r="G56" s="106"/>
      <c r="H56" s="42"/>
      <c r="I56" s="42"/>
      <c r="J56" s="43"/>
      <c r="K56" s="42"/>
      <c r="L56" s="106"/>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c r="EJ56" s="34"/>
      <c r="EK56" s="34"/>
      <c r="EL56" s="34"/>
      <c r="EM56" s="34"/>
      <c r="EN56" s="34"/>
      <c r="EO56" s="34"/>
      <c r="EP56" s="34"/>
      <c r="EQ56" s="34"/>
      <c r="ER56" s="34"/>
      <c r="ES56" s="34"/>
      <c r="ET56" s="34"/>
      <c r="EU56" s="34"/>
      <c r="EV56" s="34"/>
      <c r="EW56" s="34"/>
      <c r="EX56" s="34"/>
      <c r="EY56" s="34"/>
      <c r="EZ56" s="34"/>
      <c r="FA56" s="34"/>
      <c r="FB56" s="34"/>
      <c r="FC56" s="34"/>
      <c r="FD56" s="34"/>
      <c r="FE56" s="34"/>
      <c r="FF56" s="34"/>
      <c r="FG56" s="34"/>
      <c r="FH56" s="34"/>
      <c r="FI56" s="34"/>
      <c r="FJ56" s="34"/>
      <c r="FK56" s="34"/>
      <c r="FL56" s="34"/>
      <c r="FM56" s="34"/>
      <c r="FN56" s="34"/>
      <c r="FO56" s="34"/>
      <c r="FP56" s="34"/>
      <c r="FQ56" s="34"/>
      <c r="FR56" s="34"/>
      <c r="FS56" s="34"/>
      <c r="FT56" s="34"/>
      <c r="FU56" s="34"/>
      <c r="FV56" s="34"/>
      <c r="FW56" s="34"/>
      <c r="FX56" s="34"/>
      <c r="FY56" s="34"/>
      <c r="FZ56" s="34"/>
      <c r="GA56" s="34"/>
      <c r="GB56" s="34"/>
      <c r="GC56" s="34"/>
      <c r="GD56" s="34"/>
      <c r="GE56" s="34"/>
      <c r="GF56" s="34"/>
      <c r="GG56" s="34"/>
      <c r="GH56" s="34"/>
      <c r="GI56" s="34"/>
      <c r="GJ56" s="34"/>
      <c r="GK56" s="34"/>
      <c r="GL56" s="34"/>
      <c r="GM56" s="34"/>
      <c r="GN56" s="34"/>
      <c r="GO56" s="34"/>
      <c r="GP56" s="34"/>
      <c r="GQ56" s="34"/>
      <c r="GR56" s="34"/>
      <c r="GS56" s="34"/>
      <c r="GT56" s="34"/>
      <c r="GU56" s="34"/>
      <c r="GV56" s="34"/>
      <c r="GW56" s="34"/>
      <c r="GX56" s="34"/>
      <c r="GY56" s="34"/>
      <c r="GZ56" s="34"/>
      <c r="HA56" s="34"/>
      <c r="HB56" s="34"/>
      <c r="HC56" s="34"/>
      <c r="HD56" s="34"/>
      <c r="HE56" s="34"/>
      <c r="HF56" s="34"/>
      <c r="HG56" s="34"/>
      <c r="HH56" s="34"/>
      <c r="HI56" s="34"/>
      <c r="HJ56" s="34"/>
      <c r="HK56" s="34"/>
      <c r="HL56" s="34"/>
      <c r="HM56" s="34"/>
      <c r="HN56" s="34"/>
      <c r="HO56" s="34"/>
      <c r="HP56" s="34"/>
      <c r="HQ56" s="34"/>
      <c r="HR56" s="34"/>
      <c r="HS56" s="34"/>
      <c r="HT56" s="34"/>
      <c r="HU56" s="34"/>
      <c r="HV56" s="34"/>
      <c r="HW56" s="34"/>
      <c r="HX56" s="34"/>
      <c r="HY56" s="34"/>
      <c r="HZ56" s="34"/>
      <c r="IA56" s="34"/>
      <c r="IB56" s="34"/>
      <c r="IC56" s="34"/>
      <c r="ID56" s="34"/>
      <c r="IE56" s="34"/>
      <c r="IF56" s="34"/>
      <c r="IG56" s="34"/>
      <c r="IH56" s="34"/>
      <c r="II56" s="34"/>
      <c r="IJ56" s="34"/>
      <c r="IK56" s="34"/>
    </row>
    <row r="57" spans="1:245" ht="15">
      <c r="A57" s="41">
        <v>6</v>
      </c>
      <c r="B57" s="908" t="s">
        <v>449</v>
      </c>
      <c r="C57" s="909"/>
      <c r="D57" s="232">
        <f>L44</f>
        <v>125.22</v>
      </c>
      <c r="E57" s="42"/>
      <c r="F57" s="106"/>
      <c r="G57" s="106"/>
      <c r="H57" s="42"/>
      <c r="I57" s="42"/>
      <c r="J57" s="43"/>
      <c r="K57" s="42"/>
      <c r="L57" s="106"/>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c r="EJ57" s="34"/>
      <c r="EK57" s="34"/>
      <c r="EL57" s="34"/>
      <c r="EM57" s="34"/>
      <c r="EN57" s="34"/>
      <c r="EO57" s="34"/>
      <c r="EP57" s="34"/>
      <c r="EQ57" s="34"/>
      <c r="ER57" s="34"/>
      <c r="ES57" s="34"/>
      <c r="ET57" s="34"/>
      <c r="EU57" s="34"/>
      <c r="EV57" s="34"/>
      <c r="EW57" s="34"/>
      <c r="EX57" s="34"/>
      <c r="EY57" s="34"/>
      <c r="EZ57" s="34"/>
      <c r="FA57" s="34"/>
      <c r="FB57" s="34"/>
      <c r="FC57" s="34"/>
      <c r="FD57" s="34"/>
      <c r="FE57" s="34"/>
      <c r="FF57" s="34"/>
      <c r="FG57" s="34"/>
      <c r="FH57" s="34"/>
      <c r="FI57" s="34"/>
      <c r="FJ57" s="34"/>
      <c r="FK57" s="34"/>
      <c r="FL57" s="34"/>
      <c r="FM57" s="34"/>
      <c r="FN57" s="34"/>
      <c r="FO57" s="34"/>
      <c r="FP57" s="34"/>
      <c r="FQ57" s="34"/>
      <c r="FR57" s="34"/>
      <c r="FS57" s="34"/>
      <c r="FT57" s="34"/>
      <c r="FU57" s="34"/>
      <c r="FV57" s="34"/>
      <c r="FW57" s="34"/>
      <c r="FX57" s="34"/>
      <c r="FY57" s="34"/>
      <c r="FZ57" s="34"/>
      <c r="GA57" s="34"/>
      <c r="GB57" s="34"/>
      <c r="GC57" s="34"/>
      <c r="GD57" s="34"/>
      <c r="GE57" s="34"/>
      <c r="GF57" s="34"/>
      <c r="GG57" s="34"/>
      <c r="GH57" s="34"/>
      <c r="GI57" s="34"/>
      <c r="GJ57" s="34"/>
      <c r="GK57" s="34"/>
      <c r="GL57" s="34"/>
      <c r="GM57" s="34"/>
      <c r="GN57" s="34"/>
      <c r="GO57" s="34"/>
      <c r="GP57" s="34"/>
      <c r="GQ57" s="34"/>
      <c r="GR57" s="34"/>
      <c r="GS57" s="34"/>
      <c r="GT57" s="34"/>
      <c r="GU57" s="34"/>
      <c r="GV57" s="34"/>
      <c r="GW57" s="34"/>
      <c r="GX57" s="34"/>
      <c r="GY57" s="34"/>
      <c r="GZ57" s="34"/>
      <c r="HA57" s="34"/>
      <c r="HB57" s="34"/>
      <c r="HC57" s="34"/>
      <c r="HD57" s="34"/>
      <c r="HE57" s="34"/>
      <c r="HF57" s="34"/>
      <c r="HG57" s="34"/>
      <c r="HH57" s="34"/>
      <c r="HI57" s="34"/>
      <c r="HJ57" s="34"/>
      <c r="HK57" s="34"/>
      <c r="HL57" s="34"/>
      <c r="HM57" s="34"/>
      <c r="HN57" s="34"/>
      <c r="HO57" s="34"/>
      <c r="HP57" s="34"/>
      <c r="HQ57" s="34"/>
      <c r="HR57" s="34"/>
      <c r="HS57" s="34"/>
      <c r="HT57" s="34"/>
      <c r="HU57" s="34"/>
      <c r="HV57" s="34"/>
      <c r="HW57" s="34"/>
      <c r="HX57" s="34"/>
      <c r="HY57" s="34"/>
      <c r="HZ57" s="34"/>
      <c r="IA57" s="34"/>
      <c r="IB57" s="34"/>
      <c r="IC57" s="34"/>
      <c r="ID57" s="34"/>
      <c r="IE57" s="34"/>
      <c r="IF57" s="34"/>
      <c r="IG57" s="34"/>
      <c r="IH57" s="34"/>
      <c r="II57" s="34"/>
      <c r="IJ57" s="34"/>
      <c r="IK57" s="34"/>
    </row>
    <row r="58" spans="1:245" ht="15">
      <c r="A58" s="41">
        <v>7</v>
      </c>
      <c r="B58" s="908" t="s">
        <v>450</v>
      </c>
      <c r="C58" s="909"/>
      <c r="D58" s="232">
        <f>L18</f>
        <v>66.837000000000003</v>
      </c>
      <c r="E58" s="42"/>
      <c r="F58" s="106"/>
      <c r="G58" s="106"/>
      <c r="H58" s="42"/>
      <c r="I58" s="42"/>
      <c r="J58" s="43"/>
      <c r="K58" s="42"/>
      <c r="L58" s="106"/>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c r="EJ58" s="34"/>
      <c r="EK58" s="34"/>
      <c r="EL58" s="34"/>
      <c r="EM58" s="34"/>
      <c r="EN58" s="34"/>
      <c r="EO58" s="34"/>
      <c r="EP58" s="34"/>
      <c r="EQ58" s="34"/>
      <c r="ER58" s="34"/>
      <c r="ES58" s="34"/>
      <c r="ET58" s="34"/>
      <c r="EU58" s="34"/>
      <c r="EV58" s="34"/>
      <c r="EW58" s="34"/>
      <c r="EX58" s="34"/>
      <c r="EY58" s="34"/>
      <c r="EZ58" s="34"/>
      <c r="FA58" s="34"/>
      <c r="FB58" s="34"/>
      <c r="FC58" s="34"/>
      <c r="FD58" s="34"/>
      <c r="FE58" s="34"/>
      <c r="FF58" s="34"/>
      <c r="FG58" s="34"/>
      <c r="FH58" s="34"/>
      <c r="FI58" s="34"/>
      <c r="FJ58" s="34"/>
      <c r="FK58" s="34"/>
      <c r="FL58" s="34"/>
      <c r="FM58" s="34"/>
      <c r="FN58" s="34"/>
      <c r="FO58" s="34"/>
      <c r="FP58" s="34"/>
      <c r="FQ58" s="34"/>
      <c r="FR58" s="34"/>
      <c r="FS58" s="34"/>
      <c r="FT58" s="34"/>
      <c r="FU58" s="34"/>
      <c r="FV58" s="34"/>
      <c r="FW58" s="34"/>
      <c r="FX58" s="34"/>
      <c r="FY58" s="34"/>
      <c r="FZ58" s="34"/>
      <c r="GA58" s="34"/>
      <c r="GB58" s="34"/>
      <c r="GC58" s="34"/>
      <c r="GD58" s="34"/>
      <c r="GE58" s="34"/>
      <c r="GF58" s="34"/>
      <c r="GG58" s="34"/>
      <c r="GH58" s="34"/>
      <c r="GI58" s="34"/>
      <c r="GJ58" s="34"/>
      <c r="GK58" s="34"/>
      <c r="GL58" s="34"/>
      <c r="GM58" s="34"/>
      <c r="GN58" s="34"/>
      <c r="GO58" s="34"/>
      <c r="GP58" s="34"/>
      <c r="GQ58" s="34"/>
      <c r="GR58" s="34"/>
      <c r="GS58" s="34"/>
      <c r="GT58" s="34"/>
      <c r="GU58" s="34"/>
      <c r="GV58" s="34"/>
      <c r="GW58" s="34"/>
      <c r="GX58" s="34"/>
      <c r="GY58" s="34"/>
      <c r="GZ58" s="34"/>
      <c r="HA58" s="34"/>
      <c r="HB58" s="34"/>
      <c r="HC58" s="34"/>
      <c r="HD58" s="34"/>
      <c r="HE58" s="34"/>
      <c r="HF58" s="34"/>
      <c r="HG58" s="34"/>
      <c r="HH58" s="34"/>
      <c r="HI58" s="34"/>
      <c r="HJ58" s="34"/>
      <c r="HK58" s="34"/>
      <c r="HL58" s="34"/>
      <c r="HM58" s="34"/>
      <c r="HN58" s="34"/>
      <c r="HO58" s="34"/>
      <c r="HP58" s="34"/>
      <c r="HQ58" s="34"/>
      <c r="HR58" s="34"/>
      <c r="HS58" s="34"/>
      <c r="HT58" s="34"/>
      <c r="HU58" s="34"/>
      <c r="HV58" s="34"/>
      <c r="HW58" s="34"/>
      <c r="HX58" s="34"/>
      <c r="HY58" s="34"/>
      <c r="HZ58" s="34"/>
      <c r="IA58" s="34"/>
      <c r="IB58" s="34"/>
      <c r="IC58" s="34"/>
      <c r="ID58" s="34"/>
      <c r="IE58" s="34"/>
      <c r="IF58" s="34"/>
      <c r="IG58" s="34"/>
      <c r="IH58" s="34"/>
      <c r="II58" s="34"/>
      <c r="IJ58" s="34"/>
      <c r="IK58" s="34"/>
    </row>
    <row r="59" spans="1:245" ht="15">
      <c r="A59" s="41">
        <v>8</v>
      </c>
      <c r="B59" s="908" t="s">
        <v>609</v>
      </c>
      <c r="C59" s="909"/>
      <c r="D59" s="232">
        <f>L25</f>
        <v>22.856000000000002</v>
      </c>
      <c r="E59" s="42"/>
      <c r="F59" s="106"/>
      <c r="G59" s="106"/>
      <c r="H59" s="42"/>
      <c r="I59" s="42"/>
      <c r="J59" s="43"/>
      <c r="K59" s="42"/>
      <c r="L59" s="106"/>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c r="EJ59" s="34"/>
      <c r="EK59" s="34"/>
      <c r="EL59" s="34"/>
      <c r="EM59" s="34"/>
      <c r="EN59" s="34"/>
      <c r="EO59" s="34"/>
      <c r="EP59" s="34"/>
      <c r="EQ59" s="34"/>
      <c r="ER59" s="34"/>
      <c r="ES59" s="34"/>
      <c r="ET59" s="34"/>
      <c r="EU59" s="34"/>
      <c r="EV59" s="34"/>
      <c r="EW59" s="34"/>
      <c r="EX59" s="34"/>
      <c r="EY59" s="34"/>
      <c r="EZ59" s="34"/>
      <c r="FA59" s="34"/>
      <c r="FB59" s="34"/>
      <c r="FC59" s="34"/>
      <c r="FD59" s="34"/>
      <c r="FE59" s="34"/>
      <c r="FF59" s="34"/>
      <c r="FG59" s="34"/>
      <c r="FH59" s="34"/>
      <c r="FI59" s="34"/>
      <c r="FJ59" s="34"/>
      <c r="FK59" s="34"/>
      <c r="FL59" s="34"/>
      <c r="FM59" s="34"/>
      <c r="FN59" s="34"/>
      <c r="FO59" s="34"/>
      <c r="FP59" s="34"/>
      <c r="FQ59" s="34"/>
      <c r="FR59" s="34"/>
      <c r="FS59" s="34"/>
      <c r="FT59" s="34"/>
      <c r="FU59" s="34"/>
      <c r="FV59" s="34"/>
      <c r="FW59" s="34"/>
      <c r="FX59" s="34"/>
      <c r="FY59" s="34"/>
      <c r="FZ59" s="34"/>
      <c r="GA59" s="34"/>
      <c r="GB59" s="34"/>
      <c r="GC59" s="34"/>
      <c r="GD59" s="34"/>
      <c r="GE59" s="34"/>
      <c r="GF59" s="34"/>
      <c r="GG59" s="34"/>
      <c r="GH59" s="34"/>
      <c r="GI59" s="34"/>
      <c r="GJ59" s="34"/>
      <c r="GK59" s="34"/>
      <c r="GL59" s="34"/>
      <c r="GM59" s="34"/>
      <c r="GN59" s="34"/>
      <c r="GO59" s="34"/>
      <c r="GP59" s="34"/>
      <c r="GQ59" s="34"/>
      <c r="GR59" s="34"/>
      <c r="GS59" s="34"/>
      <c r="GT59" s="34"/>
      <c r="GU59" s="34"/>
      <c r="GV59" s="34"/>
      <c r="GW59" s="34"/>
      <c r="GX59" s="34"/>
      <c r="GY59" s="34"/>
      <c r="GZ59" s="34"/>
      <c r="HA59" s="34"/>
      <c r="HB59" s="34"/>
      <c r="HC59" s="34"/>
      <c r="HD59" s="34"/>
      <c r="HE59" s="34"/>
      <c r="HF59" s="34"/>
      <c r="HG59" s="34"/>
      <c r="HH59" s="34"/>
      <c r="HI59" s="34"/>
      <c r="HJ59" s="34"/>
      <c r="HK59" s="34"/>
      <c r="HL59" s="34"/>
      <c r="HM59" s="34"/>
      <c r="HN59" s="34"/>
      <c r="HO59" s="34"/>
      <c r="HP59" s="34"/>
      <c r="HQ59" s="34"/>
      <c r="HR59" s="34"/>
      <c r="HS59" s="34"/>
      <c r="HT59" s="34"/>
      <c r="HU59" s="34"/>
      <c r="HV59" s="34"/>
      <c r="HW59" s="34"/>
      <c r="HX59" s="34"/>
      <c r="HY59" s="34"/>
      <c r="HZ59" s="34"/>
      <c r="IA59" s="34"/>
      <c r="IB59" s="34"/>
      <c r="IC59" s="34"/>
      <c r="ID59" s="34"/>
      <c r="IE59" s="34"/>
      <c r="IF59" s="34"/>
      <c r="IG59" s="34"/>
      <c r="IH59" s="34"/>
      <c r="II59" s="34"/>
      <c r="IJ59" s="34"/>
      <c r="IK59" s="34"/>
    </row>
    <row r="60" spans="1:245" ht="15">
      <c r="A60" s="41">
        <v>9</v>
      </c>
      <c r="B60" s="908" t="s">
        <v>441</v>
      </c>
      <c r="C60" s="909"/>
      <c r="D60" s="232">
        <f>L20</f>
        <v>38.174999999999997</v>
      </c>
      <c r="E60" s="42"/>
      <c r="F60" s="106"/>
      <c r="G60" s="106"/>
      <c r="H60" s="42"/>
      <c r="I60" s="42"/>
      <c r="J60" s="43"/>
      <c r="K60" s="42"/>
      <c r="L60" s="106"/>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c r="DI60" s="34"/>
      <c r="DJ60" s="34"/>
      <c r="DK60" s="34"/>
      <c r="DL60" s="34"/>
      <c r="DM60" s="34"/>
      <c r="DN60" s="34"/>
      <c r="DO60" s="34"/>
      <c r="DP60" s="34"/>
      <c r="DQ60" s="34"/>
      <c r="DR60" s="34"/>
      <c r="DS60" s="34"/>
      <c r="DT60" s="34"/>
      <c r="DU60" s="34"/>
      <c r="DV60" s="34"/>
      <c r="DW60" s="34"/>
      <c r="DX60" s="34"/>
      <c r="DY60" s="34"/>
      <c r="DZ60" s="34"/>
      <c r="EA60" s="34"/>
      <c r="EB60" s="34"/>
      <c r="EC60" s="34"/>
      <c r="ED60" s="34"/>
      <c r="EE60" s="34"/>
      <c r="EF60" s="34"/>
      <c r="EG60" s="34"/>
      <c r="EH60" s="34"/>
      <c r="EI60" s="34"/>
      <c r="EJ60" s="34"/>
      <c r="EK60" s="34"/>
      <c r="EL60" s="34"/>
      <c r="EM60" s="34"/>
      <c r="EN60" s="34"/>
      <c r="EO60" s="34"/>
      <c r="EP60" s="34"/>
      <c r="EQ60" s="34"/>
      <c r="ER60" s="34"/>
      <c r="ES60" s="34"/>
      <c r="ET60" s="34"/>
      <c r="EU60" s="34"/>
      <c r="EV60" s="34"/>
      <c r="EW60" s="34"/>
      <c r="EX60" s="34"/>
      <c r="EY60" s="34"/>
      <c r="EZ60" s="34"/>
      <c r="FA60" s="34"/>
      <c r="FB60" s="34"/>
      <c r="FC60" s="34"/>
      <c r="FD60" s="34"/>
      <c r="FE60" s="34"/>
      <c r="FF60" s="34"/>
      <c r="FG60" s="34"/>
      <c r="FH60" s="34"/>
      <c r="FI60" s="34"/>
      <c r="FJ60" s="34"/>
      <c r="FK60" s="34"/>
      <c r="FL60" s="34"/>
      <c r="FM60" s="34"/>
      <c r="FN60" s="34"/>
      <c r="FO60" s="34"/>
      <c r="FP60" s="34"/>
      <c r="FQ60" s="34"/>
      <c r="FR60" s="34"/>
      <c r="FS60" s="34"/>
      <c r="FT60" s="34"/>
      <c r="FU60" s="34"/>
      <c r="FV60" s="34"/>
      <c r="FW60" s="34"/>
      <c r="FX60" s="34"/>
      <c r="FY60" s="34"/>
      <c r="FZ60" s="34"/>
      <c r="GA60" s="34"/>
      <c r="GB60" s="34"/>
      <c r="GC60" s="34"/>
      <c r="GD60" s="34"/>
      <c r="GE60" s="34"/>
      <c r="GF60" s="34"/>
      <c r="GG60" s="34"/>
      <c r="GH60" s="34"/>
      <c r="GI60" s="34"/>
      <c r="GJ60" s="34"/>
      <c r="GK60" s="34"/>
      <c r="GL60" s="34"/>
      <c r="GM60" s="34"/>
      <c r="GN60" s="34"/>
      <c r="GO60" s="34"/>
      <c r="GP60" s="34"/>
      <c r="GQ60" s="34"/>
      <c r="GR60" s="34"/>
      <c r="GS60" s="34"/>
      <c r="GT60" s="34"/>
      <c r="GU60" s="34"/>
      <c r="GV60" s="34"/>
      <c r="GW60" s="34"/>
      <c r="GX60" s="34"/>
      <c r="GY60" s="34"/>
      <c r="GZ60" s="34"/>
      <c r="HA60" s="34"/>
      <c r="HB60" s="34"/>
      <c r="HC60" s="34"/>
      <c r="HD60" s="34"/>
      <c r="HE60" s="34"/>
      <c r="HF60" s="34"/>
      <c r="HG60" s="34"/>
      <c r="HH60" s="34"/>
      <c r="HI60" s="34"/>
      <c r="HJ60" s="34"/>
      <c r="HK60" s="34"/>
      <c r="HL60" s="34"/>
      <c r="HM60" s="34"/>
      <c r="HN60" s="34"/>
      <c r="HO60" s="34"/>
      <c r="HP60" s="34"/>
      <c r="HQ60" s="34"/>
      <c r="HR60" s="34"/>
      <c r="HS60" s="34"/>
      <c r="HT60" s="34"/>
      <c r="HU60" s="34"/>
      <c r="HV60" s="34"/>
      <c r="HW60" s="34"/>
      <c r="HX60" s="34"/>
      <c r="HY60" s="34"/>
      <c r="HZ60" s="34"/>
      <c r="IA60" s="34"/>
      <c r="IB60" s="34"/>
      <c r="IC60" s="34"/>
      <c r="ID60" s="34"/>
      <c r="IE60" s="34"/>
      <c r="IF60" s="34"/>
      <c r="IG60" s="34"/>
      <c r="IH60" s="34"/>
      <c r="II60" s="34"/>
      <c r="IJ60" s="34"/>
      <c r="IK60" s="34"/>
    </row>
    <row r="61" spans="1:245" ht="15">
      <c r="A61" s="41">
        <v>10</v>
      </c>
      <c r="B61" s="908" t="s">
        <v>453</v>
      </c>
      <c r="C61" s="909"/>
      <c r="D61" s="232">
        <f>L47</f>
        <v>112.10000000000002</v>
      </c>
      <c r="E61" s="42"/>
      <c r="F61" s="106"/>
      <c r="G61" s="106"/>
      <c r="H61" s="42"/>
      <c r="I61" s="42"/>
      <c r="J61" s="43"/>
      <c r="K61" s="42"/>
      <c r="L61" s="106"/>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c r="DI61" s="34"/>
      <c r="DJ61" s="34"/>
      <c r="DK61" s="34"/>
      <c r="DL61" s="34"/>
      <c r="DM61" s="34"/>
      <c r="DN61" s="34"/>
      <c r="DO61" s="34"/>
      <c r="DP61" s="34"/>
      <c r="DQ61" s="34"/>
      <c r="DR61" s="34"/>
      <c r="DS61" s="34"/>
      <c r="DT61" s="34"/>
      <c r="DU61" s="34"/>
      <c r="DV61" s="34"/>
      <c r="DW61" s="34"/>
      <c r="DX61" s="34"/>
      <c r="DY61" s="34"/>
      <c r="DZ61" s="34"/>
      <c r="EA61" s="34"/>
      <c r="EB61" s="34"/>
      <c r="EC61" s="34"/>
      <c r="ED61" s="34"/>
      <c r="EE61" s="34"/>
      <c r="EF61" s="34"/>
      <c r="EG61" s="34"/>
      <c r="EH61" s="34"/>
      <c r="EI61" s="34"/>
      <c r="EJ61" s="34"/>
      <c r="EK61" s="34"/>
      <c r="EL61" s="34"/>
      <c r="EM61" s="34"/>
      <c r="EN61" s="34"/>
      <c r="EO61" s="34"/>
      <c r="EP61" s="34"/>
      <c r="EQ61" s="34"/>
      <c r="ER61" s="34"/>
      <c r="ES61" s="34"/>
      <c r="ET61" s="34"/>
      <c r="EU61" s="34"/>
      <c r="EV61" s="34"/>
      <c r="EW61" s="34"/>
      <c r="EX61" s="34"/>
      <c r="EY61" s="34"/>
      <c r="EZ61" s="34"/>
      <c r="FA61" s="34"/>
      <c r="FB61" s="34"/>
      <c r="FC61" s="34"/>
      <c r="FD61" s="34"/>
      <c r="FE61" s="34"/>
      <c r="FF61" s="34"/>
      <c r="FG61" s="34"/>
      <c r="FH61" s="34"/>
      <c r="FI61" s="34"/>
      <c r="FJ61" s="34"/>
      <c r="FK61" s="34"/>
      <c r="FL61" s="34"/>
      <c r="FM61" s="34"/>
      <c r="FN61" s="34"/>
      <c r="FO61" s="34"/>
      <c r="FP61" s="34"/>
      <c r="FQ61" s="34"/>
      <c r="FR61" s="34"/>
      <c r="FS61" s="34"/>
      <c r="FT61" s="34"/>
      <c r="FU61" s="34"/>
      <c r="FV61" s="34"/>
      <c r="FW61" s="34"/>
      <c r="FX61" s="34"/>
      <c r="FY61" s="34"/>
      <c r="FZ61" s="34"/>
      <c r="GA61" s="34"/>
      <c r="GB61" s="34"/>
      <c r="GC61" s="34"/>
      <c r="GD61" s="34"/>
      <c r="GE61" s="34"/>
      <c r="GF61" s="34"/>
      <c r="GG61" s="34"/>
      <c r="GH61" s="34"/>
      <c r="GI61" s="34"/>
      <c r="GJ61" s="34"/>
      <c r="GK61" s="34"/>
      <c r="GL61" s="34"/>
      <c r="GM61" s="34"/>
      <c r="GN61" s="34"/>
      <c r="GO61" s="34"/>
      <c r="GP61" s="34"/>
      <c r="GQ61" s="34"/>
      <c r="GR61" s="34"/>
      <c r="GS61" s="34"/>
      <c r="GT61" s="34"/>
      <c r="GU61" s="34"/>
      <c r="GV61" s="34"/>
      <c r="GW61" s="34"/>
      <c r="GX61" s="34"/>
      <c r="GY61" s="34"/>
      <c r="GZ61" s="34"/>
      <c r="HA61" s="34"/>
      <c r="HB61" s="34"/>
      <c r="HC61" s="34"/>
      <c r="HD61" s="34"/>
      <c r="HE61" s="34"/>
      <c r="HF61" s="34"/>
      <c r="HG61" s="34"/>
      <c r="HH61" s="34"/>
      <c r="HI61" s="34"/>
      <c r="HJ61" s="34"/>
      <c r="HK61" s="34"/>
      <c r="HL61" s="34"/>
      <c r="HM61" s="34"/>
      <c r="HN61" s="34"/>
      <c r="HO61" s="34"/>
      <c r="HP61" s="34"/>
      <c r="HQ61" s="34"/>
      <c r="HR61" s="34"/>
      <c r="HS61" s="34"/>
      <c r="HT61" s="34"/>
      <c r="HU61" s="34"/>
      <c r="HV61" s="34"/>
      <c r="HW61" s="34"/>
      <c r="HX61" s="34"/>
      <c r="HY61" s="34"/>
      <c r="HZ61" s="34"/>
      <c r="IA61" s="34"/>
      <c r="IB61" s="34"/>
      <c r="IC61" s="34"/>
      <c r="ID61" s="34"/>
      <c r="IE61" s="34"/>
      <c r="IF61" s="34"/>
      <c r="IG61" s="34"/>
      <c r="IH61" s="34"/>
      <c r="II61" s="34"/>
      <c r="IJ61" s="34"/>
      <c r="IK61" s="34"/>
    </row>
    <row r="62" spans="1:245" ht="15">
      <c r="A62" s="41">
        <v>11</v>
      </c>
      <c r="B62" s="910" t="s">
        <v>591</v>
      </c>
      <c r="C62" s="909"/>
      <c r="D62" s="232">
        <f>L49</f>
        <v>45.278000000000006</v>
      </c>
      <c r="E62" s="42"/>
      <c r="F62" s="106"/>
      <c r="G62" s="106"/>
      <c r="H62" s="42"/>
      <c r="I62" s="42"/>
      <c r="J62" s="43"/>
      <c r="K62" s="42"/>
      <c r="L62" s="106"/>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c r="DI62" s="34"/>
      <c r="DJ62" s="34"/>
      <c r="DK62" s="34"/>
      <c r="DL62" s="34"/>
      <c r="DM62" s="34"/>
      <c r="DN62" s="34"/>
      <c r="DO62" s="34"/>
      <c r="DP62" s="34"/>
      <c r="DQ62" s="34"/>
      <c r="DR62" s="34"/>
      <c r="DS62" s="34"/>
      <c r="DT62" s="34"/>
      <c r="DU62" s="34"/>
      <c r="DV62" s="34"/>
      <c r="DW62" s="34"/>
      <c r="DX62" s="34"/>
      <c r="DY62" s="34"/>
      <c r="DZ62" s="34"/>
      <c r="EA62" s="34"/>
      <c r="EB62" s="34"/>
      <c r="EC62" s="34"/>
      <c r="ED62" s="34"/>
      <c r="EE62" s="34"/>
      <c r="EF62" s="34"/>
      <c r="EG62" s="34"/>
      <c r="EH62" s="34"/>
      <c r="EI62" s="34"/>
      <c r="EJ62" s="34"/>
      <c r="EK62" s="34"/>
      <c r="EL62" s="34"/>
      <c r="EM62" s="34"/>
      <c r="EN62" s="34"/>
      <c r="EO62" s="34"/>
      <c r="EP62" s="34"/>
      <c r="EQ62" s="34"/>
      <c r="ER62" s="34"/>
      <c r="ES62" s="34"/>
      <c r="ET62" s="34"/>
      <c r="EU62" s="34"/>
      <c r="EV62" s="34"/>
      <c r="EW62" s="34"/>
      <c r="EX62" s="34"/>
      <c r="EY62" s="34"/>
      <c r="EZ62" s="34"/>
      <c r="FA62" s="34"/>
      <c r="FB62" s="34"/>
      <c r="FC62" s="34"/>
      <c r="FD62" s="34"/>
      <c r="FE62" s="34"/>
      <c r="FF62" s="34"/>
      <c r="FG62" s="34"/>
      <c r="FH62" s="34"/>
      <c r="FI62" s="34"/>
      <c r="FJ62" s="34"/>
      <c r="FK62" s="34"/>
      <c r="FL62" s="34"/>
      <c r="FM62" s="34"/>
      <c r="FN62" s="34"/>
      <c r="FO62" s="34"/>
      <c r="FP62" s="34"/>
      <c r="FQ62" s="34"/>
      <c r="FR62" s="34"/>
      <c r="FS62" s="34"/>
      <c r="FT62" s="34"/>
      <c r="FU62" s="34"/>
      <c r="FV62" s="34"/>
      <c r="FW62" s="34"/>
      <c r="FX62" s="34"/>
      <c r="FY62" s="34"/>
      <c r="FZ62" s="34"/>
      <c r="GA62" s="34"/>
      <c r="GB62" s="34"/>
      <c r="GC62" s="34"/>
      <c r="GD62" s="34"/>
      <c r="GE62" s="34"/>
      <c r="GF62" s="34"/>
      <c r="GG62" s="34"/>
      <c r="GH62" s="34"/>
      <c r="GI62" s="34"/>
      <c r="GJ62" s="34"/>
      <c r="GK62" s="34"/>
      <c r="GL62" s="34"/>
      <c r="GM62" s="34"/>
      <c r="GN62" s="34"/>
      <c r="GO62" s="34"/>
      <c r="GP62" s="34"/>
      <c r="GQ62" s="34"/>
      <c r="GR62" s="34"/>
      <c r="GS62" s="34"/>
      <c r="GT62" s="34"/>
      <c r="GU62" s="34"/>
      <c r="GV62" s="34"/>
      <c r="GW62" s="34"/>
      <c r="GX62" s="34"/>
      <c r="GY62" s="34"/>
      <c r="GZ62" s="34"/>
      <c r="HA62" s="34"/>
      <c r="HB62" s="34"/>
      <c r="HC62" s="34"/>
      <c r="HD62" s="34"/>
      <c r="HE62" s="34"/>
      <c r="HF62" s="34"/>
      <c r="HG62" s="34"/>
      <c r="HH62" s="34"/>
      <c r="HI62" s="34"/>
      <c r="HJ62" s="34"/>
      <c r="HK62" s="34"/>
      <c r="HL62" s="34"/>
      <c r="HM62" s="34"/>
      <c r="HN62" s="34"/>
      <c r="HO62" s="34"/>
      <c r="HP62" s="34"/>
      <c r="HQ62" s="34"/>
      <c r="HR62" s="34"/>
      <c r="HS62" s="34"/>
      <c r="HT62" s="34"/>
      <c r="HU62" s="34"/>
      <c r="HV62" s="34"/>
      <c r="HW62" s="34"/>
      <c r="HX62" s="34"/>
      <c r="HY62" s="34"/>
      <c r="HZ62" s="34"/>
      <c r="IA62" s="34"/>
      <c r="IB62" s="34"/>
      <c r="IC62" s="34"/>
      <c r="ID62" s="34"/>
      <c r="IE62" s="34"/>
      <c r="IF62" s="34"/>
      <c r="IG62" s="34"/>
      <c r="IH62" s="34"/>
      <c r="II62" s="34"/>
      <c r="IJ62" s="34"/>
      <c r="IK62" s="34"/>
    </row>
    <row r="63" spans="1:245" ht="15">
      <c r="A63" s="41">
        <v>12</v>
      </c>
      <c r="B63" s="910" t="s">
        <v>594</v>
      </c>
      <c r="C63" s="909"/>
      <c r="D63" s="232">
        <f>L46</f>
        <v>25.210999999999999</v>
      </c>
      <c r="E63" s="42"/>
      <c r="F63" s="106"/>
      <c r="G63" s="106"/>
      <c r="H63" s="42"/>
      <c r="I63" s="42"/>
      <c r="J63" s="43"/>
      <c r="K63" s="42"/>
      <c r="L63" s="106"/>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c r="DI63" s="34"/>
      <c r="DJ63" s="34"/>
      <c r="DK63" s="34"/>
      <c r="DL63" s="34"/>
      <c r="DM63" s="34"/>
      <c r="DN63" s="34"/>
      <c r="DO63" s="34"/>
      <c r="DP63" s="34"/>
      <c r="DQ63" s="34"/>
      <c r="DR63" s="34"/>
      <c r="DS63" s="34"/>
      <c r="DT63" s="34"/>
      <c r="DU63" s="34"/>
      <c r="DV63" s="34"/>
      <c r="DW63" s="34"/>
      <c r="DX63" s="34"/>
      <c r="DY63" s="34"/>
      <c r="DZ63" s="34"/>
      <c r="EA63" s="34"/>
      <c r="EB63" s="34"/>
      <c r="EC63" s="34"/>
      <c r="ED63" s="34"/>
      <c r="EE63" s="34"/>
      <c r="EF63" s="34"/>
      <c r="EG63" s="34"/>
      <c r="EH63" s="34"/>
      <c r="EI63" s="34"/>
      <c r="EJ63" s="34"/>
      <c r="EK63" s="34"/>
      <c r="EL63" s="34"/>
      <c r="EM63" s="34"/>
      <c r="EN63" s="34"/>
      <c r="EO63" s="34"/>
      <c r="EP63" s="34"/>
      <c r="EQ63" s="34"/>
      <c r="ER63" s="34"/>
      <c r="ES63" s="34"/>
      <c r="ET63" s="34"/>
      <c r="EU63" s="34"/>
      <c r="EV63" s="34"/>
      <c r="EW63" s="34"/>
      <c r="EX63" s="34"/>
      <c r="EY63" s="34"/>
      <c r="EZ63" s="34"/>
      <c r="FA63" s="34"/>
      <c r="FB63" s="34"/>
      <c r="FC63" s="34"/>
      <c r="FD63" s="34"/>
      <c r="FE63" s="34"/>
      <c r="FF63" s="34"/>
      <c r="FG63" s="34"/>
      <c r="FH63" s="34"/>
      <c r="FI63" s="34"/>
      <c r="FJ63" s="34"/>
      <c r="FK63" s="34"/>
      <c r="FL63" s="34"/>
      <c r="FM63" s="34"/>
      <c r="FN63" s="34"/>
      <c r="FO63" s="34"/>
      <c r="FP63" s="34"/>
      <c r="FQ63" s="34"/>
      <c r="FR63" s="34"/>
      <c r="FS63" s="34"/>
      <c r="FT63" s="34"/>
      <c r="FU63" s="34"/>
      <c r="FV63" s="34"/>
      <c r="FW63" s="34"/>
      <c r="FX63" s="34"/>
      <c r="FY63" s="34"/>
      <c r="FZ63" s="34"/>
      <c r="GA63" s="34"/>
      <c r="GB63" s="34"/>
      <c r="GC63" s="34"/>
      <c r="GD63" s="34"/>
      <c r="GE63" s="34"/>
      <c r="GF63" s="34"/>
      <c r="GG63" s="34"/>
      <c r="GH63" s="34"/>
      <c r="GI63" s="34"/>
      <c r="GJ63" s="34"/>
      <c r="GK63" s="34"/>
      <c r="GL63" s="34"/>
      <c r="GM63" s="34"/>
      <c r="GN63" s="34"/>
      <c r="GO63" s="34"/>
      <c r="GP63" s="34"/>
      <c r="GQ63" s="34"/>
      <c r="GR63" s="34"/>
      <c r="GS63" s="34"/>
      <c r="GT63" s="34"/>
      <c r="GU63" s="34"/>
      <c r="GV63" s="34"/>
      <c r="GW63" s="34"/>
      <c r="GX63" s="34"/>
      <c r="GY63" s="34"/>
      <c r="GZ63" s="34"/>
      <c r="HA63" s="34"/>
      <c r="HB63" s="34"/>
      <c r="HC63" s="34"/>
      <c r="HD63" s="34"/>
      <c r="HE63" s="34"/>
      <c r="HF63" s="34"/>
      <c r="HG63" s="34"/>
      <c r="HH63" s="34"/>
      <c r="HI63" s="34"/>
      <c r="HJ63" s="34"/>
      <c r="HK63" s="34"/>
      <c r="HL63" s="34"/>
      <c r="HM63" s="34"/>
      <c r="HN63" s="34"/>
      <c r="HO63" s="34"/>
      <c r="HP63" s="34"/>
      <c r="HQ63" s="34"/>
      <c r="HR63" s="34"/>
      <c r="HS63" s="34"/>
      <c r="HT63" s="34"/>
      <c r="HU63" s="34"/>
      <c r="HV63" s="34"/>
      <c r="HW63" s="34"/>
      <c r="HX63" s="34"/>
      <c r="HY63" s="34"/>
      <c r="HZ63" s="34"/>
      <c r="IA63" s="34"/>
      <c r="IB63" s="34"/>
      <c r="IC63" s="34"/>
      <c r="ID63" s="34"/>
      <c r="IE63" s="34"/>
      <c r="IF63" s="34"/>
      <c r="IG63" s="34"/>
      <c r="IH63" s="34"/>
      <c r="II63" s="34"/>
      <c r="IJ63" s="34"/>
      <c r="IK63" s="34"/>
    </row>
    <row r="64" spans="1:245" ht="15">
      <c r="B64" s="383"/>
      <c r="C64" s="384"/>
      <c r="D64" s="346"/>
      <c r="E64" s="346"/>
      <c r="F64" s="346"/>
      <c r="G64" s="346"/>
      <c r="H64" s="346"/>
      <c r="I64" s="346"/>
      <c r="J64" s="320" t="s">
        <v>620</v>
      </c>
      <c r="K64" s="385"/>
      <c r="L64" s="346"/>
      <c r="M64" s="346"/>
    </row>
    <row r="65" spans="1:245" ht="15.75">
      <c r="A65" s="30"/>
      <c r="C65" s="315" t="s">
        <v>1770</v>
      </c>
      <c r="D65" s="315"/>
      <c r="E65" s="942"/>
      <c r="F65" s="942"/>
      <c r="G65" s="942"/>
      <c r="H65" s="386"/>
      <c r="I65" s="387"/>
      <c r="J65" s="315" t="s">
        <v>100</v>
      </c>
      <c r="K65" s="388"/>
      <c r="L65" s="387"/>
      <c r="M65" s="389"/>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c r="CE65" s="30"/>
      <c r="CF65" s="30"/>
      <c r="CG65" s="30"/>
      <c r="CH65" s="30"/>
      <c r="CI65" s="30"/>
      <c r="CJ65" s="30"/>
      <c r="CK65" s="30"/>
      <c r="CL65" s="30"/>
      <c r="CM65" s="30"/>
      <c r="CN65" s="30"/>
      <c r="CO65" s="30"/>
      <c r="CP65" s="30"/>
      <c r="CQ65" s="30"/>
      <c r="CR65" s="30"/>
      <c r="CS65" s="30"/>
      <c r="CT65" s="30"/>
      <c r="CU65" s="30"/>
      <c r="CV65" s="30"/>
      <c r="CW65" s="30"/>
      <c r="CX65" s="30"/>
      <c r="CY65" s="30"/>
      <c r="CZ65" s="30"/>
      <c r="DA65" s="30"/>
      <c r="DB65" s="30"/>
      <c r="DC65" s="30"/>
      <c r="DD65" s="30"/>
      <c r="DE65" s="30"/>
      <c r="DF65" s="30"/>
      <c r="DG65" s="30"/>
      <c r="DH65" s="30"/>
      <c r="DI65" s="30"/>
      <c r="DJ65" s="30"/>
      <c r="DK65" s="30"/>
      <c r="DL65" s="30"/>
      <c r="DM65" s="30"/>
      <c r="DN65" s="30"/>
      <c r="DO65" s="30"/>
      <c r="DP65" s="30"/>
      <c r="DQ65" s="30"/>
      <c r="DR65" s="30"/>
      <c r="DS65" s="30"/>
      <c r="DT65" s="30"/>
      <c r="DU65" s="30"/>
      <c r="DV65" s="30"/>
      <c r="DW65" s="30"/>
      <c r="DX65" s="30"/>
      <c r="DY65" s="30"/>
      <c r="DZ65" s="30"/>
      <c r="EA65" s="30"/>
      <c r="EB65" s="30"/>
      <c r="EC65" s="30"/>
      <c r="ED65" s="30"/>
      <c r="EE65" s="30"/>
      <c r="EF65" s="30"/>
      <c r="EG65" s="30"/>
      <c r="EH65" s="30"/>
      <c r="EI65" s="30"/>
      <c r="EJ65" s="30"/>
      <c r="EK65" s="30"/>
      <c r="EL65" s="30"/>
      <c r="EM65" s="30"/>
      <c r="EN65" s="30"/>
      <c r="EO65" s="30"/>
      <c r="EP65" s="30"/>
      <c r="EQ65" s="30"/>
      <c r="ER65" s="30"/>
      <c r="ES65" s="30"/>
      <c r="ET65" s="30"/>
      <c r="EU65" s="30"/>
      <c r="EV65" s="30"/>
      <c r="EW65" s="30"/>
      <c r="EX65" s="30"/>
      <c r="EY65" s="30"/>
      <c r="EZ65" s="30"/>
      <c r="FA65" s="30"/>
      <c r="FB65" s="30"/>
      <c r="FC65" s="30"/>
      <c r="FD65" s="30"/>
      <c r="FE65" s="30"/>
      <c r="FF65" s="30"/>
      <c r="FG65" s="30"/>
      <c r="FH65" s="30"/>
      <c r="FI65" s="30"/>
      <c r="FJ65" s="30"/>
      <c r="FK65" s="30"/>
      <c r="FL65" s="30"/>
      <c r="FM65" s="30"/>
      <c r="FN65" s="30"/>
      <c r="FO65" s="30"/>
      <c r="FP65" s="30"/>
      <c r="FQ65" s="30"/>
      <c r="FR65" s="30"/>
      <c r="FS65" s="30"/>
      <c r="FT65" s="30"/>
      <c r="FU65" s="30"/>
      <c r="FV65" s="30"/>
      <c r="FW65" s="30"/>
      <c r="FX65" s="30"/>
      <c r="FY65" s="30"/>
      <c r="FZ65" s="30"/>
      <c r="GA65" s="30"/>
      <c r="GB65" s="30"/>
      <c r="GC65" s="30"/>
      <c r="GD65" s="30"/>
      <c r="GE65" s="30"/>
      <c r="GF65" s="30"/>
      <c r="GG65" s="30"/>
      <c r="GH65" s="30"/>
      <c r="GI65" s="30"/>
      <c r="GJ65" s="30"/>
      <c r="GK65" s="30"/>
      <c r="GL65" s="30"/>
      <c r="GM65" s="30"/>
      <c r="GN65" s="30"/>
      <c r="GO65" s="30"/>
      <c r="GP65" s="30"/>
      <c r="GQ65" s="30"/>
      <c r="GR65" s="30"/>
      <c r="GS65" s="30"/>
      <c r="GT65" s="30"/>
      <c r="GU65" s="30"/>
      <c r="GV65" s="30"/>
      <c r="GW65" s="30"/>
      <c r="GX65" s="30"/>
      <c r="GY65" s="30"/>
      <c r="GZ65" s="30"/>
      <c r="HA65" s="30"/>
      <c r="HB65" s="30"/>
      <c r="HC65" s="30"/>
      <c r="HD65" s="30"/>
      <c r="HE65" s="30"/>
      <c r="HF65" s="30"/>
      <c r="HG65" s="30"/>
      <c r="HH65" s="30"/>
      <c r="HI65" s="30"/>
      <c r="HJ65" s="30"/>
      <c r="HK65" s="30"/>
      <c r="HL65" s="30"/>
      <c r="HM65" s="30"/>
      <c r="HN65" s="30"/>
      <c r="HO65" s="30"/>
      <c r="HP65" s="30"/>
      <c r="HQ65" s="30"/>
      <c r="HR65" s="30"/>
      <c r="HS65" s="30"/>
      <c r="HT65" s="30"/>
      <c r="HU65" s="30"/>
      <c r="HV65" s="30"/>
      <c r="HW65" s="30"/>
      <c r="HX65" s="30"/>
      <c r="HY65" s="30"/>
      <c r="HZ65" s="30"/>
      <c r="IA65" s="30"/>
      <c r="IB65" s="30"/>
      <c r="IC65" s="30"/>
      <c r="ID65" s="30"/>
      <c r="IE65" s="30"/>
      <c r="IF65" s="30"/>
      <c r="IG65" s="30"/>
      <c r="IH65" s="30"/>
      <c r="II65" s="30"/>
      <c r="IJ65" s="30"/>
      <c r="IK65" s="30"/>
    </row>
    <row r="67" spans="1:245" ht="15">
      <c r="A67" s="35"/>
      <c r="B67" s="35"/>
      <c r="C67" s="35"/>
      <c r="D67" s="233"/>
      <c r="E67" s="233"/>
      <c r="F67" s="233"/>
      <c r="G67" s="233"/>
      <c r="H67" s="233"/>
      <c r="I67" s="233"/>
      <c r="J67" s="233"/>
      <c r="K67" s="233"/>
      <c r="L67" s="233"/>
      <c r="M67" s="35"/>
      <c r="N67" s="35"/>
      <c r="O67" s="35"/>
      <c r="P67" s="35"/>
      <c r="Q67" s="35"/>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35"/>
      <c r="EW67" s="35"/>
      <c r="EX67" s="35"/>
      <c r="EY67" s="35"/>
      <c r="EZ67" s="35"/>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35"/>
      <c r="GS67" s="35"/>
      <c r="GT67" s="35"/>
      <c r="GU67" s="35"/>
      <c r="GV67" s="35"/>
      <c r="GW67" s="35"/>
      <c r="GX67" s="35"/>
      <c r="GY67" s="35"/>
      <c r="GZ67" s="35"/>
      <c r="HA67" s="35"/>
      <c r="HB67" s="35"/>
      <c r="HC67" s="35"/>
      <c r="HD67" s="35"/>
      <c r="HE67" s="35"/>
      <c r="HF67" s="35"/>
      <c r="HG67" s="35"/>
      <c r="HH67" s="35"/>
      <c r="HI67" s="35"/>
      <c r="HJ67" s="35"/>
      <c r="HK67" s="35"/>
      <c r="HL67" s="35"/>
      <c r="HM67" s="35"/>
      <c r="HN67" s="35"/>
      <c r="HO67" s="35"/>
      <c r="HP67" s="35"/>
      <c r="HQ67" s="35"/>
      <c r="HR67" s="35"/>
      <c r="HS67" s="35"/>
      <c r="HT67" s="35"/>
      <c r="HU67" s="35"/>
      <c r="HV67" s="35"/>
      <c r="HW67" s="35"/>
      <c r="HX67" s="35"/>
      <c r="HY67" s="35"/>
      <c r="HZ67" s="35"/>
      <c r="IA67" s="35"/>
      <c r="IB67" s="35"/>
      <c r="IC67" s="35"/>
      <c r="ID67" s="35"/>
      <c r="IE67" s="35"/>
      <c r="IF67" s="35"/>
      <c r="IG67" s="35"/>
      <c r="IH67" s="35"/>
      <c r="II67" s="35"/>
      <c r="IJ67" s="35"/>
      <c r="IK67" s="35"/>
    </row>
    <row r="68" spans="1:245" ht="15">
      <c r="A68" s="35"/>
      <c r="B68" s="35"/>
      <c r="C68" s="35"/>
      <c r="D68" s="233"/>
      <c r="E68" s="233"/>
      <c r="F68" s="233"/>
      <c r="G68" s="233"/>
      <c r="H68" s="233"/>
      <c r="I68" s="233"/>
      <c r="J68" s="233"/>
      <c r="K68" s="233"/>
      <c r="L68" s="233"/>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5"/>
      <c r="GC68" s="35"/>
      <c r="GD68" s="35"/>
      <c r="GE68" s="35"/>
      <c r="GF68" s="35"/>
      <c r="GG68" s="35"/>
      <c r="GH68" s="35"/>
      <c r="GI68" s="35"/>
      <c r="GJ68" s="35"/>
      <c r="GK68" s="35"/>
      <c r="GL68" s="35"/>
      <c r="GM68" s="35"/>
      <c r="GN68" s="35"/>
      <c r="GO68" s="35"/>
      <c r="GP68" s="35"/>
      <c r="GQ68" s="35"/>
      <c r="GR68" s="35"/>
      <c r="GS68" s="35"/>
      <c r="GT68" s="35"/>
      <c r="GU68" s="35"/>
      <c r="GV68" s="35"/>
      <c r="GW68" s="35"/>
      <c r="GX68" s="35"/>
      <c r="GY68" s="35"/>
      <c r="GZ68" s="35"/>
      <c r="HA68" s="35"/>
      <c r="HB68" s="35"/>
      <c r="HC68" s="35"/>
      <c r="HD68" s="35"/>
      <c r="HE68" s="35"/>
      <c r="HF68" s="35"/>
      <c r="HG68" s="35"/>
      <c r="HH68" s="35"/>
      <c r="HI68" s="35"/>
      <c r="HJ68" s="35"/>
      <c r="HK68" s="35"/>
      <c r="HL68" s="35"/>
      <c r="HM68" s="35"/>
      <c r="HN68" s="35"/>
      <c r="HO68" s="35"/>
      <c r="HP68" s="35"/>
      <c r="HQ68" s="35"/>
      <c r="HR68" s="35"/>
      <c r="HS68" s="35"/>
      <c r="HT68" s="35"/>
      <c r="HU68" s="35"/>
      <c r="HV68" s="35"/>
      <c r="HW68" s="35"/>
      <c r="HX68" s="35"/>
      <c r="HY68" s="35"/>
      <c r="HZ68" s="35"/>
      <c r="IA68" s="35"/>
      <c r="IB68" s="35"/>
      <c r="IC68" s="35"/>
      <c r="ID68" s="35"/>
      <c r="IE68" s="35"/>
      <c r="IF68" s="35"/>
      <c r="IG68" s="35"/>
      <c r="IH68" s="35"/>
      <c r="II68" s="35"/>
      <c r="IJ68" s="35"/>
      <c r="IK68" s="35"/>
    </row>
    <row r="69" spans="1:245" ht="15">
      <c r="A69" s="35"/>
      <c r="B69" s="35"/>
      <c r="C69" s="35"/>
      <c r="D69" s="233"/>
      <c r="E69" s="233"/>
      <c r="F69" s="233"/>
      <c r="G69" s="233"/>
      <c r="H69" s="233"/>
      <c r="I69" s="233"/>
      <c r="J69" s="233"/>
      <c r="K69" s="233"/>
      <c r="L69" s="233"/>
      <c r="M69" s="35"/>
      <c r="N69" s="35"/>
      <c r="O69" s="35"/>
      <c r="P69" s="35"/>
      <c r="Q69" s="35"/>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c r="BS69" s="35"/>
      <c r="BT69" s="35"/>
      <c r="BU69" s="35"/>
      <c r="BV69" s="35"/>
      <c r="BW69" s="35"/>
      <c r="BX69" s="35"/>
      <c r="BY69" s="35"/>
      <c r="BZ69" s="35"/>
      <c r="CA69" s="35"/>
      <c r="CB69" s="35"/>
      <c r="CC69" s="35"/>
      <c r="CD69" s="35"/>
      <c r="CE69" s="35"/>
      <c r="CF69" s="35"/>
      <c r="CG69" s="35"/>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5"/>
      <c r="EG69" s="35"/>
      <c r="EH69" s="35"/>
      <c r="EI69" s="35"/>
      <c r="EJ69" s="35"/>
      <c r="EK69" s="35"/>
      <c r="EL69" s="35"/>
      <c r="EM69" s="35"/>
      <c r="EN69" s="35"/>
      <c r="EO69" s="35"/>
      <c r="EP69" s="35"/>
      <c r="EQ69" s="35"/>
      <c r="ER69" s="35"/>
      <c r="ES69" s="35"/>
      <c r="ET69" s="35"/>
      <c r="EU69" s="35"/>
      <c r="EV69" s="35"/>
      <c r="EW69" s="35"/>
      <c r="EX69" s="35"/>
      <c r="EY69" s="35"/>
      <c r="EZ69" s="35"/>
      <c r="FA69" s="35"/>
      <c r="FB69" s="35"/>
      <c r="FC69" s="35"/>
      <c r="FD69" s="35"/>
      <c r="FE69" s="35"/>
      <c r="FF69" s="35"/>
      <c r="FG69" s="35"/>
      <c r="FH69" s="35"/>
      <c r="FI69" s="35"/>
      <c r="FJ69" s="35"/>
      <c r="FK69" s="35"/>
      <c r="FL69" s="35"/>
      <c r="FM69" s="35"/>
      <c r="FN69" s="35"/>
      <c r="FO69" s="35"/>
      <c r="FP69" s="35"/>
      <c r="FQ69" s="35"/>
      <c r="FR69" s="35"/>
      <c r="FS69" s="35"/>
      <c r="FT69" s="35"/>
      <c r="FU69" s="35"/>
      <c r="FV69" s="35"/>
      <c r="FW69" s="35"/>
      <c r="FX69" s="35"/>
      <c r="FY69" s="35"/>
      <c r="FZ69" s="35"/>
      <c r="GA69" s="35"/>
      <c r="GB69" s="35"/>
      <c r="GC69" s="35"/>
      <c r="GD69" s="35"/>
      <c r="GE69" s="35"/>
      <c r="GF69" s="35"/>
      <c r="GG69" s="35"/>
      <c r="GH69" s="35"/>
      <c r="GI69" s="35"/>
      <c r="GJ69" s="35"/>
      <c r="GK69" s="35"/>
      <c r="GL69" s="35"/>
      <c r="GM69" s="35"/>
      <c r="GN69" s="35"/>
      <c r="GO69" s="35"/>
      <c r="GP69" s="35"/>
      <c r="GQ69" s="35"/>
      <c r="GR69" s="35"/>
      <c r="GS69" s="35"/>
      <c r="GT69" s="35"/>
      <c r="GU69" s="35"/>
      <c r="GV69" s="35"/>
      <c r="GW69" s="35"/>
      <c r="GX69" s="35"/>
      <c r="GY69" s="35"/>
      <c r="GZ69" s="35"/>
      <c r="HA69" s="35"/>
      <c r="HB69" s="35"/>
      <c r="HC69" s="35"/>
      <c r="HD69" s="35"/>
      <c r="HE69" s="35"/>
      <c r="HF69" s="35"/>
      <c r="HG69" s="35"/>
      <c r="HH69" s="35"/>
      <c r="HI69" s="35"/>
      <c r="HJ69" s="35"/>
      <c r="HK69" s="35"/>
      <c r="HL69" s="35"/>
      <c r="HM69" s="35"/>
      <c r="HN69" s="35"/>
      <c r="HO69" s="35"/>
      <c r="HP69" s="35"/>
      <c r="HQ69" s="35"/>
      <c r="HR69" s="35"/>
      <c r="HS69" s="35"/>
      <c r="HT69" s="35"/>
      <c r="HU69" s="35"/>
      <c r="HV69" s="35"/>
      <c r="HW69" s="35"/>
      <c r="HX69" s="35"/>
      <c r="HY69" s="35"/>
      <c r="HZ69" s="35"/>
      <c r="IA69" s="35"/>
      <c r="IB69" s="35"/>
      <c r="IC69" s="35"/>
      <c r="ID69" s="35"/>
      <c r="IE69" s="35"/>
      <c r="IF69" s="35"/>
      <c r="IG69" s="35"/>
      <c r="IH69" s="35"/>
      <c r="II69" s="35"/>
      <c r="IJ69" s="35"/>
      <c r="IK69" s="35"/>
    </row>
    <row r="70" spans="1:245" ht="15">
      <c r="A70" s="35"/>
      <c r="B70" s="35"/>
      <c r="C70" s="35"/>
      <c r="D70" s="233"/>
      <c r="E70" s="233"/>
      <c r="F70" s="233"/>
      <c r="G70" s="233"/>
      <c r="H70" s="233"/>
      <c r="I70" s="233"/>
      <c r="J70" s="233"/>
      <c r="K70" s="233"/>
      <c r="L70" s="233"/>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5"/>
      <c r="GC70" s="35"/>
      <c r="GD70" s="35"/>
      <c r="GE70" s="35"/>
      <c r="GF70" s="35"/>
      <c r="GG70" s="35"/>
      <c r="GH70" s="35"/>
      <c r="GI70" s="35"/>
      <c r="GJ70" s="35"/>
      <c r="GK70" s="35"/>
      <c r="GL70" s="35"/>
      <c r="GM70" s="35"/>
      <c r="GN70" s="35"/>
      <c r="GO70" s="35"/>
      <c r="GP70" s="35"/>
      <c r="GQ70" s="35"/>
      <c r="GR70" s="35"/>
      <c r="GS70" s="35"/>
      <c r="GT70" s="35"/>
      <c r="GU70" s="35"/>
      <c r="GV70" s="35"/>
      <c r="GW70" s="35"/>
      <c r="GX70" s="35"/>
      <c r="GY70" s="35"/>
      <c r="GZ70" s="35"/>
      <c r="HA70" s="35"/>
      <c r="HB70" s="35"/>
      <c r="HC70" s="35"/>
      <c r="HD70" s="35"/>
      <c r="HE70" s="35"/>
      <c r="HF70" s="35"/>
      <c r="HG70" s="35"/>
      <c r="HH70" s="35"/>
      <c r="HI70" s="35"/>
      <c r="HJ70" s="35"/>
      <c r="HK70" s="35"/>
      <c r="HL70" s="35"/>
      <c r="HM70" s="35"/>
      <c r="HN70" s="35"/>
      <c r="HO70" s="35"/>
      <c r="HP70" s="35"/>
      <c r="HQ70" s="35"/>
      <c r="HR70" s="35"/>
      <c r="HS70" s="35"/>
      <c r="HT70" s="35"/>
      <c r="HU70" s="35"/>
      <c r="HV70" s="35"/>
      <c r="HW70" s="35"/>
      <c r="HX70" s="35"/>
      <c r="HY70" s="35"/>
      <c r="HZ70" s="35"/>
      <c r="IA70" s="35"/>
      <c r="IB70" s="35"/>
      <c r="IC70" s="35"/>
      <c r="ID70" s="35"/>
      <c r="IE70" s="35"/>
      <c r="IF70" s="35"/>
      <c r="IG70" s="35"/>
      <c r="IH70" s="35"/>
      <c r="II70" s="35"/>
      <c r="IJ70" s="35"/>
      <c r="IK70" s="35"/>
    </row>
    <row r="71" spans="1:245" ht="15">
      <c r="A71" s="35"/>
      <c r="B71" s="35"/>
      <c r="C71" s="35"/>
      <c r="D71" s="233"/>
      <c r="E71" s="233"/>
      <c r="F71" s="233"/>
      <c r="G71" s="233"/>
      <c r="H71" s="233"/>
      <c r="I71" s="233"/>
      <c r="J71" s="233"/>
      <c r="K71" s="233"/>
      <c r="L71" s="233"/>
      <c r="M71" s="35"/>
      <c r="N71" s="35"/>
      <c r="O71" s="35"/>
      <c r="P71" s="35"/>
      <c r="Q71" s="35"/>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5"/>
      <c r="GC71" s="35"/>
      <c r="GD71" s="35"/>
      <c r="GE71" s="35"/>
      <c r="GF71" s="35"/>
      <c r="GG71" s="35"/>
      <c r="GH71" s="35"/>
      <c r="GI71" s="35"/>
      <c r="GJ71" s="35"/>
      <c r="GK71" s="35"/>
      <c r="GL71" s="35"/>
      <c r="GM71" s="35"/>
      <c r="GN71" s="35"/>
      <c r="GO71" s="35"/>
      <c r="GP71" s="35"/>
      <c r="GQ71" s="35"/>
      <c r="GR71" s="35"/>
      <c r="GS71" s="35"/>
      <c r="GT71" s="35"/>
      <c r="GU71" s="35"/>
      <c r="GV71" s="35"/>
      <c r="GW71" s="35"/>
      <c r="GX71" s="35"/>
      <c r="GY71" s="35"/>
      <c r="GZ71" s="35"/>
      <c r="HA71" s="35"/>
      <c r="HB71" s="35"/>
      <c r="HC71" s="35"/>
      <c r="HD71" s="35"/>
      <c r="HE71" s="35"/>
      <c r="HF71" s="35"/>
      <c r="HG71" s="35"/>
      <c r="HH71" s="35"/>
      <c r="HI71" s="35"/>
      <c r="HJ71" s="35"/>
      <c r="HK71" s="35"/>
      <c r="HL71" s="35"/>
      <c r="HM71" s="35"/>
      <c r="HN71" s="35"/>
      <c r="HO71" s="35"/>
      <c r="HP71" s="35"/>
      <c r="HQ71" s="35"/>
      <c r="HR71" s="35"/>
      <c r="HS71" s="35"/>
      <c r="HT71" s="35"/>
      <c r="HU71" s="35"/>
      <c r="HV71" s="35"/>
      <c r="HW71" s="35"/>
      <c r="HX71" s="35"/>
      <c r="HY71" s="35"/>
      <c r="HZ71" s="35"/>
      <c r="IA71" s="35"/>
      <c r="IB71" s="35"/>
      <c r="IC71" s="35"/>
      <c r="ID71" s="35"/>
      <c r="IE71" s="35"/>
      <c r="IF71" s="35"/>
      <c r="IG71" s="35"/>
      <c r="IH71" s="35"/>
      <c r="II71" s="35"/>
      <c r="IJ71" s="35"/>
      <c r="IK71" s="35"/>
    </row>
    <row r="72" spans="1:245" ht="15">
      <c r="A72" s="35"/>
      <c r="B72" s="35"/>
      <c r="C72" s="35"/>
      <c r="D72" s="233"/>
      <c r="E72" s="233"/>
      <c r="F72" s="233"/>
      <c r="G72" s="233"/>
      <c r="H72" s="233"/>
      <c r="I72" s="233"/>
      <c r="J72" s="233"/>
      <c r="K72" s="233"/>
      <c r="L72" s="233"/>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5"/>
      <c r="GC72" s="35"/>
      <c r="GD72" s="35"/>
      <c r="GE72" s="35"/>
      <c r="GF72" s="35"/>
      <c r="GG72" s="35"/>
      <c r="GH72" s="35"/>
      <c r="GI72" s="35"/>
      <c r="GJ72" s="35"/>
      <c r="GK72" s="35"/>
      <c r="GL72" s="35"/>
      <c r="GM72" s="35"/>
      <c r="GN72" s="35"/>
      <c r="GO72" s="35"/>
      <c r="GP72" s="35"/>
      <c r="GQ72" s="35"/>
      <c r="GR72" s="35"/>
      <c r="GS72" s="35"/>
      <c r="GT72" s="35"/>
      <c r="GU72" s="35"/>
      <c r="GV72" s="35"/>
      <c r="GW72" s="35"/>
      <c r="GX72" s="35"/>
      <c r="GY72" s="35"/>
      <c r="GZ72" s="35"/>
      <c r="HA72" s="35"/>
      <c r="HB72" s="35"/>
      <c r="HC72" s="35"/>
      <c r="HD72" s="35"/>
      <c r="HE72" s="35"/>
      <c r="HF72" s="35"/>
      <c r="HG72" s="35"/>
      <c r="HH72" s="35"/>
      <c r="HI72" s="35"/>
      <c r="HJ72" s="35"/>
      <c r="HK72" s="35"/>
      <c r="HL72" s="35"/>
      <c r="HM72" s="35"/>
      <c r="HN72" s="35"/>
      <c r="HO72" s="35"/>
      <c r="HP72" s="35"/>
      <c r="HQ72" s="35"/>
      <c r="HR72" s="35"/>
      <c r="HS72" s="35"/>
      <c r="HT72" s="35"/>
      <c r="HU72" s="35"/>
      <c r="HV72" s="35"/>
      <c r="HW72" s="35"/>
      <c r="HX72" s="35"/>
      <c r="HY72" s="35"/>
      <c r="HZ72" s="35"/>
      <c r="IA72" s="35"/>
      <c r="IB72" s="35"/>
      <c r="IC72" s="35"/>
      <c r="ID72" s="35"/>
      <c r="IE72" s="35"/>
      <c r="IF72" s="35"/>
      <c r="IG72" s="35"/>
      <c r="IH72" s="35"/>
      <c r="II72" s="35"/>
      <c r="IJ72" s="35"/>
      <c r="IK72" s="35"/>
    </row>
    <row r="73" spans="1:245" ht="15">
      <c r="A73" s="35"/>
      <c r="B73" s="35"/>
      <c r="C73" s="35"/>
      <c r="D73" s="233"/>
      <c r="E73" s="233"/>
      <c r="F73" s="233"/>
      <c r="G73" s="233"/>
      <c r="H73" s="233"/>
      <c r="I73" s="233"/>
      <c r="J73" s="233"/>
      <c r="K73" s="233"/>
      <c r="L73" s="233"/>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5"/>
      <c r="GC73" s="35"/>
      <c r="GD73" s="35"/>
      <c r="GE73" s="35"/>
      <c r="GF73" s="35"/>
      <c r="GG73" s="35"/>
      <c r="GH73" s="35"/>
      <c r="GI73" s="35"/>
      <c r="GJ73" s="35"/>
      <c r="GK73" s="35"/>
      <c r="GL73" s="35"/>
      <c r="GM73" s="35"/>
      <c r="GN73" s="35"/>
      <c r="GO73" s="35"/>
      <c r="GP73" s="35"/>
      <c r="GQ73" s="35"/>
      <c r="GR73" s="35"/>
      <c r="GS73" s="35"/>
      <c r="GT73" s="35"/>
      <c r="GU73" s="35"/>
      <c r="GV73" s="35"/>
      <c r="GW73" s="35"/>
      <c r="GX73" s="35"/>
      <c r="GY73" s="35"/>
      <c r="GZ73" s="35"/>
      <c r="HA73" s="35"/>
      <c r="HB73" s="35"/>
      <c r="HC73" s="35"/>
      <c r="HD73" s="35"/>
      <c r="HE73" s="35"/>
      <c r="HF73" s="35"/>
      <c r="HG73" s="35"/>
      <c r="HH73" s="35"/>
      <c r="HI73" s="35"/>
      <c r="HJ73" s="35"/>
      <c r="HK73" s="35"/>
      <c r="HL73" s="35"/>
      <c r="HM73" s="35"/>
      <c r="HN73" s="35"/>
      <c r="HO73" s="35"/>
      <c r="HP73" s="35"/>
      <c r="HQ73" s="35"/>
      <c r="HR73" s="35"/>
      <c r="HS73" s="35"/>
      <c r="HT73" s="35"/>
      <c r="HU73" s="35"/>
      <c r="HV73" s="35"/>
      <c r="HW73" s="35"/>
      <c r="HX73" s="35"/>
      <c r="HY73" s="35"/>
      <c r="HZ73" s="35"/>
      <c r="IA73" s="35"/>
      <c r="IB73" s="35"/>
      <c r="IC73" s="35"/>
      <c r="ID73" s="35"/>
      <c r="IE73" s="35"/>
      <c r="IF73" s="35"/>
      <c r="IG73" s="35"/>
      <c r="IH73" s="35"/>
      <c r="II73" s="35"/>
      <c r="IJ73" s="35"/>
      <c r="IK73" s="35"/>
    </row>
    <row r="74" spans="1:245" ht="15">
      <c r="A74" s="35"/>
      <c r="B74" s="35"/>
      <c r="C74" s="35"/>
      <c r="D74" s="233"/>
      <c r="E74" s="233"/>
      <c r="F74" s="233"/>
      <c r="G74" s="233"/>
      <c r="H74" s="233"/>
      <c r="I74" s="233"/>
      <c r="J74" s="233"/>
      <c r="K74" s="233"/>
      <c r="L74" s="233"/>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c r="CU74" s="35"/>
      <c r="CV74" s="35"/>
      <c r="CW74" s="35"/>
      <c r="CX74" s="35"/>
      <c r="CY74" s="35"/>
      <c r="CZ74" s="35"/>
      <c r="DA74" s="35"/>
      <c r="DB74" s="35"/>
      <c r="DC74" s="35"/>
      <c r="DD74" s="35"/>
      <c r="DE74" s="35"/>
      <c r="DF74" s="35"/>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5"/>
      <c r="GC74" s="35"/>
      <c r="GD74" s="35"/>
      <c r="GE74" s="35"/>
      <c r="GF74" s="35"/>
      <c r="GG74" s="35"/>
      <c r="GH74" s="35"/>
      <c r="GI74" s="35"/>
      <c r="GJ74" s="35"/>
      <c r="GK74" s="35"/>
      <c r="GL74" s="35"/>
      <c r="GM74" s="35"/>
      <c r="GN74" s="35"/>
      <c r="GO74" s="35"/>
      <c r="GP74" s="35"/>
      <c r="GQ74" s="35"/>
      <c r="GR74" s="35"/>
      <c r="GS74" s="35"/>
      <c r="GT74" s="35"/>
      <c r="GU74" s="35"/>
      <c r="GV74" s="35"/>
      <c r="GW74" s="35"/>
      <c r="GX74" s="35"/>
      <c r="GY74" s="35"/>
      <c r="GZ74" s="35"/>
      <c r="HA74" s="35"/>
      <c r="HB74" s="35"/>
      <c r="HC74" s="35"/>
      <c r="HD74" s="35"/>
      <c r="HE74" s="35"/>
      <c r="HF74" s="35"/>
      <c r="HG74" s="35"/>
      <c r="HH74" s="35"/>
      <c r="HI74" s="35"/>
      <c r="HJ74" s="35"/>
      <c r="HK74" s="35"/>
      <c r="HL74" s="35"/>
      <c r="HM74" s="35"/>
      <c r="HN74" s="35"/>
      <c r="HO74" s="35"/>
      <c r="HP74" s="35"/>
      <c r="HQ74" s="35"/>
      <c r="HR74" s="35"/>
      <c r="HS74" s="35"/>
      <c r="HT74" s="35"/>
      <c r="HU74" s="35"/>
      <c r="HV74" s="35"/>
      <c r="HW74" s="35"/>
      <c r="HX74" s="35"/>
      <c r="HY74" s="35"/>
      <c r="HZ74" s="35"/>
      <c r="IA74" s="35"/>
      <c r="IB74" s="35"/>
      <c r="IC74" s="35"/>
      <c r="ID74" s="35"/>
      <c r="IE74" s="35"/>
      <c r="IF74" s="35"/>
      <c r="IG74" s="35"/>
      <c r="IH74" s="35"/>
      <c r="II74" s="35"/>
      <c r="IJ74" s="35"/>
      <c r="IK74" s="35"/>
    </row>
    <row r="75" spans="1:245" ht="15">
      <c r="A75" s="35"/>
      <c r="B75" s="35"/>
      <c r="C75" s="35"/>
      <c r="D75" s="233"/>
      <c r="E75" s="233"/>
      <c r="F75" s="233"/>
      <c r="G75" s="233"/>
      <c r="H75" s="233"/>
      <c r="I75" s="233"/>
      <c r="J75" s="233"/>
      <c r="K75" s="233"/>
      <c r="L75" s="233"/>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c r="GD75" s="35"/>
      <c r="GE75" s="35"/>
      <c r="GF75" s="35"/>
      <c r="GG75" s="35"/>
      <c r="GH75" s="35"/>
      <c r="GI75" s="35"/>
      <c r="GJ75" s="35"/>
      <c r="GK75" s="35"/>
      <c r="GL75" s="35"/>
      <c r="GM75" s="35"/>
      <c r="GN75" s="35"/>
      <c r="GO75" s="35"/>
      <c r="GP75" s="35"/>
      <c r="GQ75" s="35"/>
      <c r="GR75" s="35"/>
      <c r="GS75" s="35"/>
      <c r="GT75" s="35"/>
      <c r="GU75" s="35"/>
      <c r="GV75" s="35"/>
      <c r="GW75" s="35"/>
      <c r="GX75" s="35"/>
      <c r="GY75" s="35"/>
      <c r="GZ75" s="35"/>
      <c r="HA75" s="35"/>
      <c r="HB75" s="35"/>
      <c r="HC75" s="35"/>
      <c r="HD75" s="35"/>
      <c r="HE75" s="35"/>
      <c r="HF75" s="35"/>
      <c r="HG75" s="35"/>
      <c r="HH75" s="35"/>
      <c r="HI75" s="35"/>
      <c r="HJ75" s="35"/>
      <c r="HK75" s="35"/>
      <c r="HL75" s="35"/>
      <c r="HM75" s="35"/>
      <c r="HN75" s="35"/>
      <c r="HO75" s="35"/>
      <c r="HP75" s="35"/>
      <c r="HQ75" s="35"/>
      <c r="HR75" s="35"/>
      <c r="HS75" s="35"/>
      <c r="HT75" s="35"/>
      <c r="HU75" s="35"/>
      <c r="HV75" s="35"/>
      <c r="HW75" s="35"/>
      <c r="HX75" s="35"/>
      <c r="HY75" s="35"/>
      <c r="HZ75" s="35"/>
      <c r="IA75" s="35"/>
      <c r="IB75" s="35"/>
      <c r="IC75" s="35"/>
      <c r="ID75" s="35"/>
      <c r="IE75" s="35"/>
      <c r="IF75" s="35"/>
      <c r="IG75" s="35"/>
      <c r="IH75" s="35"/>
      <c r="II75" s="35"/>
      <c r="IJ75" s="35"/>
      <c r="IK75" s="35"/>
    </row>
    <row r="76" spans="1:245" ht="15">
      <c r="A76" s="35"/>
      <c r="B76" s="35"/>
      <c r="C76" s="35"/>
      <c r="D76" s="233"/>
      <c r="E76" s="233"/>
      <c r="F76" s="233"/>
      <c r="G76" s="233"/>
      <c r="H76" s="233"/>
      <c r="I76" s="233"/>
      <c r="J76" s="233"/>
      <c r="K76" s="233"/>
      <c r="L76" s="233"/>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5"/>
      <c r="GC76" s="35"/>
      <c r="GD76" s="35"/>
      <c r="GE76" s="35"/>
      <c r="GF76" s="35"/>
      <c r="GG76" s="35"/>
      <c r="GH76" s="35"/>
      <c r="GI76" s="35"/>
      <c r="GJ76" s="35"/>
      <c r="GK76" s="35"/>
      <c r="GL76" s="35"/>
      <c r="GM76" s="35"/>
      <c r="GN76" s="35"/>
      <c r="GO76" s="35"/>
      <c r="GP76" s="35"/>
      <c r="GQ76" s="35"/>
      <c r="GR76" s="35"/>
      <c r="GS76" s="35"/>
      <c r="GT76" s="35"/>
      <c r="GU76" s="35"/>
      <c r="GV76" s="35"/>
      <c r="GW76" s="35"/>
      <c r="GX76" s="35"/>
      <c r="GY76" s="35"/>
      <c r="GZ76" s="35"/>
      <c r="HA76" s="35"/>
      <c r="HB76" s="35"/>
      <c r="HC76" s="35"/>
      <c r="HD76" s="35"/>
      <c r="HE76" s="35"/>
      <c r="HF76" s="35"/>
      <c r="HG76" s="35"/>
      <c r="HH76" s="35"/>
      <c r="HI76" s="35"/>
      <c r="HJ76" s="35"/>
      <c r="HK76" s="35"/>
      <c r="HL76" s="35"/>
      <c r="HM76" s="35"/>
      <c r="HN76" s="35"/>
      <c r="HO76" s="35"/>
      <c r="HP76" s="35"/>
      <c r="HQ76" s="35"/>
      <c r="HR76" s="35"/>
      <c r="HS76" s="35"/>
      <c r="HT76" s="35"/>
      <c r="HU76" s="35"/>
      <c r="HV76" s="35"/>
      <c r="HW76" s="35"/>
      <c r="HX76" s="35"/>
      <c r="HY76" s="35"/>
      <c r="HZ76" s="35"/>
      <c r="IA76" s="35"/>
      <c r="IB76" s="35"/>
      <c r="IC76" s="35"/>
      <c r="ID76" s="35"/>
      <c r="IE76" s="35"/>
      <c r="IF76" s="35"/>
      <c r="IG76" s="35"/>
      <c r="IH76" s="35"/>
      <c r="II76" s="35"/>
      <c r="IJ76" s="35"/>
      <c r="IK76" s="35"/>
    </row>
    <row r="77" spans="1:245" ht="15">
      <c r="A77" s="35"/>
      <c r="B77" s="35"/>
      <c r="C77" s="35"/>
      <c r="D77" s="233"/>
      <c r="E77" s="233"/>
      <c r="F77" s="233"/>
      <c r="G77" s="233"/>
      <c r="H77" s="233"/>
      <c r="I77" s="233"/>
      <c r="J77" s="233"/>
      <c r="K77" s="233"/>
      <c r="L77" s="233"/>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5"/>
      <c r="GC77" s="35"/>
      <c r="GD77" s="35"/>
      <c r="GE77" s="35"/>
      <c r="GF77" s="35"/>
      <c r="GG77" s="35"/>
      <c r="GH77" s="35"/>
      <c r="GI77" s="35"/>
      <c r="GJ77" s="35"/>
      <c r="GK77" s="35"/>
      <c r="GL77" s="35"/>
      <c r="GM77" s="35"/>
      <c r="GN77" s="35"/>
      <c r="GO77" s="35"/>
      <c r="GP77" s="35"/>
      <c r="GQ77" s="35"/>
      <c r="GR77" s="35"/>
      <c r="GS77" s="35"/>
      <c r="GT77" s="35"/>
      <c r="GU77" s="35"/>
      <c r="GV77" s="35"/>
      <c r="GW77" s="35"/>
      <c r="GX77" s="35"/>
      <c r="GY77" s="35"/>
      <c r="GZ77" s="35"/>
      <c r="HA77" s="35"/>
      <c r="HB77" s="35"/>
      <c r="HC77" s="35"/>
      <c r="HD77" s="35"/>
      <c r="HE77" s="35"/>
      <c r="HF77" s="35"/>
      <c r="HG77" s="35"/>
      <c r="HH77" s="35"/>
      <c r="HI77" s="35"/>
      <c r="HJ77" s="35"/>
      <c r="HK77" s="35"/>
      <c r="HL77" s="35"/>
      <c r="HM77" s="35"/>
      <c r="HN77" s="35"/>
      <c r="HO77" s="35"/>
      <c r="HP77" s="35"/>
      <c r="HQ77" s="35"/>
      <c r="HR77" s="35"/>
      <c r="HS77" s="35"/>
      <c r="HT77" s="35"/>
      <c r="HU77" s="35"/>
      <c r="HV77" s="35"/>
      <c r="HW77" s="35"/>
      <c r="HX77" s="35"/>
      <c r="HY77" s="35"/>
      <c r="HZ77" s="35"/>
      <c r="IA77" s="35"/>
      <c r="IB77" s="35"/>
      <c r="IC77" s="35"/>
      <c r="ID77" s="35"/>
      <c r="IE77" s="35"/>
      <c r="IF77" s="35"/>
      <c r="IG77" s="35"/>
      <c r="IH77" s="35"/>
      <c r="II77" s="35"/>
      <c r="IJ77" s="35"/>
      <c r="IK77" s="35"/>
    </row>
    <row r="78" spans="1:245" ht="15">
      <c r="A78" s="35"/>
      <c r="B78" s="35"/>
      <c r="C78" s="35"/>
      <c r="D78" s="233"/>
      <c r="E78" s="233"/>
      <c r="F78" s="233"/>
      <c r="G78" s="233"/>
      <c r="H78" s="233"/>
      <c r="I78" s="233"/>
      <c r="J78" s="233"/>
      <c r="K78" s="233"/>
      <c r="L78" s="233"/>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5"/>
      <c r="GC78" s="35"/>
      <c r="GD78" s="35"/>
      <c r="GE78" s="35"/>
      <c r="GF78" s="35"/>
      <c r="GG78" s="35"/>
      <c r="GH78" s="35"/>
      <c r="GI78" s="35"/>
      <c r="GJ78" s="35"/>
      <c r="GK78" s="35"/>
      <c r="GL78" s="35"/>
      <c r="GM78" s="35"/>
      <c r="GN78" s="35"/>
      <c r="GO78" s="35"/>
      <c r="GP78" s="35"/>
      <c r="GQ78" s="35"/>
      <c r="GR78" s="35"/>
      <c r="GS78" s="35"/>
      <c r="GT78" s="35"/>
      <c r="GU78" s="35"/>
      <c r="GV78" s="35"/>
      <c r="GW78" s="35"/>
      <c r="GX78" s="35"/>
      <c r="GY78" s="35"/>
      <c r="GZ78" s="35"/>
      <c r="HA78" s="35"/>
      <c r="HB78" s="35"/>
      <c r="HC78" s="35"/>
      <c r="HD78" s="35"/>
      <c r="HE78" s="35"/>
      <c r="HF78" s="35"/>
      <c r="HG78" s="35"/>
      <c r="HH78" s="35"/>
      <c r="HI78" s="35"/>
      <c r="HJ78" s="35"/>
      <c r="HK78" s="35"/>
      <c r="HL78" s="35"/>
      <c r="HM78" s="35"/>
      <c r="HN78" s="35"/>
      <c r="HO78" s="35"/>
      <c r="HP78" s="35"/>
      <c r="HQ78" s="35"/>
      <c r="HR78" s="35"/>
      <c r="HS78" s="35"/>
      <c r="HT78" s="35"/>
      <c r="HU78" s="35"/>
      <c r="HV78" s="35"/>
      <c r="HW78" s="35"/>
      <c r="HX78" s="35"/>
      <c r="HY78" s="35"/>
      <c r="HZ78" s="35"/>
      <c r="IA78" s="35"/>
      <c r="IB78" s="35"/>
      <c r="IC78" s="35"/>
      <c r="ID78" s="35"/>
      <c r="IE78" s="35"/>
      <c r="IF78" s="35"/>
      <c r="IG78" s="35"/>
      <c r="IH78" s="35"/>
      <c r="II78" s="35"/>
      <c r="IJ78" s="35"/>
      <c r="IK78" s="35"/>
    </row>
    <row r="79" spans="1:245" ht="15">
      <c r="A79" s="35"/>
      <c r="B79" s="35"/>
      <c r="C79" s="35"/>
      <c r="D79" s="233"/>
      <c r="E79" s="233"/>
      <c r="F79" s="233"/>
      <c r="G79" s="233"/>
      <c r="H79" s="233"/>
      <c r="I79" s="233"/>
      <c r="J79" s="233"/>
      <c r="K79" s="233"/>
      <c r="L79" s="233"/>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row>
    <row r="80" spans="1:245" ht="15">
      <c r="A80" s="35"/>
      <c r="B80" s="35"/>
      <c r="C80" s="35"/>
      <c r="D80" s="233"/>
      <c r="E80" s="233"/>
      <c r="F80" s="233"/>
      <c r="G80" s="233"/>
      <c r="H80" s="233"/>
      <c r="I80" s="233"/>
      <c r="J80" s="233"/>
      <c r="K80" s="233"/>
      <c r="L80" s="233"/>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5"/>
      <c r="GC80" s="35"/>
      <c r="GD80" s="35"/>
      <c r="GE80" s="35"/>
      <c r="GF80" s="35"/>
      <c r="GG80" s="35"/>
      <c r="GH80" s="35"/>
      <c r="GI80" s="35"/>
      <c r="GJ80" s="35"/>
      <c r="GK80" s="35"/>
      <c r="GL80" s="35"/>
      <c r="GM80" s="35"/>
      <c r="GN80" s="35"/>
      <c r="GO80" s="35"/>
      <c r="GP80" s="35"/>
      <c r="GQ80" s="35"/>
      <c r="GR80" s="35"/>
      <c r="GS80" s="35"/>
      <c r="GT80" s="35"/>
      <c r="GU80" s="35"/>
      <c r="GV80" s="35"/>
      <c r="GW80" s="35"/>
      <c r="GX80" s="35"/>
      <c r="GY80" s="35"/>
      <c r="GZ80" s="35"/>
      <c r="HA80" s="35"/>
      <c r="HB80" s="35"/>
      <c r="HC80" s="35"/>
      <c r="HD80" s="35"/>
      <c r="HE80" s="35"/>
      <c r="HF80" s="35"/>
      <c r="HG80" s="35"/>
      <c r="HH80" s="35"/>
      <c r="HI80" s="35"/>
      <c r="HJ80" s="35"/>
      <c r="HK80" s="35"/>
      <c r="HL80" s="35"/>
      <c r="HM80" s="35"/>
      <c r="HN80" s="35"/>
      <c r="HO80" s="35"/>
      <c r="HP80" s="35"/>
      <c r="HQ80" s="35"/>
      <c r="HR80" s="35"/>
      <c r="HS80" s="35"/>
      <c r="HT80" s="35"/>
      <c r="HU80" s="35"/>
      <c r="HV80" s="35"/>
      <c r="HW80" s="35"/>
      <c r="HX80" s="35"/>
      <c r="HY80" s="35"/>
      <c r="HZ80" s="35"/>
      <c r="IA80" s="35"/>
      <c r="IB80" s="35"/>
      <c r="IC80" s="35"/>
      <c r="ID80" s="35"/>
      <c r="IE80" s="35"/>
      <c r="IF80" s="35"/>
      <c r="IG80" s="35"/>
      <c r="IH80" s="35"/>
      <c r="II80" s="35"/>
      <c r="IJ80" s="35"/>
      <c r="IK80" s="35"/>
    </row>
    <row r="81" spans="1:245" ht="15">
      <c r="A81" s="35"/>
      <c r="B81" s="35"/>
      <c r="C81" s="35"/>
      <c r="D81" s="233"/>
      <c r="E81" s="233"/>
      <c r="F81" s="233"/>
      <c r="G81" s="233"/>
      <c r="H81" s="233"/>
      <c r="I81" s="233"/>
      <c r="J81" s="233"/>
      <c r="K81" s="233"/>
      <c r="L81" s="233"/>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row>
    <row r="82" spans="1:245" ht="15">
      <c r="A82" s="35"/>
      <c r="B82" s="35"/>
      <c r="C82" s="35"/>
      <c r="D82" s="233"/>
      <c r="E82" s="233"/>
      <c r="F82" s="233"/>
      <c r="G82" s="233"/>
      <c r="H82" s="233"/>
      <c r="I82" s="233"/>
      <c r="J82" s="233"/>
      <c r="K82" s="233"/>
      <c r="L82" s="233"/>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5"/>
      <c r="EG82" s="35"/>
      <c r="EH82" s="35"/>
      <c r="EI82" s="35"/>
      <c r="EJ82" s="35"/>
      <c r="EK82" s="35"/>
      <c r="EL82" s="35"/>
      <c r="EM82" s="35"/>
      <c r="EN82" s="35"/>
      <c r="EO82" s="35"/>
      <c r="EP82" s="35"/>
      <c r="EQ82" s="35"/>
      <c r="ER82" s="35"/>
      <c r="ES82" s="35"/>
      <c r="ET82" s="35"/>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5"/>
      <c r="GC82" s="35"/>
      <c r="GD82" s="35"/>
      <c r="GE82" s="35"/>
      <c r="GF82" s="35"/>
      <c r="GG82" s="35"/>
      <c r="GH82" s="35"/>
      <c r="GI82" s="35"/>
      <c r="GJ82" s="35"/>
      <c r="GK82" s="35"/>
      <c r="GL82" s="35"/>
      <c r="GM82" s="35"/>
      <c r="GN82" s="35"/>
      <c r="GO82" s="35"/>
      <c r="GP82" s="35"/>
      <c r="GQ82" s="35"/>
      <c r="GR82" s="35"/>
      <c r="GS82" s="35"/>
      <c r="GT82" s="35"/>
      <c r="GU82" s="35"/>
      <c r="GV82" s="35"/>
      <c r="GW82" s="35"/>
      <c r="GX82" s="35"/>
      <c r="GY82" s="35"/>
      <c r="GZ82" s="35"/>
      <c r="HA82" s="35"/>
      <c r="HB82" s="35"/>
      <c r="HC82" s="35"/>
      <c r="HD82" s="35"/>
      <c r="HE82" s="35"/>
      <c r="HF82" s="35"/>
      <c r="HG82" s="35"/>
      <c r="HH82" s="35"/>
      <c r="HI82" s="35"/>
      <c r="HJ82" s="35"/>
      <c r="HK82" s="35"/>
      <c r="HL82" s="35"/>
      <c r="HM82" s="35"/>
      <c r="HN82" s="35"/>
      <c r="HO82" s="35"/>
      <c r="HP82" s="35"/>
      <c r="HQ82" s="35"/>
      <c r="HR82" s="35"/>
      <c r="HS82" s="35"/>
      <c r="HT82" s="35"/>
      <c r="HU82" s="35"/>
      <c r="HV82" s="35"/>
      <c r="HW82" s="35"/>
      <c r="HX82" s="35"/>
      <c r="HY82" s="35"/>
      <c r="HZ82" s="35"/>
      <c r="IA82" s="35"/>
      <c r="IB82" s="35"/>
      <c r="IC82" s="35"/>
      <c r="ID82" s="35"/>
      <c r="IE82" s="35"/>
      <c r="IF82" s="35"/>
      <c r="IG82" s="35"/>
      <c r="IH82" s="35"/>
      <c r="II82" s="35"/>
      <c r="IJ82" s="35"/>
      <c r="IK82" s="35"/>
    </row>
    <row r="83" spans="1:245" ht="15">
      <c r="A83" s="35"/>
      <c r="B83" s="35"/>
      <c r="C83" s="35"/>
      <c r="D83" s="233"/>
      <c r="E83" s="233"/>
      <c r="F83" s="233"/>
      <c r="G83" s="233"/>
      <c r="H83" s="233"/>
      <c r="I83" s="233"/>
      <c r="J83" s="233"/>
      <c r="K83" s="233"/>
      <c r="L83" s="233"/>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c r="AV83" s="35"/>
      <c r="AW83" s="35"/>
      <c r="AX83" s="35"/>
      <c r="AY83" s="35"/>
      <c r="AZ83" s="35"/>
      <c r="BA83" s="35"/>
      <c r="BB83" s="35"/>
      <c r="BC83" s="35"/>
      <c r="BD83" s="35"/>
      <c r="BE83" s="35"/>
      <c r="BF83" s="35"/>
      <c r="BG83" s="35"/>
      <c r="BH83" s="35"/>
      <c r="BI83" s="35"/>
      <c r="BJ83" s="35"/>
      <c r="BK83" s="35"/>
      <c r="BL83" s="35"/>
      <c r="BM83" s="35"/>
      <c r="BN83" s="35"/>
      <c r="BO83" s="35"/>
      <c r="BP83" s="35"/>
      <c r="BQ83" s="35"/>
      <c r="BR83" s="35"/>
      <c r="BS83" s="35"/>
      <c r="BT83" s="35"/>
      <c r="BU83" s="35"/>
      <c r="BV83" s="35"/>
      <c r="BW83" s="35"/>
      <c r="BX83" s="35"/>
      <c r="BY83" s="35"/>
      <c r="BZ83" s="35"/>
      <c r="CA83" s="35"/>
      <c r="CB83" s="35"/>
      <c r="CC83" s="35"/>
      <c r="CD83" s="35"/>
      <c r="CE83" s="35"/>
      <c r="CF83" s="35"/>
      <c r="CG83" s="35"/>
      <c r="CH83" s="35"/>
      <c r="CI83" s="35"/>
      <c r="CJ83" s="35"/>
      <c r="CK83" s="35"/>
      <c r="CL83" s="35"/>
      <c r="CM83" s="35"/>
      <c r="CN83" s="35"/>
      <c r="CO83" s="35"/>
      <c r="CP83" s="35"/>
      <c r="CQ83" s="35"/>
      <c r="CR83" s="35"/>
      <c r="CS83" s="35"/>
      <c r="CT83" s="35"/>
      <c r="CU83" s="35"/>
      <c r="CV83" s="35"/>
      <c r="CW83" s="35"/>
      <c r="CX83" s="35"/>
      <c r="CY83" s="35"/>
      <c r="CZ83" s="35"/>
      <c r="DA83" s="35"/>
      <c r="DB83" s="35"/>
      <c r="DC83" s="35"/>
      <c r="DD83" s="35"/>
      <c r="DE83" s="35"/>
      <c r="DF83" s="35"/>
      <c r="DG83" s="35"/>
      <c r="DH83" s="35"/>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5"/>
      <c r="EG83" s="35"/>
      <c r="EH83" s="35"/>
      <c r="EI83" s="35"/>
      <c r="EJ83" s="35"/>
      <c r="EK83" s="35"/>
      <c r="EL83" s="35"/>
      <c r="EM83" s="35"/>
      <c r="EN83" s="35"/>
      <c r="EO83" s="35"/>
      <c r="EP83" s="35"/>
      <c r="EQ83" s="35"/>
      <c r="ER83" s="35"/>
      <c r="ES83" s="35"/>
      <c r="ET83" s="35"/>
      <c r="EU83" s="35"/>
      <c r="EV83" s="35"/>
      <c r="EW83" s="35"/>
      <c r="EX83" s="35"/>
      <c r="EY83" s="35"/>
      <c r="EZ83" s="35"/>
      <c r="FA83" s="35"/>
      <c r="FB83" s="35"/>
      <c r="FC83" s="35"/>
      <c r="FD83" s="35"/>
      <c r="FE83" s="35"/>
      <c r="FF83" s="35"/>
      <c r="FG83" s="35"/>
      <c r="FH83" s="35"/>
      <c r="FI83" s="35"/>
      <c r="FJ83" s="35"/>
      <c r="FK83" s="35"/>
      <c r="FL83" s="35"/>
      <c r="FM83" s="35"/>
      <c r="FN83" s="35"/>
      <c r="FO83" s="35"/>
      <c r="FP83" s="35"/>
      <c r="FQ83" s="35"/>
      <c r="FR83" s="35"/>
      <c r="FS83" s="35"/>
      <c r="FT83" s="35"/>
      <c r="FU83" s="35"/>
      <c r="FV83" s="35"/>
      <c r="FW83" s="35"/>
      <c r="FX83" s="35"/>
      <c r="FY83" s="35"/>
      <c r="FZ83" s="35"/>
      <c r="GA83" s="35"/>
      <c r="GB83" s="35"/>
      <c r="GC83" s="35"/>
      <c r="GD83" s="35"/>
      <c r="GE83" s="35"/>
      <c r="GF83" s="35"/>
      <c r="GG83" s="35"/>
      <c r="GH83" s="35"/>
      <c r="GI83" s="35"/>
      <c r="GJ83" s="35"/>
      <c r="GK83" s="35"/>
      <c r="GL83" s="35"/>
      <c r="GM83" s="35"/>
      <c r="GN83" s="35"/>
      <c r="GO83" s="35"/>
      <c r="GP83" s="35"/>
      <c r="GQ83" s="35"/>
      <c r="GR83" s="35"/>
      <c r="GS83" s="35"/>
      <c r="GT83" s="35"/>
      <c r="GU83" s="35"/>
      <c r="GV83" s="35"/>
      <c r="GW83" s="35"/>
      <c r="GX83" s="35"/>
      <c r="GY83" s="35"/>
      <c r="GZ83" s="35"/>
      <c r="HA83" s="35"/>
      <c r="HB83" s="35"/>
      <c r="HC83" s="35"/>
      <c r="HD83" s="35"/>
      <c r="HE83" s="35"/>
      <c r="HF83" s="35"/>
      <c r="HG83" s="35"/>
      <c r="HH83" s="35"/>
      <c r="HI83" s="35"/>
      <c r="HJ83" s="35"/>
      <c r="HK83" s="35"/>
      <c r="HL83" s="35"/>
      <c r="HM83" s="35"/>
      <c r="HN83" s="35"/>
      <c r="HO83" s="35"/>
      <c r="HP83" s="35"/>
      <c r="HQ83" s="35"/>
      <c r="HR83" s="35"/>
      <c r="HS83" s="35"/>
      <c r="HT83" s="35"/>
      <c r="HU83" s="35"/>
      <c r="HV83" s="35"/>
      <c r="HW83" s="35"/>
      <c r="HX83" s="35"/>
      <c r="HY83" s="35"/>
      <c r="HZ83" s="35"/>
      <c r="IA83" s="35"/>
      <c r="IB83" s="35"/>
      <c r="IC83" s="35"/>
      <c r="ID83" s="35"/>
      <c r="IE83" s="35"/>
      <c r="IF83" s="35"/>
      <c r="IG83" s="35"/>
      <c r="IH83" s="35"/>
      <c r="II83" s="35"/>
      <c r="IJ83" s="35"/>
      <c r="IK83" s="35"/>
    </row>
    <row r="84" spans="1:245" ht="15">
      <c r="A84" s="35"/>
      <c r="B84" s="35"/>
      <c r="C84" s="35"/>
      <c r="D84" s="233"/>
      <c r="E84" s="233"/>
      <c r="F84" s="233"/>
      <c r="G84" s="233"/>
      <c r="H84" s="233"/>
      <c r="I84" s="233"/>
      <c r="J84" s="233"/>
      <c r="K84" s="233"/>
      <c r="L84" s="233"/>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c r="AV84" s="35"/>
      <c r="AW84" s="35"/>
      <c r="AX84" s="35"/>
      <c r="AY84" s="35"/>
      <c r="AZ84" s="35"/>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c r="EX84" s="35"/>
      <c r="EY84" s="35"/>
      <c r="EZ84" s="35"/>
      <c r="FA84" s="35"/>
      <c r="FB84" s="35"/>
      <c r="FC84" s="35"/>
      <c r="FD84" s="35"/>
      <c r="FE84" s="35"/>
      <c r="FF84" s="35"/>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c r="GX84" s="35"/>
      <c r="GY84" s="35"/>
      <c r="GZ84" s="35"/>
      <c r="HA84" s="35"/>
      <c r="HB84" s="35"/>
      <c r="HC84" s="35"/>
      <c r="HD84" s="35"/>
      <c r="HE84" s="35"/>
      <c r="HF84" s="35"/>
      <c r="HG84" s="35"/>
      <c r="HH84" s="35"/>
      <c r="HI84" s="35"/>
      <c r="HJ84" s="35"/>
      <c r="HK84" s="35"/>
      <c r="HL84" s="35"/>
      <c r="HM84" s="35"/>
      <c r="HN84" s="35"/>
      <c r="HO84" s="35"/>
      <c r="HP84" s="35"/>
      <c r="HQ84" s="35"/>
      <c r="HR84" s="35"/>
      <c r="HS84" s="35"/>
      <c r="HT84" s="35"/>
      <c r="HU84" s="35"/>
      <c r="HV84" s="35"/>
      <c r="HW84" s="35"/>
      <c r="HX84" s="35"/>
      <c r="HY84" s="35"/>
      <c r="HZ84" s="35"/>
      <c r="IA84" s="35"/>
      <c r="IB84" s="35"/>
      <c r="IC84" s="35"/>
      <c r="ID84" s="35"/>
      <c r="IE84" s="35"/>
      <c r="IF84" s="35"/>
      <c r="IG84" s="35"/>
      <c r="IH84" s="35"/>
      <c r="II84" s="35"/>
      <c r="IJ84" s="35"/>
      <c r="IK84" s="35"/>
    </row>
    <row r="85" spans="1:245" ht="15">
      <c r="A85" s="35"/>
      <c r="B85" s="35"/>
      <c r="C85" s="35"/>
      <c r="D85" s="233"/>
      <c r="E85" s="233"/>
      <c r="F85" s="233"/>
      <c r="G85" s="233"/>
      <c r="H85" s="233"/>
      <c r="I85" s="233"/>
      <c r="J85" s="233"/>
      <c r="K85" s="233"/>
      <c r="L85" s="233"/>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c r="AV85" s="35"/>
      <c r="AW85" s="35"/>
      <c r="AX85" s="35"/>
      <c r="AY85" s="35"/>
      <c r="AZ85" s="35"/>
      <c r="BA85" s="35"/>
      <c r="BB85" s="35"/>
      <c r="BC85" s="35"/>
      <c r="BD85" s="35"/>
      <c r="BE85" s="35"/>
      <c r="BF85" s="35"/>
      <c r="BG85" s="35"/>
      <c r="BH85" s="35"/>
      <c r="BI85" s="35"/>
      <c r="BJ85" s="35"/>
      <c r="BK85" s="35"/>
      <c r="BL85" s="35"/>
      <c r="BM85" s="35"/>
      <c r="BN85" s="35"/>
      <c r="BO85" s="35"/>
      <c r="BP85" s="35"/>
      <c r="BQ85" s="35"/>
      <c r="BR85" s="35"/>
      <c r="BS85" s="35"/>
      <c r="BT85" s="35"/>
      <c r="BU85" s="35"/>
      <c r="BV85" s="35"/>
      <c r="BW85" s="35"/>
      <c r="BX85" s="35"/>
      <c r="BY85" s="35"/>
      <c r="BZ85" s="35"/>
      <c r="CA85" s="35"/>
      <c r="CB85" s="35"/>
      <c r="CC85" s="35"/>
      <c r="CD85" s="35"/>
      <c r="CE85" s="35"/>
      <c r="CF85" s="35"/>
      <c r="CG85" s="35"/>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5"/>
      <c r="EG85" s="35"/>
      <c r="EH85" s="35"/>
      <c r="EI85" s="35"/>
      <c r="EJ85" s="35"/>
      <c r="EK85" s="35"/>
      <c r="EL85" s="35"/>
      <c r="EM85" s="35"/>
      <c r="EN85" s="35"/>
      <c r="EO85" s="35"/>
      <c r="EP85" s="35"/>
      <c r="EQ85" s="35"/>
      <c r="ER85" s="35"/>
      <c r="ES85" s="35"/>
      <c r="ET85" s="35"/>
      <c r="EU85" s="35"/>
      <c r="EV85" s="35"/>
      <c r="EW85" s="35"/>
      <c r="EX85" s="35"/>
      <c r="EY85" s="35"/>
      <c r="EZ85" s="35"/>
      <c r="FA85" s="35"/>
      <c r="FB85" s="35"/>
      <c r="FC85" s="35"/>
      <c r="FD85" s="35"/>
      <c r="FE85" s="35"/>
      <c r="FF85" s="35"/>
      <c r="FG85" s="35"/>
      <c r="FH85" s="35"/>
      <c r="FI85" s="35"/>
      <c r="FJ85" s="35"/>
      <c r="FK85" s="35"/>
      <c r="FL85" s="35"/>
      <c r="FM85" s="35"/>
      <c r="FN85" s="35"/>
      <c r="FO85" s="35"/>
      <c r="FP85" s="35"/>
      <c r="FQ85" s="35"/>
      <c r="FR85" s="35"/>
      <c r="FS85" s="35"/>
      <c r="FT85" s="35"/>
      <c r="FU85" s="35"/>
      <c r="FV85" s="35"/>
      <c r="FW85" s="35"/>
      <c r="FX85" s="35"/>
      <c r="FY85" s="35"/>
      <c r="FZ85" s="35"/>
      <c r="GA85" s="35"/>
      <c r="GB85" s="35"/>
      <c r="GC85" s="35"/>
      <c r="GD85" s="35"/>
      <c r="GE85" s="35"/>
      <c r="GF85" s="35"/>
      <c r="GG85" s="35"/>
      <c r="GH85" s="35"/>
      <c r="GI85" s="35"/>
      <c r="GJ85" s="35"/>
      <c r="GK85" s="35"/>
      <c r="GL85" s="35"/>
      <c r="GM85" s="35"/>
      <c r="GN85" s="35"/>
      <c r="GO85" s="35"/>
      <c r="GP85" s="35"/>
      <c r="GQ85" s="35"/>
      <c r="GR85" s="35"/>
      <c r="GS85" s="35"/>
      <c r="GT85" s="35"/>
      <c r="GU85" s="35"/>
      <c r="GV85" s="35"/>
      <c r="GW85" s="35"/>
      <c r="GX85" s="35"/>
      <c r="GY85" s="35"/>
      <c r="GZ85" s="35"/>
      <c r="HA85" s="35"/>
      <c r="HB85" s="35"/>
      <c r="HC85" s="35"/>
      <c r="HD85" s="35"/>
      <c r="HE85" s="35"/>
      <c r="HF85" s="35"/>
      <c r="HG85" s="35"/>
      <c r="HH85" s="35"/>
      <c r="HI85" s="35"/>
      <c r="HJ85" s="35"/>
      <c r="HK85" s="35"/>
      <c r="HL85" s="35"/>
      <c r="HM85" s="35"/>
      <c r="HN85" s="35"/>
      <c r="HO85" s="35"/>
      <c r="HP85" s="35"/>
      <c r="HQ85" s="35"/>
      <c r="HR85" s="35"/>
      <c r="HS85" s="35"/>
      <c r="HT85" s="35"/>
      <c r="HU85" s="35"/>
      <c r="HV85" s="35"/>
      <c r="HW85" s="35"/>
      <c r="HX85" s="35"/>
      <c r="HY85" s="35"/>
      <c r="HZ85" s="35"/>
      <c r="IA85" s="35"/>
      <c r="IB85" s="35"/>
      <c r="IC85" s="35"/>
      <c r="ID85" s="35"/>
      <c r="IE85" s="35"/>
      <c r="IF85" s="35"/>
      <c r="IG85" s="35"/>
      <c r="IH85" s="35"/>
      <c r="II85" s="35"/>
      <c r="IJ85" s="35"/>
      <c r="IK85" s="35"/>
    </row>
  </sheetData>
  <mergeCells count="46">
    <mergeCell ref="A3:L3"/>
    <mergeCell ref="A4:L4"/>
    <mergeCell ref="A5:L5"/>
    <mergeCell ref="E11:H11"/>
    <mergeCell ref="J10:K10"/>
    <mergeCell ref="J11:K11"/>
    <mergeCell ref="J12:J15"/>
    <mergeCell ref="K12:K15"/>
    <mergeCell ref="B22:H22"/>
    <mergeCell ref="B25:H25"/>
    <mergeCell ref="B28:H28"/>
    <mergeCell ref="H12:H15"/>
    <mergeCell ref="I12:I15"/>
    <mergeCell ref="B18:H18"/>
    <mergeCell ref="B62:C62"/>
    <mergeCell ref="B63:C63"/>
    <mergeCell ref="B39:H39"/>
    <mergeCell ref="B53:C53"/>
    <mergeCell ref="B59:C59"/>
    <mergeCell ref="B54:C54"/>
    <mergeCell ref="B55:C55"/>
    <mergeCell ref="B57:C57"/>
    <mergeCell ref="B58:C58"/>
    <mergeCell ref="B60:C60"/>
    <mergeCell ref="B61:C61"/>
    <mergeCell ref="B47:H47"/>
    <mergeCell ref="B33:H33"/>
    <mergeCell ref="B44:H44"/>
    <mergeCell ref="B51:D51"/>
    <mergeCell ref="B52:C52"/>
    <mergeCell ref="B56:C56"/>
    <mergeCell ref="A2:L2"/>
    <mergeCell ref="L12:L15"/>
    <mergeCell ref="B16:H16"/>
    <mergeCell ref="H20:I20"/>
    <mergeCell ref="A12:A15"/>
    <mergeCell ref="B12:B15"/>
    <mergeCell ref="C12:C15"/>
    <mergeCell ref="D12:D15"/>
    <mergeCell ref="E12:E15"/>
    <mergeCell ref="F12:F15"/>
    <mergeCell ref="G12:G15"/>
    <mergeCell ref="J8:K8"/>
    <mergeCell ref="E9:H9"/>
    <mergeCell ref="J9:K9"/>
    <mergeCell ref="E10:H10"/>
  </mergeCells>
  <printOptions horizontalCentered="1"/>
  <pageMargins left="0.70866141732283472" right="0.70866141732283472" top="0.74803149606299213" bottom="0.74803149606299213" header="0.31496062992125984" footer="0.31496062992125984"/>
  <pageSetup scale="75" orientation="landscape" r:id="rId1"/>
  <headerFooter>
    <oddFooter>&amp;R&amp;P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C319"/>
  <sheetViews>
    <sheetView view="pageBreakPreview" zoomScale="80" zoomScaleNormal="85" zoomScaleSheetLayoutView="80" workbookViewId="0">
      <selection activeCell="O18" sqref="O18"/>
    </sheetView>
  </sheetViews>
  <sheetFormatPr defaultColWidth="8.85546875" defaultRowHeight="12.75"/>
  <cols>
    <col min="1" max="1" width="8.85546875" style="409"/>
    <col min="2" max="2" width="45.42578125" style="409" customWidth="1"/>
    <col min="3" max="3" width="12.42578125" style="409" customWidth="1"/>
    <col min="4" max="4" width="13.140625" style="409" customWidth="1"/>
    <col min="5" max="5" width="11" style="409" customWidth="1"/>
    <col min="6" max="6" width="11.140625" style="409" customWidth="1"/>
    <col min="7" max="7" width="11" style="409" customWidth="1"/>
    <col min="8" max="8" width="11.7109375" style="409" customWidth="1"/>
    <col min="9" max="9" width="11.140625" style="409" customWidth="1"/>
    <col min="10" max="10" width="15" style="409" customWidth="1"/>
    <col min="11" max="16384" width="8.85546875" style="409"/>
  </cols>
  <sheetData>
    <row r="2" spans="1:237" ht="20.25">
      <c r="A2" s="892" t="s">
        <v>461</v>
      </c>
      <c r="B2" s="892"/>
      <c r="C2" s="892"/>
      <c r="D2" s="892"/>
      <c r="E2" s="892"/>
      <c r="F2" s="892"/>
      <c r="G2" s="892"/>
      <c r="H2" s="892"/>
      <c r="I2" s="892"/>
      <c r="J2" s="892"/>
      <c r="K2" s="892"/>
      <c r="L2" s="483"/>
      <c r="M2" s="483"/>
      <c r="N2" s="483"/>
      <c r="O2" s="483"/>
      <c r="P2" s="483"/>
      <c r="Q2" s="483"/>
      <c r="R2" s="483"/>
      <c r="S2" s="483"/>
      <c r="T2" s="483"/>
      <c r="U2" s="483"/>
      <c r="V2" s="483"/>
      <c r="W2" s="483"/>
      <c r="X2" s="483"/>
      <c r="Y2" s="483"/>
      <c r="Z2" s="483"/>
      <c r="AA2" s="483"/>
      <c r="AB2" s="483"/>
      <c r="AC2" s="483"/>
      <c r="AD2" s="483"/>
      <c r="AE2" s="483"/>
      <c r="AF2" s="483"/>
      <c r="AG2" s="483"/>
      <c r="AH2" s="483"/>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c r="CT2" s="483"/>
      <c r="CU2" s="483"/>
      <c r="CV2" s="483"/>
      <c r="CW2" s="483"/>
      <c r="CX2" s="483"/>
      <c r="CY2" s="483"/>
      <c r="CZ2" s="483"/>
      <c r="DA2" s="483"/>
      <c r="DB2" s="483"/>
      <c r="DC2" s="483"/>
      <c r="DD2" s="483"/>
      <c r="DE2" s="483"/>
      <c r="DF2" s="483"/>
      <c r="DG2" s="483"/>
      <c r="DH2" s="483"/>
      <c r="DI2" s="483"/>
      <c r="DJ2" s="483"/>
      <c r="DK2" s="483"/>
      <c r="DL2" s="483"/>
      <c r="DM2" s="483"/>
      <c r="DN2" s="483"/>
      <c r="DO2" s="483"/>
      <c r="DP2" s="483"/>
      <c r="DQ2" s="483"/>
      <c r="DR2" s="483"/>
      <c r="DS2" s="483"/>
      <c r="DT2" s="483"/>
      <c r="DU2" s="483"/>
      <c r="DV2" s="483"/>
      <c r="DW2" s="483"/>
      <c r="DX2" s="483"/>
      <c r="DY2" s="483"/>
      <c r="DZ2" s="483"/>
      <c r="EA2" s="483"/>
      <c r="EB2" s="483"/>
      <c r="EC2" s="483"/>
      <c r="ED2" s="483"/>
      <c r="EE2" s="483"/>
      <c r="EF2" s="483"/>
      <c r="EG2" s="483"/>
      <c r="EH2" s="483"/>
      <c r="EI2" s="483"/>
      <c r="EJ2" s="483"/>
      <c r="EK2" s="483"/>
      <c r="EL2" s="483"/>
      <c r="EM2" s="483"/>
      <c r="EN2" s="483"/>
      <c r="EO2" s="483"/>
      <c r="EP2" s="483"/>
      <c r="EQ2" s="483"/>
      <c r="ER2" s="483"/>
      <c r="ES2" s="483"/>
      <c r="ET2" s="483"/>
      <c r="EU2" s="483"/>
      <c r="EV2" s="483"/>
      <c r="EW2" s="483"/>
      <c r="EX2" s="483"/>
      <c r="EY2" s="483"/>
      <c r="EZ2" s="483"/>
      <c r="FA2" s="483"/>
      <c r="FB2" s="483"/>
      <c r="FC2" s="483"/>
      <c r="FD2" s="483"/>
      <c r="FE2" s="483"/>
      <c r="FF2" s="483"/>
      <c r="FG2" s="483"/>
      <c r="FH2" s="483"/>
      <c r="FI2" s="483"/>
      <c r="FJ2" s="483"/>
      <c r="FK2" s="483"/>
      <c r="FL2" s="483"/>
      <c r="FM2" s="483"/>
      <c r="FN2" s="483"/>
      <c r="FO2" s="483"/>
      <c r="FP2" s="483"/>
      <c r="FQ2" s="483"/>
      <c r="FR2" s="483"/>
      <c r="FS2" s="483"/>
      <c r="FT2" s="483"/>
      <c r="FU2" s="483"/>
      <c r="FV2" s="483"/>
      <c r="FW2" s="483"/>
      <c r="FX2" s="483"/>
      <c r="FY2" s="483"/>
      <c r="FZ2" s="483"/>
      <c r="GA2" s="483"/>
      <c r="GB2" s="483"/>
      <c r="GC2" s="483"/>
      <c r="GD2" s="483"/>
      <c r="GE2" s="483"/>
      <c r="GF2" s="483"/>
      <c r="GG2" s="483"/>
      <c r="GH2" s="483"/>
      <c r="GI2" s="483"/>
      <c r="GJ2" s="483"/>
      <c r="GK2" s="483"/>
      <c r="GL2" s="483"/>
      <c r="GM2" s="483"/>
      <c r="GN2" s="483"/>
      <c r="GO2" s="483"/>
      <c r="GP2" s="483"/>
      <c r="GQ2" s="483"/>
      <c r="GR2" s="483"/>
      <c r="GS2" s="483"/>
      <c r="GT2" s="483"/>
      <c r="GU2" s="483"/>
      <c r="GV2" s="483"/>
      <c r="GW2" s="483"/>
      <c r="GX2" s="483"/>
      <c r="GY2" s="483"/>
      <c r="GZ2" s="483"/>
      <c r="HA2" s="483"/>
      <c r="HB2" s="483"/>
      <c r="HC2" s="483"/>
      <c r="HD2" s="483"/>
      <c r="HE2" s="483"/>
      <c r="HF2" s="483"/>
      <c r="HG2" s="483"/>
      <c r="HH2" s="483"/>
      <c r="HI2" s="483"/>
      <c r="HJ2" s="483"/>
      <c r="HK2" s="483"/>
      <c r="HL2" s="483"/>
      <c r="HM2" s="483"/>
      <c r="HN2" s="483"/>
      <c r="HO2" s="483"/>
      <c r="HP2" s="483"/>
      <c r="HQ2" s="483"/>
      <c r="HR2" s="483"/>
      <c r="HS2" s="483"/>
      <c r="HT2" s="483"/>
      <c r="HU2" s="483"/>
      <c r="HV2" s="483"/>
      <c r="HW2" s="483"/>
      <c r="HX2" s="483"/>
      <c r="HY2" s="483"/>
      <c r="HZ2" s="483"/>
      <c r="IA2" s="483"/>
      <c r="IB2" s="483"/>
      <c r="IC2" s="483"/>
    </row>
    <row r="3" spans="1:237" ht="15">
      <c r="A3" s="945" t="str">
        <f>'Cable Nguon'!A3:L3</f>
        <v>CÔNG TRÌNH : THI CÔNG ………………</v>
      </c>
      <c r="B3" s="945"/>
      <c r="C3" s="945"/>
      <c r="D3" s="945"/>
      <c r="E3" s="945"/>
      <c r="F3" s="945"/>
      <c r="G3" s="945"/>
      <c r="H3" s="945"/>
      <c r="I3" s="945"/>
      <c r="J3" s="945"/>
      <c r="K3" s="45"/>
      <c r="L3" s="483"/>
      <c r="M3" s="483"/>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3"/>
      <c r="DP3" s="483"/>
      <c r="DQ3" s="483"/>
      <c r="DR3" s="483"/>
      <c r="DS3" s="483"/>
      <c r="DT3" s="483"/>
      <c r="DU3" s="483"/>
      <c r="DV3" s="483"/>
      <c r="DW3" s="483"/>
      <c r="DX3" s="483"/>
      <c r="DY3" s="483"/>
      <c r="DZ3" s="483"/>
      <c r="EA3" s="483"/>
      <c r="EB3" s="483"/>
      <c r="EC3" s="483"/>
      <c r="ED3" s="483"/>
      <c r="EE3" s="483"/>
      <c r="EF3" s="483"/>
      <c r="EG3" s="483"/>
      <c r="EH3" s="483"/>
      <c r="EI3" s="483"/>
      <c r="EJ3" s="483"/>
      <c r="EK3" s="483"/>
      <c r="EL3" s="483"/>
      <c r="EM3" s="483"/>
      <c r="EN3" s="483"/>
      <c r="EO3" s="483"/>
      <c r="EP3" s="483"/>
      <c r="EQ3" s="483"/>
      <c r="ER3" s="483"/>
      <c r="ES3" s="483"/>
      <c r="ET3" s="483"/>
      <c r="EU3" s="483"/>
      <c r="EV3" s="483"/>
      <c r="EW3" s="483"/>
      <c r="EX3" s="483"/>
      <c r="EY3" s="483"/>
      <c r="EZ3" s="483"/>
      <c r="FA3" s="483"/>
      <c r="FB3" s="483"/>
      <c r="FC3" s="483"/>
      <c r="FD3" s="483"/>
      <c r="FE3" s="483"/>
      <c r="FF3" s="483"/>
      <c r="FG3" s="483"/>
      <c r="FH3" s="483"/>
      <c r="FI3" s="483"/>
      <c r="FJ3" s="483"/>
      <c r="FK3" s="483"/>
      <c r="FL3" s="483"/>
      <c r="FM3" s="483"/>
      <c r="FN3" s="483"/>
      <c r="FO3" s="483"/>
      <c r="FP3" s="483"/>
      <c r="FQ3" s="483"/>
      <c r="FR3" s="483"/>
      <c r="FS3" s="483"/>
      <c r="FT3" s="483"/>
      <c r="FU3" s="483"/>
      <c r="FV3" s="483"/>
      <c r="FW3" s="483"/>
      <c r="FX3" s="483"/>
      <c r="FY3" s="483"/>
      <c r="FZ3" s="483"/>
      <c r="GA3" s="483"/>
      <c r="GB3" s="483"/>
      <c r="GC3" s="483"/>
      <c r="GD3" s="483"/>
      <c r="GE3" s="483"/>
      <c r="GF3" s="483"/>
      <c r="GG3" s="483"/>
      <c r="GH3" s="483"/>
      <c r="GI3" s="483"/>
      <c r="GJ3" s="483"/>
      <c r="GK3" s="483"/>
      <c r="GL3" s="483"/>
      <c r="GM3" s="483"/>
      <c r="GN3" s="483"/>
      <c r="GO3" s="483"/>
      <c r="GP3" s="483"/>
      <c r="GQ3" s="483"/>
      <c r="GR3" s="483"/>
      <c r="GS3" s="483"/>
      <c r="GT3" s="483"/>
      <c r="GU3" s="483"/>
      <c r="GV3" s="483"/>
      <c r="GW3" s="483"/>
      <c r="GX3" s="483"/>
      <c r="GY3" s="483"/>
      <c r="GZ3" s="483"/>
      <c r="HA3" s="483"/>
      <c r="HB3" s="483"/>
      <c r="HC3" s="483"/>
      <c r="HD3" s="483"/>
      <c r="HE3" s="483"/>
      <c r="HF3" s="483"/>
      <c r="HG3" s="483"/>
      <c r="HH3" s="483"/>
      <c r="HI3" s="483"/>
      <c r="HJ3" s="483"/>
      <c r="HK3" s="483"/>
      <c r="HL3" s="483"/>
      <c r="HM3" s="483"/>
      <c r="HN3" s="483"/>
      <c r="HO3" s="483"/>
      <c r="HP3" s="483"/>
      <c r="HQ3" s="483"/>
      <c r="HR3" s="483"/>
      <c r="HS3" s="483"/>
      <c r="HT3" s="483"/>
      <c r="HU3" s="483"/>
      <c r="HV3" s="483"/>
      <c r="HW3" s="483"/>
      <c r="HX3" s="483"/>
      <c r="HY3" s="483"/>
      <c r="HZ3" s="483"/>
      <c r="IA3" s="483"/>
      <c r="IB3" s="483"/>
      <c r="IC3" s="483"/>
    </row>
    <row r="4" spans="1:237" ht="15">
      <c r="A4" s="945" t="str">
        <f>'Cable Nguon'!A4:L4</f>
        <v>ĐỊA ĐIỂM: ………………</v>
      </c>
      <c r="B4" s="945"/>
      <c r="C4" s="945"/>
      <c r="D4" s="945"/>
      <c r="E4" s="945"/>
      <c r="F4" s="945"/>
      <c r="G4" s="945"/>
      <c r="H4" s="945"/>
      <c r="I4" s="945"/>
      <c r="J4" s="945"/>
      <c r="K4" s="45"/>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3"/>
      <c r="AN4" s="483"/>
      <c r="AO4" s="483"/>
      <c r="AP4" s="483"/>
      <c r="AQ4" s="483"/>
      <c r="AR4" s="483"/>
      <c r="AS4" s="483"/>
      <c r="AT4" s="483"/>
      <c r="AU4" s="483"/>
      <c r="AV4" s="483"/>
      <c r="AW4" s="483"/>
      <c r="AX4" s="483"/>
      <c r="AY4" s="483"/>
      <c r="AZ4" s="483"/>
      <c r="BA4" s="483"/>
      <c r="BB4" s="483"/>
      <c r="BC4" s="483"/>
      <c r="BD4" s="483"/>
      <c r="BE4" s="483"/>
      <c r="BF4" s="483"/>
      <c r="BG4" s="483"/>
      <c r="BH4" s="483"/>
      <c r="BI4" s="483"/>
      <c r="BJ4" s="483"/>
      <c r="BK4" s="483"/>
      <c r="BL4" s="483"/>
      <c r="BM4" s="483"/>
      <c r="BN4" s="483"/>
      <c r="BO4" s="483"/>
      <c r="BP4" s="483"/>
      <c r="BQ4" s="483"/>
      <c r="BR4" s="483"/>
      <c r="BS4" s="483"/>
      <c r="BT4" s="483"/>
      <c r="BU4" s="483"/>
      <c r="BV4" s="483"/>
      <c r="BW4" s="483"/>
      <c r="BX4" s="483"/>
      <c r="BY4" s="483"/>
      <c r="BZ4" s="483"/>
      <c r="CA4" s="483"/>
      <c r="CB4" s="483"/>
      <c r="CC4" s="483"/>
      <c r="CD4" s="483"/>
      <c r="CE4" s="483"/>
      <c r="CF4" s="483"/>
      <c r="CG4" s="483"/>
      <c r="CH4" s="483"/>
      <c r="CI4" s="483"/>
      <c r="CJ4" s="483"/>
      <c r="CK4" s="483"/>
      <c r="CL4" s="483"/>
      <c r="CM4" s="483"/>
      <c r="CN4" s="483"/>
      <c r="CO4" s="483"/>
      <c r="CP4" s="483"/>
      <c r="CQ4" s="483"/>
      <c r="CR4" s="483"/>
      <c r="CS4" s="483"/>
      <c r="CT4" s="483"/>
      <c r="CU4" s="483"/>
      <c r="CV4" s="483"/>
      <c r="CW4" s="483"/>
      <c r="CX4" s="483"/>
      <c r="CY4" s="483"/>
      <c r="CZ4" s="483"/>
      <c r="DA4" s="483"/>
      <c r="DB4" s="483"/>
      <c r="DC4" s="483"/>
      <c r="DD4" s="483"/>
      <c r="DE4" s="483"/>
      <c r="DF4" s="483"/>
      <c r="DG4" s="483"/>
      <c r="DH4" s="483"/>
      <c r="DI4" s="483"/>
      <c r="DJ4" s="483"/>
      <c r="DK4" s="483"/>
      <c r="DL4" s="483"/>
      <c r="DM4" s="483"/>
      <c r="DN4" s="483"/>
      <c r="DO4" s="483"/>
      <c r="DP4" s="483"/>
      <c r="DQ4" s="483"/>
      <c r="DR4" s="483"/>
      <c r="DS4" s="483"/>
      <c r="DT4" s="483"/>
      <c r="DU4" s="483"/>
      <c r="DV4" s="483"/>
      <c r="DW4" s="483"/>
      <c r="DX4" s="483"/>
      <c r="DY4" s="483"/>
      <c r="DZ4" s="483"/>
      <c r="EA4" s="483"/>
      <c r="EB4" s="483"/>
      <c r="EC4" s="483"/>
      <c r="ED4" s="483"/>
      <c r="EE4" s="483"/>
      <c r="EF4" s="483"/>
      <c r="EG4" s="483"/>
      <c r="EH4" s="483"/>
      <c r="EI4" s="483"/>
      <c r="EJ4" s="483"/>
      <c r="EK4" s="483"/>
      <c r="EL4" s="483"/>
      <c r="EM4" s="483"/>
      <c r="EN4" s="483"/>
      <c r="EO4" s="483"/>
      <c r="EP4" s="483"/>
      <c r="EQ4" s="483"/>
      <c r="ER4" s="483"/>
      <c r="ES4" s="483"/>
      <c r="ET4" s="483"/>
      <c r="EU4" s="483"/>
      <c r="EV4" s="483"/>
      <c r="EW4" s="483"/>
      <c r="EX4" s="483"/>
      <c r="EY4" s="483"/>
      <c r="EZ4" s="483"/>
      <c r="FA4" s="483"/>
      <c r="FB4" s="483"/>
      <c r="FC4" s="483"/>
      <c r="FD4" s="483"/>
      <c r="FE4" s="483"/>
      <c r="FF4" s="483"/>
      <c r="FG4" s="483"/>
      <c r="FH4" s="483"/>
      <c r="FI4" s="483"/>
      <c r="FJ4" s="483"/>
      <c r="FK4" s="483"/>
      <c r="FL4" s="483"/>
      <c r="FM4" s="483"/>
      <c r="FN4" s="483"/>
      <c r="FO4" s="483"/>
      <c r="FP4" s="483"/>
      <c r="FQ4" s="483"/>
      <c r="FR4" s="483"/>
      <c r="FS4" s="483"/>
      <c r="FT4" s="483"/>
      <c r="FU4" s="483"/>
      <c r="FV4" s="483"/>
      <c r="FW4" s="483"/>
      <c r="FX4" s="483"/>
      <c r="FY4" s="483"/>
      <c r="FZ4" s="483"/>
      <c r="GA4" s="483"/>
      <c r="GB4" s="483"/>
      <c r="GC4" s="483"/>
      <c r="GD4" s="483"/>
      <c r="GE4" s="483"/>
      <c r="GF4" s="483"/>
      <c r="GG4" s="483"/>
      <c r="GH4" s="483"/>
      <c r="GI4" s="483"/>
      <c r="GJ4" s="483"/>
      <c r="GK4" s="483"/>
      <c r="GL4" s="483"/>
      <c r="GM4" s="483"/>
      <c r="GN4" s="483"/>
      <c r="GO4" s="483"/>
      <c r="GP4" s="483"/>
      <c r="GQ4" s="483"/>
      <c r="GR4" s="483"/>
      <c r="GS4" s="483"/>
      <c r="GT4" s="483"/>
      <c r="GU4" s="483"/>
      <c r="GV4" s="483"/>
      <c r="GW4" s="483"/>
      <c r="GX4" s="483"/>
      <c r="GY4" s="483"/>
      <c r="GZ4" s="483"/>
      <c r="HA4" s="483"/>
      <c r="HB4" s="483"/>
      <c r="HC4" s="483"/>
      <c r="HD4" s="483"/>
      <c r="HE4" s="483"/>
      <c r="HF4" s="483"/>
      <c r="HG4" s="483"/>
      <c r="HH4" s="483"/>
      <c r="HI4" s="483"/>
      <c r="HJ4" s="483"/>
      <c r="HK4" s="483"/>
      <c r="HL4" s="483"/>
      <c r="HM4" s="483"/>
      <c r="HN4" s="483"/>
      <c r="HO4" s="483"/>
      <c r="HP4" s="483"/>
      <c r="HQ4" s="483"/>
      <c r="HR4" s="483"/>
      <c r="HS4" s="483"/>
      <c r="HT4" s="483"/>
      <c r="HU4" s="483"/>
      <c r="HV4" s="483"/>
      <c r="HW4" s="483"/>
      <c r="HX4" s="483"/>
      <c r="HY4" s="483"/>
      <c r="HZ4" s="483"/>
      <c r="IA4" s="483"/>
      <c r="IB4" s="483"/>
      <c r="IC4" s="483"/>
    </row>
    <row r="5" spans="1:237" ht="15">
      <c r="A5" s="945" t="str">
        <f>'Cable Nguon'!A5:L5</f>
        <v>SỐ HỢP ĐỒNG: …………………</v>
      </c>
      <c r="B5" s="945"/>
      <c r="C5" s="945"/>
      <c r="D5" s="945"/>
      <c r="E5" s="945"/>
      <c r="F5" s="945"/>
      <c r="G5" s="945"/>
      <c r="H5" s="945"/>
      <c r="I5" s="945"/>
      <c r="J5" s="945"/>
      <c r="K5" s="45"/>
      <c r="L5" s="483"/>
      <c r="M5" s="483"/>
      <c r="N5" s="483"/>
      <c r="O5" s="483"/>
      <c r="P5" s="483"/>
      <c r="Q5" s="483"/>
      <c r="R5" s="483"/>
      <c r="S5" s="483"/>
      <c r="T5" s="483"/>
      <c r="U5" s="483"/>
      <c r="V5" s="483"/>
      <c r="W5" s="483"/>
      <c r="X5" s="483"/>
      <c r="Y5" s="483"/>
      <c r="Z5" s="483"/>
      <c r="AA5" s="483"/>
      <c r="AB5" s="483"/>
      <c r="AC5" s="483"/>
      <c r="AD5" s="483"/>
      <c r="AE5" s="483"/>
      <c r="AF5" s="483"/>
      <c r="AG5" s="483"/>
      <c r="AH5" s="483"/>
      <c r="AI5" s="483"/>
      <c r="AJ5" s="483"/>
      <c r="AK5" s="483"/>
      <c r="AL5" s="483"/>
      <c r="AM5" s="483"/>
      <c r="AN5" s="483"/>
      <c r="AO5" s="483"/>
      <c r="AP5" s="483"/>
      <c r="AQ5" s="483"/>
      <c r="AR5" s="483"/>
      <c r="AS5" s="483"/>
      <c r="AT5" s="483"/>
      <c r="AU5" s="483"/>
      <c r="AV5" s="483"/>
      <c r="AW5" s="483"/>
      <c r="AX5" s="483"/>
      <c r="AY5" s="483"/>
      <c r="AZ5" s="483"/>
      <c r="BA5" s="483"/>
      <c r="BB5" s="483"/>
      <c r="BC5" s="483"/>
      <c r="BD5" s="483"/>
      <c r="BE5" s="483"/>
      <c r="BF5" s="483"/>
      <c r="BG5" s="483"/>
      <c r="BH5" s="483"/>
      <c r="BI5" s="483"/>
      <c r="BJ5" s="483"/>
      <c r="BK5" s="483"/>
      <c r="BL5" s="483"/>
      <c r="BM5" s="483"/>
      <c r="BN5" s="483"/>
      <c r="BO5" s="483"/>
      <c r="BP5" s="483"/>
      <c r="BQ5" s="483"/>
      <c r="BR5" s="483"/>
      <c r="BS5" s="483"/>
      <c r="BT5" s="483"/>
      <c r="BU5" s="483"/>
      <c r="BV5" s="483"/>
      <c r="BW5" s="483"/>
      <c r="BX5" s="483"/>
      <c r="BY5" s="483"/>
      <c r="BZ5" s="483"/>
      <c r="CA5" s="483"/>
      <c r="CB5" s="483"/>
      <c r="CC5" s="483"/>
      <c r="CD5" s="483"/>
      <c r="CE5" s="483"/>
      <c r="CF5" s="483"/>
      <c r="CG5" s="483"/>
      <c r="CH5" s="483"/>
      <c r="CI5" s="483"/>
      <c r="CJ5" s="483"/>
      <c r="CK5" s="483"/>
      <c r="CL5" s="483"/>
      <c r="CM5" s="483"/>
      <c r="CN5" s="483"/>
      <c r="CO5" s="483"/>
      <c r="CP5" s="483"/>
      <c r="CQ5" s="483"/>
      <c r="CR5" s="483"/>
      <c r="CS5" s="483"/>
      <c r="CT5" s="483"/>
      <c r="CU5" s="483"/>
      <c r="CV5" s="483"/>
      <c r="CW5" s="483"/>
      <c r="CX5" s="483"/>
      <c r="CY5" s="483"/>
      <c r="CZ5" s="483"/>
      <c r="DA5" s="483"/>
      <c r="DB5" s="483"/>
      <c r="DC5" s="483"/>
      <c r="DD5" s="483"/>
      <c r="DE5" s="483"/>
      <c r="DF5" s="483"/>
      <c r="DG5" s="483"/>
      <c r="DH5" s="483"/>
      <c r="DI5" s="483"/>
      <c r="DJ5" s="483"/>
      <c r="DK5" s="483"/>
      <c r="DL5" s="483"/>
      <c r="DM5" s="483"/>
      <c r="DN5" s="483"/>
      <c r="DO5" s="483"/>
      <c r="DP5" s="483"/>
      <c r="DQ5" s="483"/>
      <c r="DR5" s="483"/>
      <c r="DS5" s="483"/>
      <c r="DT5" s="483"/>
      <c r="DU5" s="483"/>
      <c r="DV5" s="483"/>
      <c r="DW5" s="483"/>
      <c r="DX5" s="483"/>
      <c r="DY5" s="483"/>
      <c r="DZ5" s="483"/>
      <c r="EA5" s="483"/>
      <c r="EB5" s="483"/>
      <c r="EC5" s="483"/>
      <c r="ED5" s="483"/>
      <c r="EE5" s="483"/>
      <c r="EF5" s="483"/>
      <c r="EG5" s="483"/>
      <c r="EH5" s="483"/>
      <c r="EI5" s="483"/>
      <c r="EJ5" s="483"/>
      <c r="EK5" s="483"/>
      <c r="EL5" s="483"/>
      <c r="EM5" s="483"/>
      <c r="EN5" s="483"/>
      <c r="EO5" s="483"/>
      <c r="EP5" s="483"/>
      <c r="EQ5" s="483"/>
      <c r="ER5" s="483"/>
      <c r="ES5" s="483"/>
      <c r="ET5" s="483"/>
      <c r="EU5" s="483"/>
      <c r="EV5" s="483"/>
      <c r="EW5" s="483"/>
      <c r="EX5" s="483"/>
      <c r="EY5" s="483"/>
      <c r="EZ5" s="483"/>
      <c r="FA5" s="483"/>
      <c r="FB5" s="483"/>
      <c r="FC5" s="483"/>
      <c r="FD5" s="483"/>
      <c r="FE5" s="483"/>
      <c r="FF5" s="483"/>
      <c r="FG5" s="483"/>
      <c r="FH5" s="483"/>
      <c r="FI5" s="483"/>
      <c r="FJ5" s="483"/>
      <c r="FK5" s="483"/>
      <c r="FL5" s="483"/>
      <c r="FM5" s="483"/>
      <c r="FN5" s="483"/>
      <c r="FO5" s="483"/>
      <c r="FP5" s="483"/>
      <c r="FQ5" s="483"/>
      <c r="FR5" s="483"/>
      <c r="FS5" s="483"/>
      <c r="FT5" s="483"/>
      <c r="FU5" s="483"/>
      <c r="FV5" s="483"/>
      <c r="FW5" s="483"/>
      <c r="FX5" s="483"/>
      <c r="FY5" s="483"/>
      <c r="FZ5" s="483"/>
      <c r="GA5" s="483"/>
      <c r="GB5" s="483"/>
      <c r="GC5" s="483"/>
      <c r="GD5" s="483"/>
      <c r="GE5" s="483"/>
      <c r="GF5" s="483"/>
      <c r="GG5" s="483"/>
      <c r="GH5" s="483"/>
      <c r="GI5" s="483"/>
      <c r="GJ5" s="483"/>
      <c r="GK5" s="483"/>
      <c r="GL5" s="483"/>
      <c r="GM5" s="483"/>
      <c r="GN5" s="483"/>
      <c r="GO5" s="483"/>
      <c r="GP5" s="483"/>
      <c r="GQ5" s="483"/>
      <c r="GR5" s="483"/>
      <c r="GS5" s="483"/>
      <c r="GT5" s="483"/>
      <c r="GU5" s="483"/>
      <c r="GV5" s="483"/>
      <c r="GW5" s="483"/>
      <c r="GX5" s="483"/>
      <c r="GY5" s="483"/>
      <c r="GZ5" s="483"/>
      <c r="HA5" s="483"/>
      <c r="HB5" s="483"/>
      <c r="HC5" s="483"/>
      <c r="HD5" s="483"/>
      <c r="HE5" s="483"/>
      <c r="HF5" s="483"/>
      <c r="HG5" s="483"/>
      <c r="HH5" s="483"/>
      <c r="HI5" s="483"/>
      <c r="HJ5" s="483"/>
      <c r="HK5" s="483"/>
      <c r="HL5" s="483"/>
      <c r="HM5" s="483"/>
      <c r="HN5" s="483"/>
      <c r="HO5" s="483"/>
      <c r="HP5" s="483"/>
      <c r="HQ5" s="483"/>
      <c r="HR5" s="483"/>
      <c r="HS5" s="483"/>
      <c r="HT5" s="483"/>
      <c r="HU5" s="483"/>
      <c r="HV5" s="483"/>
      <c r="HW5" s="483"/>
      <c r="HX5" s="483"/>
      <c r="HY5" s="483"/>
      <c r="HZ5" s="483"/>
      <c r="IA5" s="483"/>
      <c r="IB5" s="483"/>
      <c r="IC5" s="483"/>
    </row>
    <row r="6" spans="1:237" ht="15">
      <c r="A6" s="228"/>
      <c r="B6" s="36"/>
      <c r="C6" s="228"/>
      <c r="D6" s="228"/>
      <c r="E6" s="37"/>
      <c r="F6" s="37"/>
      <c r="G6" s="484"/>
      <c r="H6" s="484"/>
      <c r="I6" s="227"/>
      <c r="J6" s="227"/>
      <c r="K6" s="45"/>
      <c r="L6" s="483"/>
      <c r="M6" s="483"/>
      <c r="N6" s="483"/>
      <c r="O6" s="483"/>
      <c r="P6" s="483"/>
      <c r="Q6" s="483"/>
      <c r="R6" s="483"/>
      <c r="S6" s="483"/>
      <c r="T6" s="483"/>
      <c r="U6" s="483"/>
      <c r="V6" s="483"/>
      <c r="W6" s="483"/>
      <c r="X6" s="483"/>
      <c r="Y6" s="483"/>
      <c r="Z6" s="483"/>
      <c r="AA6" s="483"/>
      <c r="AB6" s="483"/>
      <c r="AC6" s="483"/>
      <c r="AD6" s="483"/>
      <c r="AE6" s="483"/>
      <c r="AF6" s="483"/>
      <c r="AG6" s="483"/>
      <c r="AH6" s="483"/>
      <c r="AI6" s="483"/>
      <c r="AJ6" s="483"/>
      <c r="AK6" s="483"/>
      <c r="AL6" s="483"/>
      <c r="AM6" s="483"/>
      <c r="AN6" s="483"/>
      <c r="AO6" s="483"/>
      <c r="AP6" s="483"/>
      <c r="AQ6" s="483"/>
      <c r="AR6" s="483"/>
      <c r="AS6" s="483"/>
      <c r="AT6" s="483"/>
      <c r="AU6" s="483"/>
      <c r="AV6" s="483"/>
      <c r="AW6" s="483"/>
      <c r="AX6" s="483"/>
      <c r="AY6" s="483"/>
      <c r="AZ6" s="483"/>
      <c r="BA6" s="483"/>
      <c r="BB6" s="483"/>
      <c r="BC6" s="483"/>
      <c r="BD6" s="483"/>
      <c r="BE6" s="483"/>
      <c r="BF6" s="483"/>
      <c r="BG6" s="483"/>
      <c r="BH6" s="483"/>
      <c r="BI6" s="483"/>
      <c r="BJ6" s="483"/>
      <c r="BK6" s="483"/>
      <c r="BL6" s="483"/>
      <c r="BM6" s="483"/>
      <c r="BN6" s="483"/>
      <c r="BO6" s="483"/>
      <c r="BP6" s="483"/>
      <c r="BQ6" s="483"/>
      <c r="BR6" s="483"/>
      <c r="BS6" s="483"/>
      <c r="BT6" s="483"/>
      <c r="BU6" s="483"/>
      <c r="BV6" s="483"/>
      <c r="BW6" s="483"/>
      <c r="BX6" s="483"/>
      <c r="BY6" s="483"/>
      <c r="BZ6" s="483"/>
      <c r="CA6" s="483"/>
      <c r="CB6" s="483"/>
      <c r="CC6" s="483"/>
      <c r="CD6" s="483"/>
      <c r="CE6" s="483"/>
      <c r="CF6" s="483"/>
      <c r="CG6" s="483"/>
      <c r="CH6" s="483"/>
      <c r="CI6" s="483"/>
      <c r="CJ6" s="483"/>
      <c r="CK6" s="483"/>
      <c r="CL6" s="483"/>
      <c r="CM6" s="483"/>
      <c r="CN6" s="483"/>
      <c r="CO6" s="483"/>
      <c r="CP6" s="483"/>
      <c r="CQ6" s="483"/>
      <c r="CR6" s="483"/>
      <c r="CS6" s="483"/>
      <c r="CT6" s="483"/>
      <c r="CU6" s="483"/>
      <c r="CV6" s="483"/>
      <c r="CW6" s="483"/>
      <c r="CX6" s="483"/>
      <c r="CY6" s="483"/>
      <c r="CZ6" s="483"/>
      <c r="DA6" s="483"/>
      <c r="DB6" s="483"/>
      <c r="DC6" s="483"/>
      <c r="DD6" s="483"/>
      <c r="DE6" s="483"/>
      <c r="DF6" s="483"/>
      <c r="DG6" s="483"/>
      <c r="DH6" s="483"/>
      <c r="DI6" s="483"/>
      <c r="DJ6" s="483"/>
      <c r="DK6" s="483"/>
      <c r="DL6" s="483"/>
      <c r="DM6" s="483"/>
      <c r="DN6" s="483"/>
      <c r="DO6" s="483"/>
      <c r="DP6" s="483"/>
      <c r="DQ6" s="483"/>
      <c r="DR6" s="483"/>
      <c r="DS6" s="483"/>
      <c r="DT6" s="483"/>
      <c r="DU6" s="483"/>
      <c r="DV6" s="483"/>
      <c r="DW6" s="483"/>
      <c r="DX6" s="483"/>
      <c r="DY6" s="483"/>
      <c r="DZ6" s="483"/>
      <c r="EA6" s="483"/>
      <c r="EB6" s="483"/>
      <c r="EC6" s="483"/>
      <c r="ED6" s="483"/>
      <c r="EE6" s="483"/>
      <c r="EF6" s="483"/>
      <c r="EG6" s="483"/>
      <c r="EH6" s="483"/>
      <c r="EI6" s="483"/>
      <c r="EJ6" s="483"/>
      <c r="EK6" s="483"/>
      <c r="EL6" s="483"/>
      <c r="EM6" s="483"/>
      <c r="EN6" s="483"/>
      <c r="EO6" s="483"/>
      <c r="EP6" s="483"/>
      <c r="EQ6" s="483"/>
      <c r="ER6" s="483"/>
      <c r="ES6" s="483"/>
      <c r="ET6" s="483"/>
      <c r="EU6" s="483"/>
      <c r="EV6" s="483"/>
      <c r="EW6" s="483"/>
      <c r="EX6" s="483"/>
      <c r="EY6" s="483"/>
      <c r="EZ6" s="483"/>
      <c r="FA6" s="483"/>
      <c r="FB6" s="483"/>
      <c r="FC6" s="483"/>
      <c r="FD6" s="483"/>
      <c r="FE6" s="483"/>
      <c r="FF6" s="483"/>
      <c r="FG6" s="483"/>
      <c r="FH6" s="483"/>
      <c r="FI6" s="483"/>
      <c r="FJ6" s="483"/>
      <c r="FK6" s="483"/>
      <c r="FL6" s="483"/>
      <c r="FM6" s="483"/>
      <c r="FN6" s="483"/>
      <c r="FO6" s="483"/>
      <c r="FP6" s="483"/>
      <c r="FQ6" s="483"/>
      <c r="FR6" s="483"/>
      <c r="FS6" s="483"/>
      <c r="FT6" s="483"/>
      <c r="FU6" s="483"/>
      <c r="FV6" s="483"/>
      <c r="FW6" s="483"/>
      <c r="FX6" s="483"/>
      <c r="FY6" s="483"/>
      <c r="FZ6" s="483"/>
      <c r="GA6" s="483"/>
      <c r="GB6" s="483"/>
      <c r="GC6" s="483"/>
      <c r="GD6" s="483"/>
      <c r="GE6" s="483"/>
      <c r="GF6" s="483"/>
      <c r="GG6" s="483"/>
      <c r="GH6" s="483"/>
      <c r="GI6" s="483"/>
      <c r="GJ6" s="483"/>
      <c r="GK6" s="483"/>
      <c r="GL6" s="483"/>
      <c r="GM6" s="483"/>
      <c r="GN6" s="483"/>
      <c r="GO6" s="483"/>
      <c r="GP6" s="483"/>
      <c r="GQ6" s="483"/>
      <c r="GR6" s="483"/>
      <c r="GS6" s="483"/>
      <c r="GT6" s="483"/>
      <c r="GU6" s="483"/>
      <c r="GV6" s="483"/>
      <c r="GW6" s="483"/>
      <c r="GX6" s="483"/>
      <c r="GY6" s="483"/>
      <c r="GZ6" s="483"/>
      <c r="HA6" s="483"/>
      <c r="HB6" s="483"/>
      <c r="HC6" s="483"/>
      <c r="HD6" s="483"/>
      <c r="HE6" s="483"/>
      <c r="HF6" s="483"/>
      <c r="HG6" s="483"/>
      <c r="HH6" s="483"/>
      <c r="HI6" s="483"/>
      <c r="HJ6" s="483"/>
      <c r="HK6" s="483"/>
      <c r="HL6" s="483"/>
      <c r="HM6" s="483"/>
      <c r="HN6" s="483"/>
      <c r="HO6" s="483"/>
      <c r="HP6" s="483"/>
      <c r="HQ6" s="483"/>
      <c r="HR6" s="483"/>
      <c r="HS6" s="483"/>
      <c r="HT6" s="483"/>
      <c r="HU6" s="483"/>
      <c r="HV6" s="483"/>
      <c r="HW6" s="483"/>
      <c r="HX6" s="483"/>
      <c r="HY6" s="483"/>
      <c r="HZ6" s="483"/>
      <c r="IA6" s="483"/>
      <c r="IB6" s="483"/>
      <c r="IC6" s="483"/>
    </row>
    <row r="7" spans="1:237" ht="15">
      <c r="A7" s="237"/>
      <c r="B7" s="36"/>
      <c r="C7" s="36"/>
      <c r="D7" s="906" t="s">
        <v>601</v>
      </c>
      <c r="E7" s="906"/>
      <c r="F7" s="906"/>
      <c r="G7" s="44">
        <f>4.15</f>
        <v>4.1500000000000004</v>
      </c>
      <c r="H7" s="449" t="s">
        <v>469</v>
      </c>
      <c r="I7" s="449"/>
      <c r="J7" s="44">
        <v>3.3</v>
      </c>
      <c r="K7" s="483"/>
      <c r="L7" s="483"/>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3"/>
      <c r="CH7" s="483"/>
      <c r="CI7" s="483"/>
      <c r="CJ7" s="483"/>
      <c r="CK7" s="483"/>
      <c r="CL7" s="483"/>
      <c r="CM7" s="483"/>
      <c r="CN7" s="483"/>
      <c r="CO7" s="483"/>
      <c r="CP7" s="483"/>
      <c r="CQ7" s="483"/>
      <c r="CR7" s="483"/>
      <c r="CS7" s="483"/>
      <c r="CT7" s="483"/>
      <c r="CU7" s="483"/>
      <c r="CV7" s="483"/>
      <c r="CW7" s="483"/>
      <c r="CX7" s="483"/>
      <c r="CY7" s="483"/>
      <c r="CZ7" s="483"/>
      <c r="DA7" s="483"/>
      <c r="DB7" s="483"/>
      <c r="DC7" s="483"/>
      <c r="DD7" s="483"/>
      <c r="DE7" s="483"/>
      <c r="DF7" s="483"/>
      <c r="DG7" s="483"/>
      <c r="DH7" s="483"/>
      <c r="DI7" s="483"/>
      <c r="DJ7" s="483"/>
      <c r="DK7" s="483"/>
      <c r="DL7" s="483"/>
      <c r="DM7" s="483"/>
      <c r="DN7" s="483"/>
      <c r="DO7" s="483"/>
      <c r="DP7" s="483"/>
      <c r="DQ7" s="483"/>
      <c r="DR7" s="483"/>
      <c r="DS7" s="483"/>
      <c r="DT7" s="483"/>
      <c r="DU7" s="483"/>
      <c r="DV7" s="483"/>
      <c r="DW7" s="483"/>
      <c r="DX7" s="483"/>
      <c r="DY7" s="483"/>
      <c r="DZ7" s="483"/>
      <c r="EA7" s="483"/>
      <c r="EB7" s="483"/>
      <c r="EC7" s="483"/>
      <c r="ED7" s="483"/>
      <c r="EE7" s="483"/>
      <c r="EF7" s="483"/>
      <c r="EG7" s="483"/>
      <c r="EH7" s="483"/>
      <c r="EI7" s="483"/>
      <c r="EJ7" s="483"/>
      <c r="EK7" s="483"/>
      <c r="EL7" s="483"/>
      <c r="EM7" s="483"/>
      <c r="EN7" s="483"/>
      <c r="EO7" s="483"/>
      <c r="EP7" s="483"/>
      <c r="EQ7" s="483"/>
      <c r="ER7" s="483"/>
      <c r="ES7" s="483"/>
      <c r="ET7" s="483"/>
      <c r="EU7" s="483"/>
      <c r="EV7" s="483"/>
      <c r="EW7" s="483"/>
      <c r="EX7" s="483"/>
      <c r="EY7" s="483"/>
      <c r="EZ7" s="483"/>
      <c r="FA7" s="483"/>
      <c r="FB7" s="483"/>
      <c r="FC7" s="483"/>
      <c r="FD7" s="483"/>
      <c r="FE7" s="483"/>
      <c r="FF7" s="483"/>
      <c r="FG7" s="483"/>
      <c r="FH7" s="483"/>
      <c r="FI7" s="483"/>
      <c r="FJ7" s="483"/>
      <c r="FK7" s="483"/>
      <c r="FL7" s="483"/>
      <c r="FM7" s="483"/>
      <c r="FN7" s="483"/>
      <c r="FO7" s="483"/>
      <c r="FP7" s="483"/>
      <c r="FQ7" s="483"/>
      <c r="FR7" s="483"/>
      <c r="FS7" s="483"/>
      <c r="FT7" s="483"/>
      <c r="FU7" s="483"/>
      <c r="FV7" s="483"/>
      <c r="FW7" s="483"/>
      <c r="FX7" s="483"/>
      <c r="FY7" s="483"/>
      <c r="FZ7" s="483"/>
      <c r="GA7" s="483"/>
      <c r="GB7" s="483"/>
      <c r="GC7" s="483"/>
      <c r="GD7" s="483"/>
      <c r="GE7" s="483"/>
      <c r="GF7" s="483"/>
      <c r="GG7" s="483"/>
      <c r="GH7" s="483"/>
      <c r="GI7" s="483"/>
      <c r="GJ7" s="483"/>
      <c r="GK7" s="483"/>
      <c r="GL7" s="483"/>
      <c r="GM7" s="483"/>
      <c r="GN7" s="483"/>
      <c r="GO7" s="483"/>
      <c r="GP7" s="483"/>
      <c r="GQ7" s="483"/>
      <c r="GR7" s="483"/>
      <c r="GS7" s="483"/>
      <c r="GT7" s="483"/>
      <c r="GU7" s="483"/>
      <c r="GV7" s="483"/>
      <c r="GW7" s="483"/>
      <c r="GX7" s="483"/>
      <c r="GY7" s="483"/>
      <c r="GZ7" s="483"/>
      <c r="HA7" s="483"/>
      <c r="HB7" s="483"/>
      <c r="HC7" s="483"/>
      <c r="HD7" s="483"/>
      <c r="HE7" s="483"/>
      <c r="HF7" s="483"/>
      <c r="HG7" s="483"/>
      <c r="HH7" s="483"/>
      <c r="HI7" s="483"/>
      <c r="HJ7" s="483"/>
      <c r="HK7" s="483"/>
      <c r="HL7" s="483"/>
      <c r="HM7" s="483"/>
      <c r="HN7" s="483"/>
      <c r="HO7" s="483"/>
      <c r="HP7" s="483"/>
      <c r="HQ7" s="483"/>
      <c r="HR7" s="483"/>
      <c r="HS7" s="483"/>
      <c r="HT7" s="483"/>
      <c r="HU7" s="483"/>
      <c r="HV7" s="483"/>
      <c r="HW7" s="483"/>
      <c r="HX7" s="483"/>
      <c r="HY7" s="483"/>
      <c r="HZ7" s="483"/>
      <c r="IA7" s="483"/>
      <c r="IB7" s="483"/>
      <c r="IC7" s="483"/>
    </row>
    <row r="8" spans="1:237" ht="15">
      <c r="A8" s="236"/>
      <c r="B8" s="36"/>
      <c r="C8" s="236"/>
      <c r="D8" s="906" t="s">
        <v>602</v>
      </c>
      <c r="E8" s="906"/>
      <c r="F8" s="906"/>
      <c r="G8" s="44">
        <f>3.65</f>
        <v>3.65</v>
      </c>
      <c r="H8" s="906" t="s">
        <v>470</v>
      </c>
      <c r="I8" s="906"/>
      <c r="J8" s="44">
        <v>3.2</v>
      </c>
      <c r="K8" s="483"/>
      <c r="L8" s="483"/>
      <c r="M8" s="483"/>
      <c r="N8" s="483"/>
      <c r="O8" s="483"/>
      <c r="P8" s="483"/>
      <c r="Q8" s="483"/>
      <c r="R8" s="483"/>
      <c r="S8" s="483"/>
      <c r="T8" s="483"/>
      <c r="U8" s="483"/>
      <c r="V8" s="483"/>
      <c r="W8" s="483"/>
      <c r="X8" s="483"/>
      <c r="Y8" s="483"/>
      <c r="Z8" s="483"/>
      <c r="AA8" s="483"/>
      <c r="AB8" s="483"/>
      <c r="AC8" s="483"/>
      <c r="AD8" s="483"/>
      <c r="AE8" s="483"/>
      <c r="AF8" s="483"/>
      <c r="AG8" s="483"/>
      <c r="AH8" s="483"/>
      <c r="AI8" s="483"/>
      <c r="AJ8" s="483"/>
      <c r="AK8" s="483"/>
      <c r="AL8" s="483"/>
      <c r="AM8" s="483"/>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3"/>
      <c r="BT8" s="483"/>
      <c r="BU8" s="483"/>
      <c r="BV8" s="483"/>
      <c r="BW8" s="483"/>
      <c r="BX8" s="483"/>
      <c r="BY8" s="483"/>
      <c r="BZ8" s="483"/>
      <c r="CA8" s="483"/>
      <c r="CB8" s="483"/>
      <c r="CC8" s="483"/>
      <c r="CD8" s="483"/>
      <c r="CE8" s="483"/>
      <c r="CF8" s="483"/>
      <c r="CG8" s="483"/>
      <c r="CH8" s="483"/>
      <c r="CI8" s="483"/>
      <c r="CJ8" s="483"/>
      <c r="CK8" s="483"/>
      <c r="CL8" s="483"/>
      <c r="CM8" s="483"/>
      <c r="CN8" s="483"/>
      <c r="CO8" s="483"/>
      <c r="CP8" s="483"/>
      <c r="CQ8" s="483"/>
      <c r="CR8" s="483"/>
      <c r="CS8" s="483"/>
      <c r="CT8" s="483"/>
      <c r="CU8" s="483"/>
      <c r="CV8" s="483"/>
      <c r="CW8" s="483"/>
      <c r="CX8" s="483"/>
      <c r="CY8" s="483"/>
      <c r="CZ8" s="483"/>
      <c r="DA8" s="483"/>
      <c r="DB8" s="483"/>
      <c r="DC8" s="483"/>
      <c r="DD8" s="483"/>
      <c r="DE8" s="483"/>
      <c r="DF8" s="483"/>
      <c r="DG8" s="483"/>
      <c r="DH8" s="483"/>
      <c r="DI8" s="483"/>
      <c r="DJ8" s="483"/>
      <c r="DK8" s="483"/>
      <c r="DL8" s="483"/>
      <c r="DM8" s="483"/>
      <c r="DN8" s="483"/>
      <c r="DO8" s="483"/>
      <c r="DP8" s="483"/>
      <c r="DQ8" s="483"/>
      <c r="DR8" s="483"/>
      <c r="DS8" s="483"/>
      <c r="DT8" s="483"/>
      <c r="DU8" s="483"/>
      <c r="DV8" s="483"/>
      <c r="DW8" s="483"/>
      <c r="DX8" s="483"/>
      <c r="DY8" s="483"/>
      <c r="DZ8" s="483"/>
      <c r="EA8" s="483"/>
      <c r="EB8" s="483"/>
      <c r="EC8" s="483"/>
      <c r="ED8" s="483"/>
      <c r="EE8" s="483"/>
      <c r="EF8" s="483"/>
      <c r="EG8" s="483"/>
      <c r="EH8" s="483"/>
      <c r="EI8" s="483"/>
      <c r="EJ8" s="483"/>
      <c r="EK8" s="483"/>
      <c r="EL8" s="483"/>
      <c r="EM8" s="483"/>
      <c r="EN8" s="483"/>
      <c r="EO8" s="483"/>
      <c r="EP8" s="483"/>
      <c r="EQ8" s="483"/>
      <c r="ER8" s="483"/>
      <c r="ES8" s="483"/>
      <c r="ET8" s="483"/>
      <c r="EU8" s="483"/>
      <c r="EV8" s="483"/>
      <c r="EW8" s="483"/>
      <c r="EX8" s="483"/>
      <c r="EY8" s="483"/>
      <c r="EZ8" s="483"/>
      <c r="FA8" s="483"/>
      <c r="FB8" s="483"/>
      <c r="FC8" s="483"/>
      <c r="FD8" s="483"/>
      <c r="FE8" s="483"/>
      <c r="FF8" s="483"/>
      <c r="FG8" s="483"/>
      <c r="FH8" s="483"/>
      <c r="FI8" s="483"/>
      <c r="FJ8" s="483"/>
      <c r="FK8" s="483"/>
      <c r="FL8" s="483"/>
      <c r="FM8" s="483"/>
      <c r="FN8" s="483"/>
      <c r="FO8" s="483"/>
      <c r="FP8" s="483"/>
      <c r="FQ8" s="483"/>
      <c r="FR8" s="483"/>
      <c r="FS8" s="483"/>
      <c r="FT8" s="483"/>
      <c r="FU8" s="483"/>
      <c r="FV8" s="483"/>
      <c r="FW8" s="483"/>
      <c r="FX8" s="483"/>
      <c r="FY8" s="483"/>
      <c r="FZ8" s="483"/>
      <c r="GA8" s="483"/>
      <c r="GB8" s="483"/>
      <c r="GC8" s="483"/>
      <c r="GD8" s="483"/>
      <c r="GE8" s="483"/>
      <c r="GF8" s="483"/>
      <c r="GG8" s="483"/>
      <c r="GH8" s="483"/>
      <c r="GI8" s="483"/>
      <c r="GJ8" s="483"/>
      <c r="GK8" s="483"/>
      <c r="GL8" s="483"/>
      <c r="GM8" s="483"/>
      <c r="GN8" s="483"/>
      <c r="GO8" s="483"/>
      <c r="GP8" s="483"/>
      <c r="GQ8" s="483"/>
      <c r="GR8" s="483"/>
      <c r="GS8" s="483"/>
      <c r="GT8" s="483"/>
      <c r="GU8" s="483"/>
      <c r="GV8" s="483"/>
      <c r="GW8" s="483"/>
      <c r="GX8" s="483"/>
      <c r="GY8" s="483"/>
      <c r="GZ8" s="483"/>
      <c r="HA8" s="483"/>
      <c r="HB8" s="483"/>
      <c r="HC8" s="483"/>
      <c r="HD8" s="483"/>
      <c r="HE8" s="483"/>
      <c r="HF8" s="483"/>
      <c r="HG8" s="483"/>
      <c r="HH8" s="483"/>
      <c r="HI8" s="483"/>
      <c r="HJ8" s="483"/>
      <c r="HK8" s="483"/>
      <c r="HL8" s="483"/>
      <c r="HM8" s="483"/>
      <c r="HN8" s="483"/>
      <c r="HO8" s="483"/>
      <c r="HP8" s="483"/>
      <c r="HQ8" s="483"/>
      <c r="HR8" s="483"/>
      <c r="HS8" s="483"/>
      <c r="HT8" s="483"/>
      <c r="HU8" s="483"/>
      <c r="HV8" s="483"/>
      <c r="HW8" s="483"/>
      <c r="HX8" s="483"/>
      <c r="HY8" s="483"/>
      <c r="HZ8" s="483"/>
      <c r="IA8" s="483"/>
      <c r="IB8" s="483"/>
      <c r="IC8" s="483"/>
    </row>
    <row r="9" spans="1:237" ht="15">
      <c r="A9" s="236"/>
      <c r="B9" s="36"/>
      <c r="C9" s="236"/>
      <c r="D9" s="906" t="s">
        <v>565</v>
      </c>
      <c r="E9" s="906"/>
      <c r="F9" s="906"/>
      <c r="G9" s="44">
        <v>3.4</v>
      </c>
      <c r="H9" s="906" t="s">
        <v>463</v>
      </c>
      <c r="I9" s="906"/>
      <c r="J9" s="44">
        <v>2</v>
      </c>
      <c r="K9" s="483"/>
      <c r="L9" s="483"/>
      <c r="M9" s="483"/>
      <c r="N9" s="483"/>
      <c r="O9" s="483"/>
      <c r="P9" s="483"/>
      <c r="Q9" s="483"/>
      <c r="R9" s="483"/>
      <c r="S9" s="483"/>
      <c r="T9" s="483"/>
      <c r="U9" s="483"/>
      <c r="V9" s="483"/>
      <c r="W9" s="483"/>
      <c r="X9" s="483"/>
      <c r="Y9" s="483"/>
      <c r="Z9" s="483"/>
      <c r="AA9" s="483"/>
      <c r="AB9" s="483"/>
      <c r="AC9" s="483"/>
      <c r="AD9" s="483"/>
      <c r="AE9" s="483"/>
      <c r="AF9" s="483"/>
      <c r="AG9" s="483"/>
      <c r="AH9" s="483"/>
      <c r="AI9" s="483"/>
      <c r="AJ9" s="483"/>
      <c r="AK9" s="483"/>
      <c r="AL9" s="483"/>
      <c r="AM9" s="483"/>
      <c r="AN9" s="483"/>
      <c r="AO9" s="483"/>
      <c r="AP9" s="483"/>
      <c r="AQ9" s="483"/>
      <c r="AR9" s="483"/>
      <c r="AS9" s="483"/>
      <c r="AT9" s="483"/>
      <c r="AU9" s="483"/>
      <c r="AV9" s="483"/>
      <c r="AW9" s="483"/>
      <c r="AX9" s="483"/>
      <c r="AY9" s="483"/>
      <c r="AZ9" s="483"/>
      <c r="BA9" s="483"/>
      <c r="BB9" s="483"/>
      <c r="BC9" s="483"/>
      <c r="BD9" s="483"/>
      <c r="BE9" s="483"/>
      <c r="BF9" s="483"/>
      <c r="BG9" s="483"/>
      <c r="BH9" s="483"/>
      <c r="BI9" s="483"/>
      <c r="BJ9" s="483"/>
      <c r="BK9" s="483"/>
      <c r="BL9" s="483"/>
      <c r="BM9" s="483"/>
      <c r="BN9" s="483"/>
      <c r="BO9" s="483"/>
      <c r="BP9" s="483"/>
      <c r="BQ9" s="483"/>
      <c r="BR9" s="483"/>
      <c r="BS9" s="483"/>
      <c r="BT9" s="483"/>
      <c r="BU9" s="483"/>
      <c r="BV9" s="483"/>
      <c r="BW9" s="483"/>
      <c r="BX9" s="483"/>
      <c r="BY9" s="483"/>
      <c r="BZ9" s="483"/>
      <c r="CA9" s="483"/>
      <c r="CB9" s="483"/>
      <c r="CC9" s="483"/>
      <c r="CD9" s="483"/>
      <c r="CE9" s="483"/>
      <c r="CF9" s="483"/>
      <c r="CG9" s="483"/>
      <c r="CH9" s="483"/>
      <c r="CI9" s="483"/>
      <c r="CJ9" s="483"/>
      <c r="CK9" s="483"/>
      <c r="CL9" s="483"/>
      <c r="CM9" s="483"/>
      <c r="CN9" s="483"/>
      <c r="CO9" s="483"/>
      <c r="CP9" s="483"/>
      <c r="CQ9" s="483"/>
      <c r="CR9" s="483"/>
      <c r="CS9" s="483"/>
      <c r="CT9" s="483"/>
      <c r="CU9" s="483"/>
      <c r="CV9" s="483"/>
      <c r="CW9" s="483"/>
      <c r="CX9" s="483"/>
      <c r="CY9" s="483"/>
      <c r="CZ9" s="483"/>
      <c r="DA9" s="483"/>
      <c r="DB9" s="483"/>
      <c r="DC9" s="483"/>
      <c r="DD9" s="483"/>
      <c r="DE9" s="483"/>
      <c r="DF9" s="483"/>
      <c r="DG9" s="483"/>
      <c r="DH9" s="483"/>
      <c r="DI9" s="483"/>
      <c r="DJ9" s="483"/>
      <c r="DK9" s="483"/>
      <c r="DL9" s="483"/>
      <c r="DM9" s="483"/>
      <c r="DN9" s="483"/>
      <c r="DO9" s="483"/>
      <c r="DP9" s="483"/>
      <c r="DQ9" s="483"/>
      <c r="DR9" s="483"/>
      <c r="DS9" s="483"/>
      <c r="DT9" s="483"/>
      <c r="DU9" s="483"/>
      <c r="DV9" s="483"/>
      <c r="DW9" s="483"/>
      <c r="DX9" s="483"/>
      <c r="DY9" s="483"/>
      <c r="DZ9" s="483"/>
      <c r="EA9" s="483"/>
      <c r="EB9" s="483"/>
      <c r="EC9" s="483"/>
      <c r="ED9" s="483"/>
      <c r="EE9" s="483"/>
      <c r="EF9" s="483"/>
      <c r="EG9" s="483"/>
      <c r="EH9" s="483"/>
      <c r="EI9" s="483"/>
      <c r="EJ9" s="483"/>
      <c r="EK9" s="483"/>
      <c r="EL9" s="483"/>
      <c r="EM9" s="483"/>
      <c r="EN9" s="483"/>
      <c r="EO9" s="483"/>
      <c r="EP9" s="483"/>
      <c r="EQ9" s="483"/>
      <c r="ER9" s="483"/>
      <c r="ES9" s="483"/>
      <c r="ET9" s="483"/>
      <c r="EU9" s="483"/>
      <c r="EV9" s="483"/>
      <c r="EW9" s="483"/>
      <c r="EX9" s="483"/>
      <c r="EY9" s="483"/>
      <c r="EZ9" s="483"/>
      <c r="FA9" s="483"/>
      <c r="FB9" s="483"/>
      <c r="FC9" s="483"/>
      <c r="FD9" s="483"/>
      <c r="FE9" s="483"/>
      <c r="FF9" s="483"/>
      <c r="FG9" s="483"/>
      <c r="FH9" s="483"/>
      <c r="FI9" s="483"/>
      <c r="FJ9" s="483"/>
      <c r="FK9" s="483"/>
      <c r="FL9" s="483"/>
      <c r="FM9" s="483"/>
      <c r="FN9" s="483"/>
      <c r="FO9" s="483"/>
      <c r="FP9" s="483"/>
      <c r="FQ9" s="483"/>
      <c r="FR9" s="483"/>
      <c r="FS9" s="483"/>
      <c r="FT9" s="483"/>
      <c r="FU9" s="483"/>
      <c r="FV9" s="483"/>
      <c r="FW9" s="483"/>
      <c r="FX9" s="483"/>
      <c r="FY9" s="483"/>
      <c r="FZ9" s="483"/>
      <c r="GA9" s="483"/>
      <c r="GB9" s="483"/>
      <c r="GC9" s="483"/>
      <c r="GD9" s="483"/>
      <c r="GE9" s="483"/>
      <c r="GF9" s="483"/>
      <c r="GG9" s="483"/>
      <c r="GH9" s="483"/>
      <c r="GI9" s="483"/>
      <c r="GJ9" s="483"/>
      <c r="GK9" s="483"/>
      <c r="GL9" s="483"/>
      <c r="GM9" s="483"/>
      <c r="GN9" s="483"/>
      <c r="GO9" s="483"/>
      <c r="GP9" s="483"/>
      <c r="GQ9" s="483"/>
      <c r="GR9" s="483"/>
      <c r="GS9" s="483"/>
      <c r="GT9" s="483"/>
      <c r="GU9" s="483"/>
      <c r="GV9" s="483"/>
      <c r="GW9" s="483"/>
      <c r="GX9" s="483"/>
      <c r="GY9" s="483"/>
      <c r="GZ9" s="483"/>
      <c r="HA9" s="483"/>
      <c r="HB9" s="483"/>
      <c r="HC9" s="483"/>
      <c r="HD9" s="483"/>
      <c r="HE9" s="483"/>
      <c r="HF9" s="483"/>
      <c r="HG9" s="483"/>
      <c r="HH9" s="483"/>
      <c r="HI9" s="483"/>
      <c r="HJ9" s="483"/>
      <c r="HK9" s="483"/>
      <c r="HL9" s="483"/>
      <c r="HM9" s="483"/>
      <c r="HN9" s="483"/>
      <c r="HO9" s="483"/>
      <c r="HP9" s="483"/>
      <c r="HQ9" s="483"/>
      <c r="HR9" s="483"/>
      <c r="HS9" s="483"/>
      <c r="HT9" s="483"/>
      <c r="HU9" s="483"/>
      <c r="HV9" s="483"/>
      <c r="HW9" s="483"/>
      <c r="HX9" s="483"/>
      <c r="HY9" s="483"/>
      <c r="HZ9" s="483"/>
      <c r="IA9" s="483"/>
      <c r="IB9" s="483"/>
      <c r="IC9" s="483"/>
    </row>
    <row r="10" spans="1:237" ht="15">
      <c r="A10" s="22"/>
      <c r="B10" s="23"/>
      <c r="C10" s="23"/>
      <c r="D10" s="449" t="s">
        <v>566</v>
      </c>
      <c r="E10" s="269"/>
      <c r="F10" s="449"/>
      <c r="G10" s="44">
        <v>3.3</v>
      </c>
      <c r="H10" s="906" t="s">
        <v>464</v>
      </c>
      <c r="I10" s="906"/>
      <c r="J10" s="44">
        <v>1.5</v>
      </c>
      <c r="K10" s="483"/>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483"/>
      <c r="BS10" s="483"/>
      <c r="BT10" s="483"/>
      <c r="BU10" s="483"/>
      <c r="BV10" s="483"/>
      <c r="BW10" s="483"/>
      <c r="BX10" s="483"/>
      <c r="BY10" s="483"/>
      <c r="BZ10" s="483"/>
      <c r="CA10" s="483"/>
      <c r="CB10" s="483"/>
      <c r="CC10" s="483"/>
      <c r="CD10" s="483"/>
      <c r="CE10" s="483"/>
      <c r="CF10" s="483"/>
      <c r="CG10" s="483"/>
      <c r="CH10" s="483"/>
      <c r="CI10" s="483"/>
      <c r="CJ10" s="483"/>
      <c r="CK10" s="483"/>
      <c r="CL10" s="483"/>
      <c r="CM10" s="483"/>
      <c r="CN10" s="483"/>
      <c r="CO10" s="483"/>
      <c r="CP10" s="483"/>
      <c r="CQ10" s="483"/>
      <c r="CR10" s="483"/>
      <c r="CS10" s="483"/>
      <c r="CT10" s="483"/>
      <c r="CU10" s="483"/>
      <c r="CV10" s="483"/>
      <c r="CW10" s="483"/>
      <c r="CX10" s="483"/>
      <c r="CY10" s="483"/>
      <c r="CZ10" s="483"/>
      <c r="DA10" s="483"/>
      <c r="DB10" s="483"/>
      <c r="DC10" s="483"/>
      <c r="DD10" s="483"/>
      <c r="DE10" s="483"/>
      <c r="DF10" s="483"/>
      <c r="DG10" s="483"/>
      <c r="DH10" s="483"/>
      <c r="DI10" s="483"/>
      <c r="DJ10" s="483"/>
      <c r="DK10" s="483"/>
      <c r="DL10" s="483"/>
      <c r="DM10" s="483"/>
      <c r="DN10" s="483"/>
      <c r="DO10" s="483"/>
      <c r="DP10" s="483"/>
      <c r="DQ10" s="483"/>
      <c r="DR10" s="483"/>
      <c r="DS10" s="483"/>
      <c r="DT10" s="483"/>
      <c r="DU10" s="483"/>
      <c r="DV10" s="483"/>
      <c r="DW10" s="483"/>
      <c r="DX10" s="483"/>
      <c r="DY10" s="483"/>
      <c r="DZ10" s="483"/>
      <c r="EA10" s="483"/>
      <c r="EB10" s="483"/>
      <c r="EC10" s="483"/>
      <c r="ED10" s="483"/>
      <c r="EE10" s="483"/>
      <c r="EF10" s="483"/>
      <c r="EG10" s="483"/>
      <c r="EH10" s="483"/>
      <c r="EI10" s="483"/>
      <c r="EJ10" s="483"/>
      <c r="EK10" s="483"/>
      <c r="EL10" s="483"/>
      <c r="EM10" s="483"/>
      <c r="EN10" s="483"/>
      <c r="EO10" s="483"/>
      <c r="EP10" s="483"/>
      <c r="EQ10" s="483"/>
      <c r="ER10" s="483"/>
      <c r="ES10" s="483"/>
      <c r="ET10" s="483"/>
      <c r="EU10" s="483"/>
      <c r="EV10" s="483"/>
      <c r="EW10" s="483"/>
      <c r="EX10" s="483"/>
      <c r="EY10" s="483"/>
      <c r="EZ10" s="483"/>
      <c r="FA10" s="483"/>
      <c r="FB10" s="483"/>
      <c r="FC10" s="483"/>
      <c r="FD10" s="483"/>
      <c r="FE10" s="483"/>
      <c r="FF10" s="483"/>
      <c r="FG10" s="483"/>
      <c r="FH10" s="483"/>
      <c r="FI10" s="483"/>
      <c r="FJ10" s="483"/>
      <c r="FK10" s="483"/>
      <c r="FL10" s="483"/>
      <c r="FM10" s="483"/>
      <c r="FN10" s="483"/>
      <c r="FO10" s="483"/>
      <c r="FP10" s="483"/>
      <c r="FQ10" s="483"/>
      <c r="FR10" s="483"/>
      <c r="FS10" s="483"/>
      <c r="FT10" s="483"/>
      <c r="FU10" s="483"/>
      <c r="FV10" s="483"/>
      <c r="FW10" s="483"/>
      <c r="FX10" s="483"/>
      <c r="FY10" s="483"/>
      <c r="FZ10" s="483"/>
      <c r="GA10" s="483"/>
      <c r="GB10" s="483"/>
      <c r="GC10" s="483"/>
      <c r="GD10" s="483"/>
      <c r="GE10" s="483"/>
      <c r="GF10" s="483"/>
      <c r="GG10" s="483"/>
      <c r="GH10" s="483"/>
      <c r="GI10" s="483"/>
      <c r="GJ10" s="483"/>
      <c r="GK10" s="483"/>
      <c r="GL10" s="483"/>
      <c r="GM10" s="483"/>
      <c r="GN10" s="483"/>
      <c r="GO10" s="483"/>
      <c r="GP10" s="483"/>
      <c r="GQ10" s="483"/>
      <c r="GR10" s="483"/>
      <c r="GS10" s="483"/>
      <c r="GT10" s="483"/>
      <c r="GU10" s="483"/>
      <c r="GV10" s="483"/>
      <c r="GW10" s="483"/>
      <c r="GX10" s="483"/>
      <c r="GY10" s="483"/>
      <c r="GZ10" s="483"/>
      <c r="HA10" s="483"/>
      <c r="HB10" s="483"/>
      <c r="HC10" s="483"/>
      <c r="HD10" s="483"/>
      <c r="HE10" s="483"/>
      <c r="HF10" s="483"/>
      <c r="HG10" s="483"/>
      <c r="HH10" s="483"/>
      <c r="HI10" s="483"/>
      <c r="HJ10" s="483"/>
      <c r="HK10" s="483"/>
      <c r="HL10" s="483"/>
      <c r="HM10" s="483"/>
      <c r="HN10" s="483"/>
      <c r="HO10" s="483"/>
      <c r="HP10" s="483"/>
      <c r="HQ10" s="483"/>
      <c r="HR10" s="483"/>
      <c r="HS10" s="483"/>
      <c r="HT10" s="483"/>
      <c r="HU10" s="483"/>
      <c r="HV10" s="483"/>
      <c r="HW10" s="483"/>
      <c r="HX10" s="483"/>
      <c r="HY10" s="483"/>
      <c r="HZ10" s="483"/>
      <c r="IA10" s="483"/>
      <c r="IB10" s="483"/>
      <c r="IC10" s="483"/>
    </row>
    <row r="11" spans="1:237" ht="71.25">
      <c r="A11" s="485" t="s">
        <v>11</v>
      </c>
      <c r="B11" s="486" t="s">
        <v>67</v>
      </c>
      <c r="C11" s="486" t="s">
        <v>68</v>
      </c>
      <c r="D11" s="487" t="s">
        <v>456</v>
      </c>
      <c r="E11" s="487" t="s">
        <v>568</v>
      </c>
      <c r="F11" s="487" t="s">
        <v>567</v>
      </c>
      <c r="G11" s="487" t="s">
        <v>606</v>
      </c>
      <c r="H11" s="25" t="s">
        <v>607</v>
      </c>
      <c r="I11" s="25" t="s">
        <v>946</v>
      </c>
      <c r="J11" s="487" t="s">
        <v>71</v>
      </c>
      <c r="K11" s="483"/>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483"/>
      <c r="BS11" s="483"/>
      <c r="BT11" s="483"/>
      <c r="BU11" s="483"/>
      <c r="BV11" s="483"/>
      <c r="BW11" s="483"/>
      <c r="BX11" s="483"/>
      <c r="BY11" s="483"/>
      <c r="BZ11" s="483"/>
      <c r="CA11" s="483"/>
      <c r="CB11" s="483"/>
      <c r="CC11" s="483"/>
      <c r="CD11" s="483"/>
      <c r="CE11" s="483"/>
      <c r="CF11" s="483"/>
      <c r="CG11" s="483"/>
      <c r="CH11" s="483"/>
      <c r="CI11" s="483"/>
      <c r="CJ11" s="483"/>
      <c r="CK11" s="483"/>
      <c r="CL11" s="483"/>
      <c r="CM11" s="483"/>
      <c r="CN11" s="483"/>
      <c r="CO11" s="483"/>
      <c r="CP11" s="483"/>
      <c r="CQ11" s="483"/>
      <c r="CR11" s="483"/>
      <c r="CS11" s="483"/>
      <c r="CT11" s="483"/>
      <c r="CU11" s="483"/>
      <c r="CV11" s="483"/>
      <c r="CW11" s="483"/>
      <c r="CX11" s="483"/>
      <c r="CY11" s="483"/>
      <c r="CZ11" s="483"/>
      <c r="DA11" s="483"/>
      <c r="DB11" s="483"/>
      <c r="DC11" s="483"/>
      <c r="DD11" s="483"/>
      <c r="DE11" s="483"/>
      <c r="DF11" s="483"/>
      <c r="DG11" s="483"/>
      <c r="DH11" s="483"/>
      <c r="DI11" s="483"/>
      <c r="DJ11" s="483"/>
      <c r="DK11" s="483"/>
      <c r="DL11" s="483"/>
      <c r="DM11" s="483"/>
      <c r="DN11" s="483"/>
      <c r="DO11" s="483"/>
      <c r="DP11" s="483"/>
      <c r="DQ11" s="483"/>
      <c r="DR11" s="483"/>
      <c r="DS11" s="483"/>
      <c r="DT11" s="483"/>
      <c r="DU11" s="483"/>
      <c r="DV11" s="483"/>
      <c r="DW11" s="483"/>
      <c r="DX11" s="483"/>
      <c r="DY11" s="483"/>
      <c r="DZ11" s="483"/>
      <c r="EA11" s="483"/>
      <c r="EB11" s="483"/>
      <c r="EC11" s="483"/>
      <c r="ED11" s="483"/>
      <c r="EE11" s="483"/>
      <c r="EF11" s="483"/>
      <c r="EG11" s="483"/>
      <c r="EH11" s="483"/>
      <c r="EI11" s="483"/>
      <c r="EJ11" s="483"/>
      <c r="EK11" s="483"/>
      <c r="EL11" s="483"/>
      <c r="EM11" s="483"/>
      <c r="EN11" s="483"/>
      <c r="EO11" s="483"/>
      <c r="EP11" s="483"/>
      <c r="EQ11" s="483"/>
      <c r="ER11" s="483"/>
      <c r="ES11" s="483"/>
      <c r="ET11" s="483"/>
      <c r="EU11" s="483"/>
      <c r="EV11" s="483"/>
      <c r="EW11" s="483"/>
      <c r="EX11" s="483"/>
      <c r="EY11" s="483"/>
      <c r="EZ11" s="483"/>
      <c r="FA11" s="483"/>
      <c r="FB11" s="483"/>
      <c r="FC11" s="483"/>
      <c r="FD11" s="483"/>
      <c r="FE11" s="483"/>
      <c r="FF11" s="483"/>
      <c r="FG11" s="483"/>
      <c r="FH11" s="483"/>
      <c r="FI11" s="483"/>
      <c r="FJ11" s="483"/>
      <c r="FK11" s="483"/>
      <c r="FL11" s="483"/>
      <c r="FM11" s="483"/>
      <c r="FN11" s="483"/>
      <c r="FO11" s="483"/>
      <c r="FP11" s="483"/>
      <c r="FQ11" s="483"/>
      <c r="FR11" s="483"/>
      <c r="FS11" s="483"/>
      <c r="FT11" s="483"/>
      <c r="FU11" s="483"/>
      <c r="FV11" s="483"/>
      <c r="FW11" s="483"/>
      <c r="FX11" s="483"/>
      <c r="FY11" s="483"/>
      <c r="FZ11" s="483"/>
      <c r="GA11" s="483"/>
      <c r="GB11" s="483"/>
      <c r="GC11" s="483"/>
      <c r="GD11" s="483"/>
      <c r="GE11" s="483"/>
      <c r="GF11" s="483"/>
      <c r="GG11" s="483"/>
      <c r="GH11" s="483"/>
      <c r="GI11" s="483"/>
      <c r="GJ11" s="483"/>
      <c r="GK11" s="483"/>
      <c r="GL11" s="483"/>
      <c r="GM11" s="483"/>
      <c r="GN11" s="483"/>
      <c r="GO11" s="483"/>
      <c r="GP11" s="483"/>
      <c r="GQ11" s="483"/>
      <c r="GR11" s="483"/>
      <c r="GS11" s="483"/>
      <c r="GT11" s="483"/>
      <c r="GU11" s="483"/>
      <c r="GV11" s="483"/>
      <c r="GW11" s="483"/>
      <c r="GX11" s="483"/>
      <c r="GY11" s="483"/>
      <c r="GZ11" s="483"/>
      <c r="HA11" s="483"/>
      <c r="HB11" s="483"/>
      <c r="HC11" s="483"/>
      <c r="HD11" s="483"/>
      <c r="HE11" s="483"/>
      <c r="HF11" s="483"/>
      <c r="HG11" s="483"/>
      <c r="HH11" s="483"/>
      <c r="HI11" s="483"/>
      <c r="HJ11" s="483"/>
      <c r="HK11" s="483"/>
      <c r="HL11" s="483"/>
      <c r="HM11" s="483"/>
      <c r="HN11" s="483"/>
      <c r="HO11" s="483"/>
      <c r="HP11" s="483"/>
      <c r="HQ11" s="483"/>
      <c r="HR11" s="483"/>
      <c r="HS11" s="483"/>
      <c r="HT11" s="483"/>
      <c r="HU11" s="483"/>
      <c r="HV11" s="483"/>
      <c r="HW11" s="483"/>
      <c r="HX11" s="483"/>
      <c r="HY11" s="483"/>
      <c r="HZ11" s="483"/>
      <c r="IA11" s="483"/>
      <c r="IB11" s="483"/>
      <c r="IC11" s="483"/>
    </row>
    <row r="12" spans="1:237" s="268" customFormat="1" ht="18.75">
      <c r="A12" s="266" t="s">
        <v>457</v>
      </c>
      <c r="B12" s="915" t="s">
        <v>564</v>
      </c>
      <c r="C12" s="916"/>
      <c r="D12" s="916"/>
      <c r="E12" s="916"/>
      <c r="F12" s="916"/>
      <c r="G12" s="509"/>
      <c r="H12" s="510"/>
      <c r="I12" s="510"/>
      <c r="J12" s="510">
        <f>SUM(J13:J25)</f>
        <v>202.93600000000001</v>
      </c>
      <c r="K12" s="267"/>
    </row>
    <row r="13" spans="1:237" ht="15.75">
      <c r="A13" s="74">
        <v>1</v>
      </c>
      <c r="B13" s="245" t="s">
        <v>181</v>
      </c>
      <c r="C13" s="244"/>
      <c r="E13" s="21"/>
      <c r="F13" s="490"/>
      <c r="G13" s="21"/>
      <c r="H13" s="44">
        <f>SUM(H14:H18)</f>
        <v>99.063000000000017</v>
      </c>
      <c r="I13" s="27"/>
      <c r="J13" s="487">
        <f>H13</f>
        <v>99.063000000000017</v>
      </c>
      <c r="K13" s="483"/>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483"/>
      <c r="BS13" s="483"/>
      <c r="BT13" s="483"/>
      <c r="BU13" s="483"/>
      <c r="BV13" s="483"/>
      <c r="BW13" s="483"/>
      <c r="BX13" s="483"/>
      <c r="BY13" s="483"/>
      <c r="BZ13" s="483"/>
      <c r="CA13" s="483"/>
      <c r="CB13" s="483"/>
      <c r="CC13" s="483"/>
      <c r="CD13" s="483"/>
      <c r="CE13" s="483"/>
      <c r="CF13" s="483"/>
      <c r="CG13" s="483"/>
      <c r="CH13" s="483"/>
      <c r="CI13" s="483"/>
      <c r="CJ13" s="483"/>
      <c r="CK13" s="483"/>
      <c r="CL13" s="483"/>
      <c r="CM13" s="483"/>
      <c r="CN13" s="483"/>
      <c r="CO13" s="483"/>
      <c r="CP13" s="483"/>
      <c r="CQ13" s="483"/>
      <c r="CR13" s="483"/>
      <c r="CS13" s="483"/>
      <c r="CT13" s="483"/>
      <c r="CU13" s="483"/>
      <c r="CV13" s="483"/>
      <c r="CW13" s="483"/>
      <c r="CX13" s="483"/>
      <c r="CY13" s="483"/>
      <c r="CZ13" s="483"/>
      <c r="DA13" s="483"/>
      <c r="DB13" s="483"/>
      <c r="DC13" s="483"/>
      <c r="DD13" s="483"/>
      <c r="DE13" s="483"/>
      <c r="DF13" s="483"/>
      <c r="DG13" s="483"/>
      <c r="DH13" s="483"/>
      <c r="DI13" s="483"/>
      <c r="DJ13" s="483"/>
      <c r="DK13" s="483"/>
      <c r="DL13" s="483"/>
      <c r="DM13" s="483"/>
      <c r="DN13" s="483"/>
      <c r="DO13" s="483"/>
      <c r="DP13" s="483"/>
      <c r="DQ13" s="483"/>
      <c r="DR13" s="483"/>
      <c r="DS13" s="483"/>
      <c r="DT13" s="483"/>
      <c r="DU13" s="483"/>
      <c r="DV13" s="483"/>
      <c r="DW13" s="483"/>
      <c r="DX13" s="483"/>
      <c r="DY13" s="483"/>
      <c r="DZ13" s="483"/>
      <c r="EA13" s="483"/>
      <c r="EB13" s="483"/>
      <c r="EC13" s="483"/>
      <c r="ED13" s="483"/>
      <c r="EE13" s="483"/>
      <c r="EF13" s="483"/>
      <c r="EG13" s="483"/>
      <c r="EH13" s="483"/>
      <c r="EI13" s="483"/>
      <c r="EJ13" s="483"/>
      <c r="EK13" s="483"/>
      <c r="EL13" s="483"/>
      <c r="EM13" s="483"/>
      <c r="EN13" s="483"/>
      <c r="EO13" s="483"/>
      <c r="EP13" s="483"/>
      <c r="EQ13" s="483"/>
      <c r="ER13" s="483"/>
      <c r="ES13" s="483"/>
      <c r="ET13" s="483"/>
      <c r="EU13" s="483"/>
      <c r="EV13" s="483"/>
      <c r="EW13" s="483"/>
      <c r="EX13" s="483"/>
      <c r="EY13" s="483"/>
      <c r="EZ13" s="483"/>
      <c r="FA13" s="483"/>
      <c r="FB13" s="483"/>
      <c r="FC13" s="483"/>
      <c r="FD13" s="483"/>
      <c r="FE13" s="483"/>
      <c r="FF13" s="483"/>
      <c r="FG13" s="483"/>
      <c r="FH13" s="483"/>
      <c r="FI13" s="483"/>
      <c r="FJ13" s="483"/>
      <c r="FK13" s="483"/>
      <c r="FL13" s="483"/>
      <c r="FM13" s="483"/>
      <c r="FN13" s="483"/>
      <c r="FO13" s="483"/>
      <c r="FP13" s="483"/>
      <c r="FQ13" s="483"/>
      <c r="FR13" s="483"/>
      <c r="FS13" s="483"/>
      <c r="FT13" s="483"/>
      <c r="FU13" s="483"/>
      <c r="FV13" s="483"/>
      <c r="FW13" s="483"/>
      <c r="FX13" s="483"/>
      <c r="FY13" s="483"/>
      <c r="FZ13" s="483"/>
      <c r="GA13" s="483"/>
      <c r="GB13" s="483"/>
      <c r="GC13" s="483"/>
      <c r="GD13" s="483"/>
      <c r="GE13" s="483"/>
      <c r="GF13" s="483"/>
      <c r="GG13" s="483"/>
      <c r="GH13" s="483"/>
      <c r="GI13" s="483"/>
      <c r="GJ13" s="483"/>
      <c r="GK13" s="483"/>
      <c r="GL13" s="483"/>
      <c r="GM13" s="483"/>
      <c r="GN13" s="483"/>
      <c r="GO13" s="483"/>
      <c r="GP13" s="483"/>
      <c r="GQ13" s="483"/>
      <c r="GR13" s="483"/>
      <c r="GS13" s="483"/>
      <c r="GT13" s="483"/>
      <c r="GU13" s="483"/>
      <c r="GV13" s="483"/>
      <c r="GW13" s="483"/>
      <c r="GX13" s="483"/>
      <c r="GY13" s="483"/>
      <c r="GZ13" s="483"/>
      <c r="HA13" s="483"/>
      <c r="HB13" s="483"/>
      <c r="HC13" s="483"/>
      <c r="HD13" s="483"/>
      <c r="HE13" s="483"/>
      <c r="HF13" s="483"/>
      <c r="HG13" s="483"/>
      <c r="HH13" s="483"/>
      <c r="HI13" s="483"/>
      <c r="HJ13" s="483"/>
      <c r="HK13" s="483"/>
      <c r="HL13" s="483"/>
      <c r="HM13" s="483"/>
      <c r="HN13" s="483"/>
      <c r="HO13" s="483"/>
      <c r="HP13" s="483"/>
      <c r="HQ13" s="483"/>
      <c r="HR13" s="483"/>
      <c r="HS13" s="483"/>
      <c r="HT13" s="483"/>
      <c r="HU13" s="483"/>
      <c r="HV13" s="483"/>
      <c r="HW13" s="483"/>
      <c r="HX13" s="483"/>
      <c r="HY13" s="483"/>
      <c r="HZ13" s="483"/>
      <c r="IA13" s="483"/>
      <c r="IB13" s="483"/>
      <c r="IC13" s="483"/>
    </row>
    <row r="14" spans="1:237" ht="15.75">
      <c r="A14" s="74"/>
      <c r="B14" s="252" t="s">
        <v>570</v>
      </c>
      <c r="C14" s="244" t="s">
        <v>560</v>
      </c>
      <c r="D14" s="21">
        <f>$G$9-$J$9</f>
        <v>1.4</v>
      </c>
      <c r="E14" s="21">
        <v>11</v>
      </c>
      <c r="F14" s="490">
        <f>1.109+3.529+1.958+22.506+6.587+1.863</f>
        <v>37.552</v>
      </c>
      <c r="G14" s="21"/>
      <c r="H14" s="21">
        <f>SUM(D14:F14)</f>
        <v>49.951999999999998</v>
      </c>
      <c r="I14" s="27"/>
      <c r="J14" s="487"/>
      <c r="K14" s="483"/>
      <c r="L14" s="483"/>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483"/>
      <c r="BS14" s="483"/>
      <c r="BT14" s="483"/>
      <c r="BU14" s="483"/>
      <c r="BV14" s="483"/>
      <c r="BW14" s="483"/>
      <c r="BX14" s="483"/>
      <c r="BY14" s="483"/>
      <c r="BZ14" s="483"/>
      <c r="CA14" s="483"/>
      <c r="CB14" s="483"/>
      <c r="CC14" s="483"/>
      <c r="CD14" s="483"/>
      <c r="CE14" s="483"/>
      <c r="CF14" s="483"/>
      <c r="CG14" s="483"/>
      <c r="CH14" s="483"/>
      <c r="CI14" s="483"/>
      <c r="CJ14" s="483"/>
      <c r="CK14" s="483"/>
      <c r="CL14" s="483"/>
      <c r="CM14" s="483"/>
      <c r="CN14" s="483"/>
      <c r="CO14" s="483"/>
      <c r="CP14" s="483"/>
      <c r="CQ14" s="483"/>
      <c r="CR14" s="483"/>
      <c r="CS14" s="483"/>
      <c r="CT14" s="483"/>
      <c r="CU14" s="483"/>
      <c r="CV14" s="483"/>
      <c r="CW14" s="483"/>
      <c r="CX14" s="483"/>
      <c r="CY14" s="483"/>
      <c r="CZ14" s="483"/>
      <c r="DA14" s="483"/>
      <c r="DB14" s="483"/>
      <c r="DC14" s="483"/>
      <c r="DD14" s="483"/>
      <c r="DE14" s="483"/>
      <c r="DF14" s="483"/>
      <c r="DG14" s="483"/>
      <c r="DH14" s="483"/>
      <c r="DI14" s="483"/>
      <c r="DJ14" s="483"/>
      <c r="DK14" s="483"/>
      <c r="DL14" s="483"/>
      <c r="DM14" s="483"/>
      <c r="DN14" s="483"/>
      <c r="DO14" s="483"/>
      <c r="DP14" s="483"/>
      <c r="DQ14" s="483"/>
      <c r="DR14" s="483"/>
      <c r="DS14" s="483"/>
      <c r="DT14" s="483"/>
      <c r="DU14" s="483"/>
      <c r="DV14" s="483"/>
      <c r="DW14" s="483"/>
      <c r="DX14" s="483"/>
      <c r="DY14" s="483"/>
      <c r="DZ14" s="483"/>
      <c r="EA14" s="483"/>
      <c r="EB14" s="483"/>
      <c r="EC14" s="483"/>
      <c r="ED14" s="483"/>
      <c r="EE14" s="483"/>
      <c r="EF14" s="483"/>
      <c r="EG14" s="483"/>
      <c r="EH14" s="483"/>
      <c r="EI14" s="483"/>
      <c r="EJ14" s="483"/>
      <c r="EK14" s="483"/>
      <c r="EL14" s="483"/>
      <c r="EM14" s="483"/>
      <c r="EN14" s="483"/>
      <c r="EO14" s="483"/>
      <c r="EP14" s="483"/>
      <c r="EQ14" s="483"/>
      <c r="ER14" s="483"/>
      <c r="ES14" s="483"/>
      <c r="ET14" s="483"/>
      <c r="EU14" s="483"/>
      <c r="EV14" s="483"/>
      <c r="EW14" s="483"/>
      <c r="EX14" s="483"/>
      <c r="EY14" s="483"/>
      <c r="EZ14" s="483"/>
      <c r="FA14" s="483"/>
      <c r="FB14" s="483"/>
      <c r="FC14" s="483"/>
      <c r="FD14" s="483"/>
      <c r="FE14" s="483"/>
      <c r="FF14" s="483"/>
      <c r="FG14" s="483"/>
      <c r="FH14" s="483"/>
      <c r="FI14" s="483"/>
      <c r="FJ14" s="483"/>
      <c r="FK14" s="483"/>
      <c r="FL14" s="483"/>
      <c r="FM14" s="483"/>
      <c r="FN14" s="483"/>
      <c r="FO14" s="483"/>
      <c r="FP14" s="483"/>
      <c r="FQ14" s="483"/>
      <c r="FR14" s="483"/>
      <c r="FS14" s="483"/>
      <c r="FT14" s="483"/>
      <c r="FU14" s="483"/>
      <c r="FV14" s="483"/>
      <c r="FW14" s="483"/>
      <c r="FX14" s="483"/>
      <c r="FY14" s="483"/>
      <c r="FZ14" s="483"/>
      <c r="GA14" s="483"/>
      <c r="GB14" s="483"/>
      <c r="GC14" s="483"/>
      <c r="GD14" s="483"/>
      <c r="GE14" s="483"/>
      <c r="GF14" s="483"/>
      <c r="GG14" s="483"/>
      <c r="GH14" s="483"/>
      <c r="GI14" s="483"/>
      <c r="GJ14" s="483"/>
      <c r="GK14" s="483"/>
      <c r="GL14" s="483"/>
      <c r="GM14" s="483"/>
      <c r="GN14" s="483"/>
      <c r="GO14" s="483"/>
      <c r="GP14" s="483"/>
      <c r="GQ14" s="483"/>
      <c r="GR14" s="483"/>
      <c r="GS14" s="483"/>
      <c r="GT14" s="483"/>
      <c r="GU14" s="483"/>
      <c r="GV14" s="483"/>
      <c r="GW14" s="483"/>
      <c r="GX14" s="483"/>
      <c r="GY14" s="483"/>
      <c r="GZ14" s="483"/>
      <c r="HA14" s="483"/>
      <c r="HB14" s="483"/>
      <c r="HC14" s="483"/>
      <c r="HD14" s="483"/>
      <c r="HE14" s="483"/>
      <c r="HF14" s="483"/>
      <c r="HG14" s="483"/>
      <c r="HH14" s="483"/>
      <c r="HI14" s="483"/>
      <c r="HJ14" s="483"/>
      <c r="HK14" s="483"/>
      <c r="HL14" s="483"/>
      <c r="HM14" s="483"/>
      <c r="HN14" s="483"/>
      <c r="HO14" s="483"/>
      <c r="HP14" s="483"/>
      <c r="HQ14" s="483"/>
      <c r="HR14" s="483"/>
      <c r="HS14" s="483"/>
      <c r="HT14" s="483"/>
      <c r="HU14" s="483"/>
      <c r="HV14" s="483"/>
      <c r="HW14" s="483"/>
      <c r="HX14" s="483"/>
      <c r="HY14" s="483"/>
      <c r="HZ14" s="483"/>
      <c r="IA14" s="483"/>
      <c r="IB14" s="483"/>
      <c r="IC14" s="483"/>
    </row>
    <row r="15" spans="1:237" ht="15.75">
      <c r="A15" s="74"/>
      <c r="B15" s="252" t="s">
        <v>571</v>
      </c>
      <c r="C15" s="244" t="s">
        <v>560</v>
      </c>
      <c r="D15" s="21"/>
      <c r="E15" s="21"/>
      <c r="F15" s="490">
        <f>1.734+(3.529-0.287)+26.634+2.1+1.582+0.518+0.332+0.987+0.463</f>
        <v>37.592000000000006</v>
      </c>
      <c r="G15" s="21"/>
      <c r="H15" s="21">
        <f>SUM(D15:F15)</f>
        <v>37.592000000000006</v>
      </c>
      <c r="I15" s="27"/>
      <c r="J15" s="487"/>
      <c r="K15" s="483"/>
      <c r="L15" s="483"/>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483"/>
      <c r="BS15" s="483"/>
      <c r="BT15" s="483"/>
      <c r="BU15" s="483"/>
      <c r="BV15" s="483"/>
      <c r="BW15" s="483"/>
      <c r="BX15" s="483"/>
      <c r="BY15" s="483"/>
      <c r="BZ15" s="483"/>
      <c r="CA15" s="483"/>
      <c r="CB15" s="483"/>
      <c r="CC15" s="483"/>
      <c r="CD15" s="483"/>
      <c r="CE15" s="483"/>
      <c r="CF15" s="483"/>
      <c r="CG15" s="483"/>
      <c r="CH15" s="483"/>
      <c r="CI15" s="483"/>
      <c r="CJ15" s="483"/>
      <c r="CK15" s="483"/>
      <c r="CL15" s="483"/>
      <c r="CM15" s="483"/>
      <c r="CN15" s="483"/>
      <c r="CO15" s="483"/>
      <c r="CP15" s="483"/>
      <c r="CQ15" s="483"/>
      <c r="CR15" s="483"/>
      <c r="CS15" s="483"/>
      <c r="CT15" s="483"/>
      <c r="CU15" s="483"/>
      <c r="CV15" s="483"/>
      <c r="CW15" s="483"/>
      <c r="CX15" s="483"/>
      <c r="CY15" s="483"/>
      <c r="CZ15" s="483"/>
      <c r="DA15" s="483"/>
      <c r="DB15" s="483"/>
      <c r="DC15" s="483"/>
      <c r="DD15" s="483"/>
      <c r="DE15" s="483"/>
      <c r="DF15" s="483"/>
      <c r="DG15" s="483"/>
      <c r="DH15" s="483"/>
      <c r="DI15" s="483"/>
      <c r="DJ15" s="483"/>
      <c r="DK15" s="483"/>
      <c r="DL15" s="483"/>
      <c r="DM15" s="483"/>
      <c r="DN15" s="483"/>
      <c r="DO15" s="483"/>
      <c r="DP15" s="483"/>
      <c r="DQ15" s="483"/>
      <c r="DR15" s="483"/>
      <c r="DS15" s="483"/>
      <c r="DT15" s="483"/>
      <c r="DU15" s="483"/>
      <c r="DV15" s="483"/>
      <c r="DW15" s="483"/>
      <c r="DX15" s="483"/>
      <c r="DY15" s="483"/>
      <c r="DZ15" s="483"/>
      <c r="EA15" s="483"/>
      <c r="EB15" s="483"/>
      <c r="EC15" s="483"/>
      <c r="ED15" s="483"/>
      <c r="EE15" s="483"/>
      <c r="EF15" s="483"/>
      <c r="EG15" s="483"/>
      <c r="EH15" s="483"/>
      <c r="EI15" s="483"/>
      <c r="EJ15" s="483"/>
      <c r="EK15" s="483"/>
      <c r="EL15" s="483"/>
      <c r="EM15" s="483"/>
      <c r="EN15" s="483"/>
      <c r="EO15" s="483"/>
      <c r="EP15" s="483"/>
      <c r="EQ15" s="483"/>
      <c r="ER15" s="483"/>
      <c r="ES15" s="483"/>
      <c r="ET15" s="483"/>
      <c r="EU15" s="483"/>
      <c r="EV15" s="483"/>
      <c r="EW15" s="483"/>
      <c r="EX15" s="483"/>
      <c r="EY15" s="483"/>
      <c r="EZ15" s="483"/>
      <c r="FA15" s="483"/>
      <c r="FB15" s="483"/>
      <c r="FC15" s="483"/>
      <c r="FD15" s="483"/>
      <c r="FE15" s="483"/>
      <c r="FF15" s="483"/>
      <c r="FG15" s="483"/>
      <c r="FH15" s="483"/>
      <c r="FI15" s="483"/>
      <c r="FJ15" s="483"/>
      <c r="FK15" s="483"/>
      <c r="FL15" s="483"/>
      <c r="FM15" s="483"/>
      <c r="FN15" s="483"/>
      <c r="FO15" s="483"/>
      <c r="FP15" s="483"/>
      <c r="FQ15" s="483"/>
      <c r="FR15" s="483"/>
      <c r="FS15" s="483"/>
      <c r="FT15" s="483"/>
      <c r="FU15" s="483"/>
      <c r="FV15" s="483"/>
      <c r="FW15" s="483"/>
      <c r="FX15" s="483"/>
      <c r="FY15" s="483"/>
      <c r="FZ15" s="483"/>
      <c r="GA15" s="483"/>
      <c r="GB15" s="483"/>
      <c r="GC15" s="483"/>
      <c r="GD15" s="483"/>
      <c r="GE15" s="483"/>
      <c r="GF15" s="483"/>
      <c r="GG15" s="483"/>
      <c r="GH15" s="483"/>
      <c r="GI15" s="483"/>
      <c r="GJ15" s="483"/>
      <c r="GK15" s="483"/>
      <c r="GL15" s="483"/>
      <c r="GM15" s="483"/>
      <c r="GN15" s="483"/>
      <c r="GO15" s="483"/>
      <c r="GP15" s="483"/>
      <c r="GQ15" s="483"/>
      <c r="GR15" s="483"/>
      <c r="GS15" s="483"/>
      <c r="GT15" s="483"/>
      <c r="GU15" s="483"/>
      <c r="GV15" s="483"/>
      <c r="GW15" s="483"/>
      <c r="GX15" s="483"/>
      <c r="GY15" s="483"/>
      <c r="GZ15" s="483"/>
      <c r="HA15" s="483"/>
      <c r="HB15" s="483"/>
      <c r="HC15" s="483"/>
      <c r="HD15" s="483"/>
      <c r="HE15" s="483"/>
      <c r="HF15" s="483"/>
      <c r="HG15" s="483"/>
      <c r="HH15" s="483"/>
      <c r="HI15" s="483"/>
      <c r="HJ15" s="483"/>
      <c r="HK15" s="483"/>
      <c r="HL15" s="483"/>
      <c r="HM15" s="483"/>
      <c r="HN15" s="483"/>
      <c r="HO15" s="483"/>
      <c r="HP15" s="483"/>
      <c r="HQ15" s="483"/>
      <c r="HR15" s="483"/>
      <c r="HS15" s="483"/>
      <c r="HT15" s="483"/>
      <c r="HU15" s="483"/>
      <c r="HV15" s="483"/>
      <c r="HW15" s="483"/>
      <c r="HX15" s="483"/>
      <c r="HY15" s="483"/>
      <c r="HZ15" s="483"/>
      <c r="IA15" s="483"/>
      <c r="IB15" s="483"/>
      <c r="IC15" s="483"/>
    </row>
    <row r="16" spans="1:237" ht="15.75">
      <c r="A16" s="74"/>
      <c r="B16" s="252" t="s">
        <v>569</v>
      </c>
      <c r="C16" s="244" t="s">
        <v>583</v>
      </c>
      <c r="D16" s="21"/>
      <c r="E16" s="21">
        <v>4.4000000000000004</v>
      </c>
      <c r="F16" s="490"/>
      <c r="G16" s="21"/>
      <c r="H16" s="21">
        <f>SUM(D16:F16)</f>
        <v>4.4000000000000004</v>
      </c>
      <c r="I16" s="27"/>
      <c r="J16" s="487"/>
      <c r="K16" s="483"/>
      <c r="L16" s="483"/>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483"/>
      <c r="BS16" s="483"/>
      <c r="BT16" s="483"/>
      <c r="BU16" s="483"/>
      <c r="BV16" s="483"/>
      <c r="BW16" s="483"/>
      <c r="BX16" s="483"/>
      <c r="BY16" s="483"/>
      <c r="BZ16" s="483"/>
      <c r="CA16" s="483"/>
      <c r="CB16" s="483"/>
      <c r="CC16" s="483"/>
      <c r="CD16" s="483"/>
      <c r="CE16" s="483"/>
      <c r="CF16" s="483"/>
      <c r="CG16" s="483"/>
      <c r="CH16" s="483"/>
      <c r="CI16" s="483"/>
      <c r="CJ16" s="483"/>
      <c r="CK16" s="483"/>
      <c r="CL16" s="483"/>
      <c r="CM16" s="483"/>
      <c r="CN16" s="483"/>
      <c r="CO16" s="483"/>
      <c r="CP16" s="483"/>
      <c r="CQ16" s="483"/>
      <c r="CR16" s="483"/>
      <c r="CS16" s="483"/>
      <c r="CT16" s="483"/>
      <c r="CU16" s="483"/>
      <c r="CV16" s="483"/>
      <c r="CW16" s="483"/>
      <c r="CX16" s="483"/>
      <c r="CY16" s="483"/>
      <c r="CZ16" s="483"/>
      <c r="DA16" s="483"/>
      <c r="DB16" s="483"/>
      <c r="DC16" s="483"/>
      <c r="DD16" s="483"/>
      <c r="DE16" s="483"/>
      <c r="DF16" s="483"/>
      <c r="DG16" s="483"/>
      <c r="DH16" s="483"/>
      <c r="DI16" s="483"/>
      <c r="DJ16" s="483"/>
      <c r="DK16" s="483"/>
      <c r="DL16" s="483"/>
      <c r="DM16" s="483"/>
      <c r="DN16" s="483"/>
      <c r="DO16" s="483"/>
      <c r="DP16" s="483"/>
      <c r="DQ16" s="483"/>
      <c r="DR16" s="483"/>
      <c r="DS16" s="483"/>
      <c r="DT16" s="483"/>
      <c r="DU16" s="483"/>
      <c r="DV16" s="483"/>
      <c r="DW16" s="483"/>
      <c r="DX16" s="483"/>
      <c r="DY16" s="483"/>
      <c r="DZ16" s="483"/>
      <c r="EA16" s="483"/>
      <c r="EB16" s="483"/>
      <c r="EC16" s="483"/>
      <c r="ED16" s="483"/>
      <c r="EE16" s="483"/>
      <c r="EF16" s="483"/>
      <c r="EG16" s="483"/>
      <c r="EH16" s="483"/>
      <c r="EI16" s="483"/>
      <c r="EJ16" s="483"/>
      <c r="EK16" s="483"/>
      <c r="EL16" s="483"/>
      <c r="EM16" s="483"/>
      <c r="EN16" s="483"/>
      <c r="EO16" s="483"/>
      <c r="EP16" s="483"/>
      <c r="EQ16" s="483"/>
      <c r="ER16" s="483"/>
      <c r="ES16" s="483"/>
      <c r="ET16" s="483"/>
      <c r="EU16" s="483"/>
      <c r="EV16" s="483"/>
      <c r="EW16" s="483"/>
      <c r="EX16" s="483"/>
      <c r="EY16" s="483"/>
      <c r="EZ16" s="483"/>
      <c r="FA16" s="483"/>
      <c r="FB16" s="483"/>
      <c r="FC16" s="483"/>
      <c r="FD16" s="483"/>
      <c r="FE16" s="483"/>
      <c r="FF16" s="483"/>
      <c r="FG16" s="483"/>
      <c r="FH16" s="483"/>
      <c r="FI16" s="483"/>
      <c r="FJ16" s="483"/>
      <c r="FK16" s="483"/>
      <c r="FL16" s="483"/>
      <c r="FM16" s="483"/>
      <c r="FN16" s="483"/>
      <c r="FO16" s="483"/>
      <c r="FP16" s="483"/>
      <c r="FQ16" s="483"/>
      <c r="FR16" s="483"/>
      <c r="FS16" s="483"/>
      <c r="FT16" s="483"/>
      <c r="FU16" s="483"/>
      <c r="FV16" s="483"/>
      <c r="FW16" s="483"/>
      <c r="FX16" s="483"/>
      <c r="FY16" s="483"/>
      <c r="FZ16" s="483"/>
      <c r="GA16" s="483"/>
      <c r="GB16" s="483"/>
      <c r="GC16" s="483"/>
      <c r="GD16" s="483"/>
      <c r="GE16" s="483"/>
      <c r="GF16" s="483"/>
      <c r="GG16" s="483"/>
      <c r="GH16" s="483"/>
      <c r="GI16" s="483"/>
      <c r="GJ16" s="483"/>
      <c r="GK16" s="483"/>
      <c r="GL16" s="483"/>
      <c r="GM16" s="483"/>
      <c r="GN16" s="483"/>
      <c r="GO16" s="483"/>
      <c r="GP16" s="483"/>
      <c r="GQ16" s="483"/>
      <c r="GR16" s="483"/>
      <c r="GS16" s="483"/>
      <c r="GT16" s="483"/>
      <c r="GU16" s="483"/>
      <c r="GV16" s="483"/>
      <c r="GW16" s="483"/>
      <c r="GX16" s="483"/>
      <c r="GY16" s="483"/>
      <c r="GZ16" s="483"/>
      <c r="HA16" s="483"/>
      <c r="HB16" s="483"/>
      <c r="HC16" s="483"/>
      <c r="HD16" s="483"/>
      <c r="HE16" s="483"/>
      <c r="HF16" s="483"/>
      <c r="HG16" s="483"/>
      <c r="HH16" s="483"/>
      <c r="HI16" s="483"/>
      <c r="HJ16" s="483"/>
      <c r="HK16" s="483"/>
      <c r="HL16" s="483"/>
      <c r="HM16" s="483"/>
      <c r="HN16" s="483"/>
      <c r="HO16" s="483"/>
      <c r="HP16" s="483"/>
      <c r="HQ16" s="483"/>
      <c r="HR16" s="483"/>
      <c r="HS16" s="483"/>
      <c r="HT16" s="483"/>
      <c r="HU16" s="483"/>
      <c r="HV16" s="483"/>
      <c r="HW16" s="483"/>
      <c r="HX16" s="483"/>
      <c r="HY16" s="483"/>
      <c r="HZ16" s="483"/>
      <c r="IA16" s="483"/>
      <c r="IB16" s="483"/>
      <c r="IC16" s="483"/>
    </row>
    <row r="17" spans="1:237" ht="15.75">
      <c r="A17" s="74"/>
      <c r="B17" s="252" t="s">
        <v>573</v>
      </c>
      <c r="C17" s="244" t="s">
        <v>583</v>
      </c>
      <c r="D17" s="21"/>
      <c r="E17" s="21">
        <f>4.4+1.5</f>
        <v>5.9</v>
      </c>
      <c r="F17" s="490"/>
      <c r="G17" s="21"/>
      <c r="H17" s="21">
        <f>SUM(D17:F17)</f>
        <v>5.9</v>
      </c>
      <c r="I17" s="27"/>
      <c r="J17" s="487"/>
      <c r="K17" s="483"/>
      <c r="L17" s="483"/>
      <c r="M17" s="483"/>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483"/>
      <c r="BS17" s="483"/>
      <c r="BT17" s="483"/>
      <c r="BU17" s="483"/>
      <c r="BV17" s="483"/>
      <c r="BW17" s="483"/>
      <c r="BX17" s="483"/>
      <c r="BY17" s="483"/>
      <c r="BZ17" s="483"/>
      <c r="CA17" s="483"/>
      <c r="CB17" s="483"/>
      <c r="CC17" s="483"/>
      <c r="CD17" s="483"/>
      <c r="CE17" s="483"/>
      <c r="CF17" s="483"/>
      <c r="CG17" s="483"/>
      <c r="CH17" s="483"/>
      <c r="CI17" s="483"/>
      <c r="CJ17" s="483"/>
      <c r="CK17" s="483"/>
      <c r="CL17" s="483"/>
      <c r="CM17" s="483"/>
      <c r="CN17" s="483"/>
      <c r="CO17" s="483"/>
      <c r="CP17" s="483"/>
      <c r="CQ17" s="483"/>
      <c r="CR17" s="483"/>
      <c r="CS17" s="483"/>
      <c r="CT17" s="483"/>
      <c r="CU17" s="483"/>
      <c r="CV17" s="483"/>
      <c r="CW17" s="483"/>
      <c r="CX17" s="483"/>
      <c r="CY17" s="483"/>
      <c r="CZ17" s="483"/>
      <c r="DA17" s="483"/>
      <c r="DB17" s="483"/>
      <c r="DC17" s="483"/>
      <c r="DD17" s="483"/>
      <c r="DE17" s="483"/>
      <c r="DF17" s="483"/>
      <c r="DG17" s="483"/>
      <c r="DH17" s="483"/>
      <c r="DI17" s="483"/>
      <c r="DJ17" s="483"/>
      <c r="DK17" s="483"/>
      <c r="DL17" s="483"/>
      <c r="DM17" s="483"/>
      <c r="DN17" s="483"/>
      <c r="DO17" s="483"/>
      <c r="DP17" s="483"/>
      <c r="DQ17" s="483"/>
      <c r="DR17" s="483"/>
      <c r="DS17" s="483"/>
      <c r="DT17" s="483"/>
      <c r="DU17" s="483"/>
      <c r="DV17" s="483"/>
      <c r="DW17" s="483"/>
      <c r="DX17" s="483"/>
      <c r="DY17" s="483"/>
      <c r="DZ17" s="483"/>
      <c r="EA17" s="483"/>
      <c r="EB17" s="483"/>
      <c r="EC17" s="483"/>
      <c r="ED17" s="483"/>
      <c r="EE17" s="483"/>
      <c r="EF17" s="483"/>
      <c r="EG17" s="483"/>
      <c r="EH17" s="483"/>
      <c r="EI17" s="483"/>
      <c r="EJ17" s="483"/>
      <c r="EK17" s="483"/>
      <c r="EL17" s="483"/>
      <c r="EM17" s="483"/>
      <c r="EN17" s="483"/>
      <c r="EO17" s="483"/>
      <c r="EP17" s="483"/>
      <c r="EQ17" s="483"/>
      <c r="ER17" s="483"/>
      <c r="ES17" s="483"/>
      <c r="ET17" s="483"/>
      <c r="EU17" s="483"/>
      <c r="EV17" s="483"/>
      <c r="EW17" s="483"/>
      <c r="EX17" s="483"/>
      <c r="EY17" s="483"/>
      <c r="EZ17" s="483"/>
      <c r="FA17" s="483"/>
      <c r="FB17" s="483"/>
      <c r="FC17" s="483"/>
      <c r="FD17" s="483"/>
      <c r="FE17" s="483"/>
      <c r="FF17" s="483"/>
      <c r="FG17" s="483"/>
      <c r="FH17" s="483"/>
      <c r="FI17" s="483"/>
      <c r="FJ17" s="483"/>
      <c r="FK17" s="483"/>
      <c r="FL17" s="483"/>
      <c r="FM17" s="483"/>
      <c r="FN17" s="483"/>
      <c r="FO17" s="483"/>
      <c r="FP17" s="483"/>
      <c r="FQ17" s="483"/>
      <c r="FR17" s="483"/>
      <c r="FS17" s="483"/>
      <c r="FT17" s="483"/>
      <c r="FU17" s="483"/>
      <c r="FV17" s="483"/>
      <c r="FW17" s="483"/>
      <c r="FX17" s="483"/>
      <c r="FY17" s="483"/>
      <c r="FZ17" s="483"/>
      <c r="GA17" s="483"/>
      <c r="GB17" s="483"/>
      <c r="GC17" s="483"/>
      <c r="GD17" s="483"/>
      <c r="GE17" s="483"/>
      <c r="GF17" s="483"/>
      <c r="GG17" s="483"/>
      <c r="GH17" s="483"/>
      <c r="GI17" s="483"/>
      <c r="GJ17" s="483"/>
      <c r="GK17" s="483"/>
      <c r="GL17" s="483"/>
      <c r="GM17" s="483"/>
      <c r="GN17" s="483"/>
      <c r="GO17" s="483"/>
      <c r="GP17" s="483"/>
      <c r="GQ17" s="483"/>
      <c r="GR17" s="483"/>
      <c r="GS17" s="483"/>
      <c r="GT17" s="483"/>
      <c r="GU17" s="483"/>
      <c r="GV17" s="483"/>
      <c r="GW17" s="483"/>
      <c r="GX17" s="483"/>
      <c r="GY17" s="483"/>
      <c r="GZ17" s="483"/>
      <c r="HA17" s="483"/>
      <c r="HB17" s="483"/>
      <c r="HC17" s="483"/>
      <c r="HD17" s="483"/>
      <c r="HE17" s="483"/>
      <c r="HF17" s="483"/>
      <c r="HG17" s="483"/>
      <c r="HH17" s="483"/>
      <c r="HI17" s="483"/>
      <c r="HJ17" s="483"/>
      <c r="HK17" s="483"/>
      <c r="HL17" s="483"/>
      <c r="HM17" s="483"/>
      <c r="HN17" s="483"/>
      <c r="HO17" s="483"/>
      <c r="HP17" s="483"/>
      <c r="HQ17" s="483"/>
      <c r="HR17" s="483"/>
      <c r="HS17" s="483"/>
      <c r="HT17" s="483"/>
      <c r="HU17" s="483"/>
      <c r="HV17" s="483"/>
      <c r="HW17" s="483"/>
      <c r="HX17" s="483"/>
      <c r="HY17" s="483"/>
      <c r="HZ17" s="483"/>
      <c r="IA17" s="483"/>
      <c r="IB17" s="483"/>
      <c r="IC17" s="483"/>
    </row>
    <row r="18" spans="1:237" ht="15.75">
      <c r="A18" s="74"/>
      <c r="B18" s="252" t="s">
        <v>572</v>
      </c>
      <c r="C18" s="244" t="s">
        <v>583</v>
      </c>
      <c r="D18" s="21"/>
      <c r="E18" s="21"/>
      <c r="F18" s="490">
        <v>1.2190000000000001</v>
      </c>
      <c r="G18" s="21"/>
      <c r="H18" s="21">
        <f>SUM(D18:F18)</f>
        <v>1.2190000000000001</v>
      </c>
      <c r="I18" s="27"/>
      <c r="J18" s="487"/>
      <c r="K18" s="483"/>
      <c r="L18" s="483"/>
      <c r="M18" s="483"/>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3"/>
      <c r="BS18" s="483"/>
      <c r="BT18" s="483"/>
      <c r="BU18" s="483"/>
      <c r="BV18" s="483"/>
      <c r="BW18" s="483"/>
      <c r="BX18" s="483"/>
      <c r="BY18" s="483"/>
      <c r="BZ18" s="483"/>
      <c r="CA18" s="483"/>
      <c r="CB18" s="483"/>
      <c r="CC18" s="483"/>
      <c r="CD18" s="483"/>
      <c r="CE18" s="483"/>
      <c r="CF18" s="483"/>
      <c r="CG18" s="483"/>
      <c r="CH18" s="483"/>
      <c r="CI18" s="483"/>
      <c r="CJ18" s="483"/>
      <c r="CK18" s="483"/>
      <c r="CL18" s="483"/>
      <c r="CM18" s="483"/>
      <c r="CN18" s="483"/>
      <c r="CO18" s="483"/>
      <c r="CP18" s="483"/>
      <c r="CQ18" s="483"/>
      <c r="CR18" s="483"/>
      <c r="CS18" s="483"/>
      <c r="CT18" s="483"/>
      <c r="CU18" s="483"/>
      <c r="CV18" s="483"/>
      <c r="CW18" s="483"/>
      <c r="CX18" s="483"/>
      <c r="CY18" s="483"/>
      <c r="CZ18" s="483"/>
      <c r="DA18" s="483"/>
      <c r="DB18" s="483"/>
      <c r="DC18" s="483"/>
      <c r="DD18" s="483"/>
      <c r="DE18" s="483"/>
      <c r="DF18" s="483"/>
      <c r="DG18" s="483"/>
      <c r="DH18" s="483"/>
      <c r="DI18" s="483"/>
      <c r="DJ18" s="483"/>
      <c r="DK18" s="483"/>
      <c r="DL18" s="483"/>
      <c r="DM18" s="483"/>
      <c r="DN18" s="483"/>
      <c r="DO18" s="483"/>
      <c r="DP18" s="483"/>
      <c r="DQ18" s="483"/>
      <c r="DR18" s="483"/>
      <c r="DS18" s="483"/>
      <c r="DT18" s="483"/>
      <c r="DU18" s="483"/>
      <c r="DV18" s="483"/>
      <c r="DW18" s="483"/>
      <c r="DX18" s="483"/>
      <c r="DY18" s="483"/>
      <c r="DZ18" s="483"/>
      <c r="EA18" s="483"/>
      <c r="EB18" s="483"/>
      <c r="EC18" s="483"/>
      <c r="ED18" s="483"/>
      <c r="EE18" s="483"/>
      <c r="EF18" s="483"/>
      <c r="EG18" s="483"/>
      <c r="EH18" s="483"/>
      <c r="EI18" s="483"/>
      <c r="EJ18" s="483"/>
      <c r="EK18" s="483"/>
      <c r="EL18" s="483"/>
      <c r="EM18" s="483"/>
      <c r="EN18" s="483"/>
      <c r="EO18" s="483"/>
      <c r="EP18" s="483"/>
      <c r="EQ18" s="483"/>
      <c r="ER18" s="483"/>
      <c r="ES18" s="483"/>
      <c r="ET18" s="483"/>
      <c r="EU18" s="483"/>
      <c r="EV18" s="483"/>
      <c r="EW18" s="483"/>
      <c r="EX18" s="483"/>
      <c r="EY18" s="483"/>
      <c r="EZ18" s="483"/>
      <c r="FA18" s="483"/>
      <c r="FB18" s="483"/>
      <c r="FC18" s="483"/>
      <c r="FD18" s="483"/>
      <c r="FE18" s="483"/>
      <c r="FF18" s="483"/>
      <c r="FG18" s="483"/>
      <c r="FH18" s="483"/>
      <c r="FI18" s="483"/>
      <c r="FJ18" s="483"/>
      <c r="FK18" s="483"/>
      <c r="FL18" s="483"/>
      <c r="FM18" s="483"/>
      <c r="FN18" s="483"/>
      <c r="FO18" s="483"/>
      <c r="FP18" s="483"/>
      <c r="FQ18" s="483"/>
      <c r="FR18" s="483"/>
      <c r="FS18" s="483"/>
      <c r="FT18" s="483"/>
      <c r="FU18" s="483"/>
      <c r="FV18" s="483"/>
      <c r="FW18" s="483"/>
      <c r="FX18" s="483"/>
      <c r="FY18" s="483"/>
      <c r="FZ18" s="483"/>
      <c r="GA18" s="483"/>
      <c r="GB18" s="483"/>
      <c r="GC18" s="483"/>
      <c r="GD18" s="483"/>
      <c r="GE18" s="483"/>
      <c r="GF18" s="483"/>
      <c r="GG18" s="483"/>
      <c r="GH18" s="483"/>
      <c r="GI18" s="483"/>
      <c r="GJ18" s="483"/>
      <c r="GK18" s="483"/>
      <c r="GL18" s="483"/>
      <c r="GM18" s="483"/>
      <c r="GN18" s="483"/>
      <c r="GO18" s="483"/>
      <c r="GP18" s="483"/>
      <c r="GQ18" s="483"/>
      <c r="GR18" s="483"/>
      <c r="GS18" s="483"/>
      <c r="GT18" s="483"/>
      <c r="GU18" s="483"/>
      <c r="GV18" s="483"/>
      <c r="GW18" s="483"/>
      <c r="GX18" s="483"/>
      <c r="GY18" s="483"/>
      <c r="GZ18" s="483"/>
      <c r="HA18" s="483"/>
      <c r="HB18" s="483"/>
      <c r="HC18" s="483"/>
      <c r="HD18" s="483"/>
      <c r="HE18" s="483"/>
      <c r="HF18" s="483"/>
      <c r="HG18" s="483"/>
      <c r="HH18" s="483"/>
      <c r="HI18" s="483"/>
      <c r="HJ18" s="483"/>
      <c r="HK18" s="483"/>
      <c r="HL18" s="483"/>
      <c r="HM18" s="483"/>
      <c r="HN18" s="483"/>
      <c r="HO18" s="483"/>
      <c r="HP18" s="483"/>
      <c r="HQ18" s="483"/>
      <c r="HR18" s="483"/>
      <c r="HS18" s="483"/>
      <c r="HT18" s="483"/>
      <c r="HU18" s="483"/>
      <c r="HV18" s="483"/>
      <c r="HW18" s="483"/>
      <c r="HX18" s="483"/>
      <c r="HY18" s="483"/>
      <c r="HZ18" s="483"/>
      <c r="IA18" s="483"/>
      <c r="IB18" s="483"/>
      <c r="IC18" s="483"/>
    </row>
    <row r="19" spans="1:237" ht="15.75">
      <c r="A19" s="74">
        <v>2</v>
      </c>
      <c r="B19" s="245" t="s">
        <v>480</v>
      </c>
      <c r="C19" s="244"/>
      <c r="D19" s="21"/>
      <c r="E19" s="21"/>
      <c r="F19" s="490"/>
      <c r="G19" s="21"/>
      <c r="H19" s="44">
        <f>SUM(H20:H21)</f>
        <v>55.8</v>
      </c>
      <c r="I19" s="27"/>
      <c r="J19" s="487">
        <f>H19</f>
        <v>55.8</v>
      </c>
      <c r="K19" s="483"/>
      <c r="L19" s="483"/>
      <c r="M19" s="483"/>
      <c r="N19" s="483"/>
      <c r="O19" s="483"/>
      <c r="P19" s="483"/>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483"/>
      <c r="BS19" s="483"/>
      <c r="BT19" s="483"/>
      <c r="BU19" s="483"/>
      <c r="BV19" s="483"/>
      <c r="BW19" s="483"/>
      <c r="BX19" s="483"/>
      <c r="BY19" s="483"/>
      <c r="BZ19" s="483"/>
      <c r="CA19" s="483"/>
      <c r="CB19" s="483"/>
      <c r="CC19" s="483"/>
      <c r="CD19" s="483"/>
      <c r="CE19" s="483"/>
      <c r="CF19" s="483"/>
      <c r="CG19" s="483"/>
      <c r="CH19" s="483"/>
      <c r="CI19" s="483"/>
      <c r="CJ19" s="483"/>
      <c r="CK19" s="483"/>
      <c r="CL19" s="483"/>
      <c r="CM19" s="483"/>
      <c r="CN19" s="483"/>
      <c r="CO19" s="483"/>
      <c r="CP19" s="483"/>
      <c r="CQ19" s="483"/>
      <c r="CR19" s="483"/>
      <c r="CS19" s="483"/>
      <c r="CT19" s="483"/>
      <c r="CU19" s="483"/>
      <c r="CV19" s="483"/>
      <c r="CW19" s="483"/>
      <c r="CX19" s="483"/>
      <c r="CY19" s="483"/>
      <c r="CZ19" s="483"/>
      <c r="DA19" s="483"/>
      <c r="DB19" s="483"/>
      <c r="DC19" s="483"/>
      <c r="DD19" s="483"/>
      <c r="DE19" s="483"/>
      <c r="DF19" s="483"/>
      <c r="DG19" s="483"/>
      <c r="DH19" s="483"/>
      <c r="DI19" s="483"/>
      <c r="DJ19" s="483"/>
      <c r="DK19" s="483"/>
      <c r="DL19" s="483"/>
      <c r="DM19" s="483"/>
      <c r="DN19" s="483"/>
      <c r="DO19" s="483"/>
      <c r="DP19" s="483"/>
      <c r="DQ19" s="483"/>
      <c r="DR19" s="483"/>
      <c r="DS19" s="483"/>
      <c r="DT19" s="483"/>
      <c r="DU19" s="483"/>
      <c r="DV19" s="483"/>
      <c r="DW19" s="483"/>
      <c r="DX19" s="483"/>
      <c r="DY19" s="483"/>
      <c r="DZ19" s="483"/>
      <c r="EA19" s="483"/>
      <c r="EB19" s="483"/>
      <c r="EC19" s="483"/>
      <c r="ED19" s="483"/>
      <c r="EE19" s="483"/>
      <c r="EF19" s="483"/>
      <c r="EG19" s="483"/>
      <c r="EH19" s="483"/>
      <c r="EI19" s="483"/>
      <c r="EJ19" s="483"/>
      <c r="EK19" s="483"/>
      <c r="EL19" s="483"/>
      <c r="EM19" s="483"/>
      <c r="EN19" s="483"/>
      <c r="EO19" s="483"/>
      <c r="EP19" s="483"/>
      <c r="EQ19" s="483"/>
      <c r="ER19" s="483"/>
      <c r="ES19" s="483"/>
      <c r="ET19" s="483"/>
      <c r="EU19" s="483"/>
      <c r="EV19" s="483"/>
      <c r="EW19" s="483"/>
      <c r="EX19" s="483"/>
      <c r="EY19" s="483"/>
      <c r="EZ19" s="483"/>
      <c r="FA19" s="483"/>
      <c r="FB19" s="483"/>
      <c r="FC19" s="483"/>
      <c r="FD19" s="483"/>
      <c r="FE19" s="483"/>
      <c r="FF19" s="483"/>
      <c r="FG19" s="483"/>
      <c r="FH19" s="483"/>
      <c r="FI19" s="483"/>
      <c r="FJ19" s="483"/>
      <c r="FK19" s="483"/>
      <c r="FL19" s="483"/>
      <c r="FM19" s="483"/>
      <c r="FN19" s="483"/>
      <c r="FO19" s="483"/>
      <c r="FP19" s="483"/>
      <c r="FQ19" s="483"/>
      <c r="FR19" s="483"/>
      <c r="FS19" s="483"/>
      <c r="FT19" s="483"/>
      <c r="FU19" s="483"/>
      <c r="FV19" s="483"/>
      <c r="FW19" s="483"/>
      <c r="FX19" s="483"/>
      <c r="FY19" s="483"/>
      <c r="FZ19" s="483"/>
      <c r="GA19" s="483"/>
      <c r="GB19" s="483"/>
      <c r="GC19" s="483"/>
      <c r="GD19" s="483"/>
      <c r="GE19" s="483"/>
      <c r="GF19" s="483"/>
      <c r="GG19" s="483"/>
      <c r="GH19" s="483"/>
      <c r="GI19" s="483"/>
      <c r="GJ19" s="483"/>
      <c r="GK19" s="483"/>
      <c r="GL19" s="483"/>
      <c r="GM19" s="483"/>
      <c r="GN19" s="483"/>
      <c r="GO19" s="483"/>
      <c r="GP19" s="483"/>
      <c r="GQ19" s="483"/>
      <c r="GR19" s="483"/>
      <c r="GS19" s="483"/>
      <c r="GT19" s="483"/>
      <c r="GU19" s="483"/>
      <c r="GV19" s="483"/>
      <c r="GW19" s="483"/>
      <c r="GX19" s="483"/>
      <c r="GY19" s="483"/>
      <c r="GZ19" s="483"/>
      <c r="HA19" s="483"/>
      <c r="HB19" s="483"/>
      <c r="HC19" s="483"/>
      <c r="HD19" s="483"/>
      <c r="HE19" s="483"/>
      <c r="HF19" s="483"/>
      <c r="HG19" s="483"/>
      <c r="HH19" s="483"/>
      <c r="HI19" s="483"/>
      <c r="HJ19" s="483"/>
      <c r="HK19" s="483"/>
      <c r="HL19" s="483"/>
      <c r="HM19" s="483"/>
      <c r="HN19" s="483"/>
      <c r="HO19" s="483"/>
      <c r="HP19" s="483"/>
      <c r="HQ19" s="483"/>
      <c r="HR19" s="483"/>
      <c r="HS19" s="483"/>
      <c r="HT19" s="483"/>
      <c r="HU19" s="483"/>
      <c r="HV19" s="483"/>
      <c r="HW19" s="483"/>
      <c r="HX19" s="483"/>
      <c r="HY19" s="483"/>
      <c r="HZ19" s="483"/>
      <c r="IA19" s="483"/>
      <c r="IB19" s="483"/>
      <c r="IC19" s="483"/>
    </row>
    <row r="20" spans="1:237" ht="15.75">
      <c r="A20" s="74"/>
      <c r="B20" s="252" t="s">
        <v>570</v>
      </c>
      <c r="C20" s="244" t="s">
        <v>561</v>
      </c>
      <c r="D20" s="21">
        <f>$G$10-$J$10</f>
        <v>1.7999999999999998</v>
      </c>
      <c r="E20" s="21"/>
      <c r="F20" s="490">
        <f>1.109+3.529+1.958+19.22+1.863</f>
        <v>27.678999999999998</v>
      </c>
      <c r="G20" s="21"/>
      <c r="H20" s="21">
        <f>SUM(D20:F20)</f>
        <v>29.478999999999999</v>
      </c>
      <c r="I20" s="27"/>
      <c r="J20" s="487"/>
      <c r="K20" s="483"/>
      <c r="L20" s="483"/>
      <c r="M20" s="483"/>
      <c r="N20" s="483"/>
      <c r="O20" s="483"/>
      <c r="P20" s="483"/>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483"/>
      <c r="BS20" s="483"/>
      <c r="BT20" s="483"/>
      <c r="BU20" s="483"/>
      <c r="BV20" s="483"/>
      <c r="BW20" s="483"/>
      <c r="BX20" s="483"/>
      <c r="BY20" s="483"/>
      <c r="BZ20" s="483"/>
      <c r="CA20" s="483"/>
      <c r="CB20" s="483"/>
      <c r="CC20" s="483"/>
      <c r="CD20" s="483"/>
      <c r="CE20" s="483"/>
      <c r="CF20" s="483"/>
      <c r="CG20" s="483"/>
      <c r="CH20" s="483"/>
      <c r="CI20" s="483"/>
      <c r="CJ20" s="483"/>
      <c r="CK20" s="483"/>
      <c r="CL20" s="483"/>
      <c r="CM20" s="483"/>
      <c r="CN20" s="483"/>
      <c r="CO20" s="483"/>
      <c r="CP20" s="483"/>
      <c r="CQ20" s="483"/>
      <c r="CR20" s="483"/>
      <c r="CS20" s="483"/>
      <c r="CT20" s="483"/>
      <c r="CU20" s="483"/>
      <c r="CV20" s="483"/>
      <c r="CW20" s="483"/>
      <c r="CX20" s="483"/>
      <c r="CY20" s="483"/>
      <c r="CZ20" s="483"/>
      <c r="DA20" s="483"/>
      <c r="DB20" s="483"/>
      <c r="DC20" s="483"/>
      <c r="DD20" s="483"/>
      <c r="DE20" s="483"/>
      <c r="DF20" s="483"/>
      <c r="DG20" s="483"/>
      <c r="DH20" s="483"/>
      <c r="DI20" s="483"/>
      <c r="DJ20" s="483"/>
      <c r="DK20" s="483"/>
      <c r="DL20" s="483"/>
      <c r="DM20" s="483"/>
      <c r="DN20" s="483"/>
      <c r="DO20" s="483"/>
      <c r="DP20" s="483"/>
      <c r="DQ20" s="483"/>
      <c r="DR20" s="483"/>
      <c r="DS20" s="483"/>
      <c r="DT20" s="483"/>
      <c r="DU20" s="483"/>
      <c r="DV20" s="483"/>
      <c r="DW20" s="483"/>
      <c r="DX20" s="483"/>
      <c r="DY20" s="483"/>
      <c r="DZ20" s="483"/>
      <c r="EA20" s="483"/>
      <c r="EB20" s="483"/>
      <c r="EC20" s="483"/>
      <c r="ED20" s="483"/>
      <c r="EE20" s="483"/>
      <c r="EF20" s="483"/>
      <c r="EG20" s="483"/>
      <c r="EH20" s="483"/>
      <c r="EI20" s="483"/>
      <c r="EJ20" s="483"/>
      <c r="EK20" s="483"/>
      <c r="EL20" s="483"/>
      <c r="EM20" s="483"/>
      <c r="EN20" s="483"/>
      <c r="EO20" s="483"/>
      <c r="EP20" s="483"/>
      <c r="EQ20" s="483"/>
      <c r="ER20" s="483"/>
      <c r="ES20" s="483"/>
      <c r="ET20" s="483"/>
      <c r="EU20" s="483"/>
      <c r="EV20" s="483"/>
      <c r="EW20" s="483"/>
      <c r="EX20" s="483"/>
      <c r="EY20" s="483"/>
      <c r="EZ20" s="483"/>
      <c r="FA20" s="483"/>
      <c r="FB20" s="483"/>
      <c r="FC20" s="483"/>
      <c r="FD20" s="483"/>
      <c r="FE20" s="483"/>
      <c r="FF20" s="483"/>
      <c r="FG20" s="483"/>
      <c r="FH20" s="483"/>
      <c r="FI20" s="483"/>
      <c r="FJ20" s="483"/>
      <c r="FK20" s="483"/>
      <c r="FL20" s="483"/>
      <c r="FM20" s="483"/>
      <c r="FN20" s="483"/>
      <c r="FO20" s="483"/>
      <c r="FP20" s="483"/>
      <c r="FQ20" s="483"/>
      <c r="FR20" s="483"/>
      <c r="FS20" s="483"/>
      <c r="FT20" s="483"/>
      <c r="FU20" s="483"/>
      <c r="FV20" s="483"/>
      <c r="FW20" s="483"/>
      <c r="FX20" s="483"/>
      <c r="FY20" s="483"/>
      <c r="FZ20" s="483"/>
      <c r="GA20" s="483"/>
      <c r="GB20" s="483"/>
      <c r="GC20" s="483"/>
      <c r="GD20" s="483"/>
      <c r="GE20" s="483"/>
      <c r="GF20" s="483"/>
      <c r="GG20" s="483"/>
      <c r="GH20" s="483"/>
      <c r="GI20" s="483"/>
      <c r="GJ20" s="483"/>
      <c r="GK20" s="483"/>
      <c r="GL20" s="483"/>
      <c r="GM20" s="483"/>
      <c r="GN20" s="483"/>
      <c r="GO20" s="483"/>
      <c r="GP20" s="483"/>
      <c r="GQ20" s="483"/>
      <c r="GR20" s="483"/>
      <c r="GS20" s="483"/>
      <c r="GT20" s="483"/>
      <c r="GU20" s="483"/>
      <c r="GV20" s="483"/>
      <c r="GW20" s="483"/>
      <c r="GX20" s="483"/>
      <c r="GY20" s="483"/>
      <c r="GZ20" s="483"/>
      <c r="HA20" s="483"/>
      <c r="HB20" s="483"/>
      <c r="HC20" s="483"/>
      <c r="HD20" s="483"/>
      <c r="HE20" s="483"/>
      <c r="HF20" s="483"/>
      <c r="HG20" s="483"/>
      <c r="HH20" s="483"/>
      <c r="HI20" s="483"/>
      <c r="HJ20" s="483"/>
      <c r="HK20" s="483"/>
      <c r="HL20" s="483"/>
      <c r="HM20" s="483"/>
      <c r="HN20" s="483"/>
      <c r="HO20" s="483"/>
      <c r="HP20" s="483"/>
      <c r="HQ20" s="483"/>
      <c r="HR20" s="483"/>
      <c r="HS20" s="483"/>
      <c r="HT20" s="483"/>
      <c r="HU20" s="483"/>
      <c r="HV20" s="483"/>
      <c r="HW20" s="483"/>
      <c r="HX20" s="483"/>
      <c r="HY20" s="483"/>
      <c r="HZ20" s="483"/>
      <c r="IA20" s="483"/>
      <c r="IB20" s="483"/>
      <c r="IC20" s="483"/>
    </row>
    <row r="21" spans="1:237" ht="15.75">
      <c r="A21" s="74"/>
      <c r="B21" s="252" t="s">
        <v>571</v>
      </c>
      <c r="C21" s="244" t="s">
        <v>561</v>
      </c>
      <c r="D21" s="21"/>
      <c r="E21" s="21"/>
      <c r="F21" s="490">
        <f>1.734+(3.529-0.287)+19.245+2.1</f>
        <v>26.321000000000002</v>
      </c>
      <c r="G21" s="21"/>
      <c r="H21" s="21">
        <f>SUM(D21:F21)</f>
        <v>26.321000000000002</v>
      </c>
      <c r="I21" s="27"/>
      <c r="J21" s="487"/>
      <c r="K21" s="483"/>
      <c r="L21" s="483"/>
      <c r="M21" s="483"/>
      <c r="N21" s="483"/>
      <c r="O21" s="483"/>
      <c r="P21" s="483"/>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483"/>
      <c r="BS21" s="483"/>
      <c r="BT21" s="483"/>
      <c r="BU21" s="483"/>
      <c r="BV21" s="483"/>
      <c r="BW21" s="483"/>
      <c r="BX21" s="483"/>
      <c r="BY21" s="483"/>
      <c r="BZ21" s="483"/>
      <c r="CA21" s="483"/>
      <c r="CB21" s="483"/>
      <c r="CC21" s="483"/>
      <c r="CD21" s="483"/>
      <c r="CE21" s="483"/>
      <c r="CF21" s="483"/>
      <c r="CG21" s="483"/>
      <c r="CH21" s="483"/>
      <c r="CI21" s="483"/>
      <c r="CJ21" s="483"/>
      <c r="CK21" s="483"/>
      <c r="CL21" s="483"/>
      <c r="CM21" s="483"/>
      <c r="CN21" s="483"/>
      <c r="CO21" s="483"/>
      <c r="CP21" s="483"/>
      <c r="CQ21" s="483"/>
      <c r="CR21" s="483"/>
      <c r="CS21" s="483"/>
      <c r="CT21" s="483"/>
      <c r="CU21" s="483"/>
      <c r="CV21" s="483"/>
      <c r="CW21" s="483"/>
      <c r="CX21" s="483"/>
      <c r="CY21" s="483"/>
      <c r="CZ21" s="483"/>
      <c r="DA21" s="483"/>
      <c r="DB21" s="483"/>
      <c r="DC21" s="483"/>
      <c r="DD21" s="483"/>
      <c r="DE21" s="483"/>
      <c r="DF21" s="483"/>
      <c r="DG21" s="483"/>
      <c r="DH21" s="483"/>
      <c r="DI21" s="483"/>
      <c r="DJ21" s="483"/>
      <c r="DK21" s="483"/>
      <c r="DL21" s="483"/>
      <c r="DM21" s="483"/>
      <c r="DN21" s="483"/>
      <c r="DO21" s="483"/>
      <c r="DP21" s="483"/>
      <c r="DQ21" s="483"/>
      <c r="DR21" s="483"/>
      <c r="DS21" s="483"/>
      <c r="DT21" s="483"/>
      <c r="DU21" s="483"/>
      <c r="DV21" s="483"/>
      <c r="DW21" s="483"/>
      <c r="DX21" s="483"/>
      <c r="DY21" s="483"/>
      <c r="DZ21" s="483"/>
      <c r="EA21" s="483"/>
      <c r="EB21" s="483"/>
      <c r="EC21" s="483"/>
      <c r="ED21" s="483"/>
      <c r="EE21" s="483"/>
      <c r="EF21" s="483"/>
      <c r="EG21" s="483"/>
      <c r="EH21" s="483"/>
      <c r="EI21" s="483"/>
      <c r="EJ21" s="483"/>
      <c r="EK21" s="483"/>
      <c r="EL21" s="483"/>
      <c r="EM21" s="483"/>
      <c r="EN21" s="483"/>
      <c r="EO21" s="483"/>
      <c r="EP21" s="483"/>
      <c r="EQ21" s="483"/>
      <c r="ER21" s="483"/>
      <c r="ES21" s="483"/>
      <c r="ET21" s="483"/>
      <c r="EU21" s="483"/>
      <c r="EV21" s="483"/>
      <c r="EW21" s="483"/>
      <c r="EX21" s="483"/>
      <c r="EY21" s="483"/>
      <c r="EZ21" s="483"/>
      <c r="FA21" s="483"/>
      <c r="FB21" s="483"/>
      <c r="FC21" s="483"/>
      <c r="FD21" s="483"/>
      <c r="FE21" s="483"/>
      <c r="FF21" s="483"/>
      <c r="FG21" s="483"/>
      <c r="FH21" s="483"/>
      <c r="FI21" s="483"/>
      <c r="FJ21" s="483"/>
      <c r="FK21" s="483"/>
      <c r="FL21" s="483"/>
      <c r="FM21" s="483"/>
      <c r="FN21" s="483"/>
      <c r="FO21" s="483"/>
      <c r="FP21" s="483"/>
      <c r="FQ21" s="483"/>
      <c r="FR21" s="483"/>
      <c r="FS21" s="483"/>
      <c r="FT21" s="483"/>
      <c r="FU21" s="483"/>
      <c r="FV21" s="483"/>
      <c r="FW21" s="483"/>
      <c r="FX21" s="483"/>
      <c r="FY21" s="483"/>
      <c r="FZ21" s="483"/>
      <c r="GA21" s="483"/>
      <c r="GB21" s="483"/>
      <c r="GC21" s="483"/>
      <c r="GD21" s="483"/>
      <c r="GE21" s="483"/>
      <c r="GF21" s="483"/>
      <c r="GG21" s="483"/>
      <c r="GH21" s="483"/>
      <c r="GI21" s="483"/>
      <c r="GJ21" s="483"/>
      <c r="GK21" s="483"/>
      <c r="GL21" s="483"/>
      <c r="GM21" s="483"/>
      <c r="GN21" s="483"/>
      <c r="GO21" s="483"/>
      <c r="GP21" s="483"/>
      <c r="GQ21" s="483"/>
      <c r="GR21" s="483"/>
      <c r="GS21" s="483"/>
      <c r="GT21" s="483"/>
      <c r="GU21" s="483"/>
      <c r="GV21" s="483"/>
      <c r="GW21" s="483"/>
      <c r="GX21" s="483"/>
      <c r="GY21" s="483"/>
      <c r="GZ21" s="483"/>
      <c r="HA21" s="483"/>
      <c r="HB21" s="483"/>
      <c r="HC21" s="483"/>
      <c r="HD21" s="483"/>
      <c r="HE21" s="483"/>
      <c r="HF21" s="483"/>
      <c r="HG21" s="483"/>
      <c r="HH21" s="483"/>
      <c r="HI21" s="483"/>
      <c r="HJ21" s="483"/>
      <c r="HK21" s="483"/>
      <c r="HL21" s="483"/>
      <c r="HM21" s="483"/>
      <c r="HN21" s="483"/>
      <c r="HO21" s="483"/>
      <c r="HP21" s="483"/>
      <c r="HQ21" s="483"/>
      <c r="HR21" s="483"/>
      <c r="HS21" s="483"/>
      <c r="HT21" s="483"/>
      <c r="HU21" s="483"/>
      <c r="HV21" s="483"/>
      <c r="HW21" s="483"/>
      <c r="HX21" s="483"/>
      <c r="HY21" s="483"/>
      <c r="HZ21" s="483"/>
      <c r="IA21" s="483"/>
      <c r="IB21" s="483"/>
      <c r="IC21" s="483"/>
    </row>
    <row r="22" spans="1:237" ht="15.75">
      <c r="A22" s="74">
        <v>3</v>
      </c>
      <c r="B22" s="245" t="s">
        <v>485</v>
      </c>
      <c r="C22" s="244"/>
      <c r="D22" s="21"/>
      <c r="E22" s="21"/>
      <c r="F22" s="490"/>
      <c r="G22" s="21"/>
      <c r="H22" s="44">
        <f>SUM(H23:H24)</f>
        <v>8.24</v>
      </c>
      <c r="I22" s="27"/>
      <c r="J22" s="487">
        <f>H22</f>
        <v>8.24</v>
      </c>
      <c r="K22" s="483"/>
      <c r="L22" s="483"/>
      <c r="M22" s="483"/>
      <c r="N22" s="483"/>
      <c r="O22" s="483"/>
      <c r="P22" s="483"/>
      <c r="Q22" s="483"/>
      <c r="R22" s="483"/>
      <c r="S22" s="483"/>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483"/>
      <c r="BS22" s="483"/>
      <c r="BT22" s="483"/>
      <c r="BU22" s="483"/>
      <c r="BV22" s="483"/>
      <c r="BW22" s="483"/>
      <c r="BX22" s="483"/>
      <c r="BY22" s="483"/>
      <c r="BZ22" s="483"/>
      <c r="CA22" s="483"/>
      <c r="CB22" s="483"/>
      <c r="CC22" s="483"/>
      <c r="CD22" s="483"/>
      <c r="CE22" s="483"/>
      <c r="CF22" s="483"/>
      <c r="CG22" s="483"/>
      <c r="CH22" s="483"/>
      <c r="CI22" s="483"/>
      <c r="CJ22" s="483"/>
      <c r="CK22" s="483"/>
      <c r="CL22" s="483"/>
      <c r="CM22" s="483"/>
      <c r="CN22" s="483"/>
      <c r="CO22" s="483"/>
      <c r="CP22" s="483"/>
      <c r="CQ22" s="483"/>
      <c r="CR22" s="483"/>
      <c r="CS22" s="483"/>
      <c r="CT22" s="483"/>
      <c r="CU22" s="483"/>
      <c r="CV22" s="483"/>
      <c r="CW22" s="483"/>
      <c r="CX22" s="483"/>
      <c r="CY22" s="483"/>
      <c r="CZ22" s="483"/>
      <c r="DA22" s="483"/>
      <c r="DB22" s="483"/>
      <c r="DC22" s="483"/>
      <c r="DD22" s="483"/>
      <c r="DE22" s="483"/>
      <c r="DF22" s="483"/>
      <c r="DG22" s="483"/>
      <c r="DH22" s="483"/>
      <c r="DI22" s="483"/>
      <c r="DJ22" s="483"/>
      <c r="DK22" s="483"/>
      <c r="DL22" s="483"/>
      <c r="DM22" s="483"/>
      <c r="DN22" s="483"/>
      <c r="DO22" s="483"/>
      <c r="DP22" s="483"/>
      <c r="DQ22" s="483"/>
      <c r="DR22" s="483"/>
      <c r="DS22" s="483"/>
      <c r="DT22" s="483"/>
      <c r="DU22" s="483"/>
      <c r="DV22" s="483"/>
      <c r="DW22" s="483"/>
      <c r="DX22" s="483"/>
      <c r="DY22" s="483"/>
      <c r="DZ22" s="483"/>
      <c r="EA22" s="483"/>
      <c r="EB22" s="483"/>
      <c r="EC22" s="483"/>
      <c r="ED22" s="483"/>
      <c r="EE22" s="483"/>
      <c r="EF22" s="483"/>
      <c r="EG22" s="483"/>
      <c r="EH22" s="483"/>
      <c r="EI22" s="483"/>
      <c r="EJ22" s="483"/>
      <c r="EK22" s="483"/>
      <c r="EL22" s="483"/>
      <c r="EM22" s="483"/>
      <c r="EN22" s="483"/>
      <c r="EO22" s="483"/>
      <c r="EP22" s="483"/>
      <c r="EQ22" s="483"/>
      <c r="ER22" s="483"/>
      <c r="ES22" s="483"/>
      <c r="ET22" s="483"/>
      <c r="EU22" s="483"/>
      <c r="EV22" s="483"/>
      <c r="EW22" s="483"/>
      <c r="EX22" s="483"/>
      <c r="EY22" s="483"/>
      <c r="EZ22" s="483"/>
      <c r="FA22" s="483"/>
      <c r="FB22" s="483"/>
      <c r="FC22" s="483"/>
      <c r="FD22" s="483"/>
      <c r="FE22" s="483"/>
      <c r="FF22" s="483"/>
      <c r="FG22" s="483"/>
      <c r="FH22" s="483"/>
      <c r="FI22" s="483"/>
      <c r="FJ22" s="483"/>
      <c r="FK22" s="483"/>
      <c r="FL22" s="483"/>
      <c r="FM22" s="483"/>
      <c r="FN22" s="483"/>
      <c r="FO22" s="483"/>
      <c r="FP22" s="483"/>
      <c r="FQ22" s="483"/>
      <c r="FR22" s="483"/>
      <c r="FS22" s="483"/>
      <c r="FT22" s="483"/>
      <c r="FU22" s="483"/>
      <c r="FV22" s="483"/>
      <c r="FW22" s="483"/>
      <c r="FX22" s="483"/>
      <c r="FY22" s="483"/>
      <c r="FZ22" s="483"/>
      <c r="GA22" s="483"/>
      <c r="GB22" s="483"/>
      <c r="GC22" s="483"/>
      <c r="GD22" s="483"/>
      <c r="GE22" s="483"/>
      <c r="GF22" s="483"/>
      <c r="GG22" s="483"/>
      <c r="GH22" s="483"/>
      <c r="GI22" s="483"/>
      <c r="GJ22" s="483"/>
      <c r="GK22" s="483"/>
      <c r="GL22" s="483"/>
      <c r="GM22" s="483"/>
      <c r="GN22" s="483"/>
      <c r="GO22" s="483"/>
      <c r="GP22" s="483"/>
      <c r="GQ22" s="483"/>
      <c r="GR22" s="483"/>
      <c r="GS22" s="483"/>
      <c r="GT22" s="483"/>
      <c r="GU22" s="483"/>
      <c r="GV22" s="483"/>
      <c r="GW22" s="483"/>
      <c r="GX22" s="483"/>
      <c r="GY22" s="483"/>
      <c r="GZ22" s="483"/>
      <c r="HA22" s="483"/>
      <c r="HB22" s="483"/>
      <c r="HC22" s="483"/>
      <c r="HD22" s="483"/>
      <c r="HE22" s="483"/>
      <c r="HF22" s="483"/>
      <c r="HG22" s="483"/>
      <c r="HH22" s="483"/>
      <c r="HI22" s="483"/>
      <c r="HJ22" s="483"/>
      <c r="HK22" s="483"/>
      <c r="HL22" s="483"/>
      <c r="HM22" s="483"/>
      <c r="HN22" s="483"/>
      <c r="HO22" s="483"/>
      <c r="HP22" s="483"/>
      <c r="HQ22" s="483"/>
      <c r="HR22" s="483"/>
      <c r="HS22" s="483"/>
      <c r="HT22" s="483"/>
      <c r="HU22" s="483"/>
      <c r="HV22" s="483"/>
      <c r="HW22" s="483"/>
      <c r="HX22" s="483"/>
      <c r="HY22" s="483"/>
      <c r="HZ22" s="483"/>
      <c r="IA22" s="483"/>
      <c r="IB22" s="483"/>
      <c r="IC22" s="483"/>
    </row>
    <row r="23" spans="1:237" ht="15.75">
      <c r="A23" s="74"/>
      <c r="B23" s="252" t="s">
        <v>570</v>
      </c>
      <c r="C23" s="244" t="s">
        <v>562</v>
      </c>
      <c r="D23" s="21">
        <f>$G$10-$J$10</f>
        <v>1.7999999999999998</v>
      </c>
      <c r="E23" s="21"/>
      <c r="F23" s="490">
        <f>1.352+1.436</f>
        <v>2.7880000000000003</v>
      </c>
      <c r="G23" s="21"/>
      <c r="H23" s="21">
        <f>SUM(D23:F23)</f>
        <v>4.5880000000000001</v>
      </c>
      <c r="I23" s="27"/>
      <c r="J23" s="511"/>
      <c r="K23" s="483"/>
      <c r="L23" s="483"/>
      <c r="M23" s="483"/>
      <c r="N23" s="483"/>
      <c r="O23" s="483"/>
      <c r="P23" s="483"/>
      <c r="Q23" s="483"/>
      <c r="R23" s="483"/>
      <c r="S23" s="483"/>
      <c r="T23" s="483"/>
      <c r="U23" s="483"/>
      <c r="V23" s="483"/>
      <c r="W23" s="483"/>
      <c r="X23" s="483"/>
      <c r="Y23" s="483"/>
      <c r="Z23" s="483"/>
      <c r="AA23" s="483"/>
      <c r="AB23" s="483"/>
      <c r="AC23" s="483"/>
      <c r="AD23" s="483"/>
      <c r="AE23" s="483"/>
      <c r="AF23" s="483"/>
      <c r="AG23" s="483"/>
      <c r="AH23" s="483"/>
      <c r="AI23" s="483"/>
      <c r="AJ23" s="483"/>
      <c r="AK23" s="483"/>
      <c r="AL23" s="483"/>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483"/>
      <c r="BS23" s="483"/>
      <c r="BT23" s="483"/>
      <c r="BU23" s="483"/>
      <c r="BV23" s="483"/>
      <c r="BW23" s="483"/>
      <c r="BX23" s="483"/>
      <c r="BY23" s="483"/>
      <c r="BZ23" s="483"/>
      <c r="CA23" s="483"/>
      <c r="CB23" s="483"/>
      <c r="CC23" s="483"/>
      <c r="CD23" s="483"/>
      <c r="CE23" s="483"/>
      <c r="CF23" s="483"/>
      <c r="CG23" s="483"/>
      <c r="CH23" s="483"/>
      <c r="CI23" s="483"/>
      <c r="CJ23" s="483"/>
      <c r="CK23" s="483"/>
      <c r="CL23" s="483"/>
      <c r="CM23" s="483"/>
      <c r="CN23" s="483"/>
      <c r="CO23" s="483"/>
      <c r="CP23" s="483"/>
      <c r="CQ23" s="483"/>
      <c r="CR23" s="483"/>
      <c r="CS23" s="483"/>
      <c r="CT23" s="483"/>
      <c r="CU23" s="483"/>
      <c r="CV23" s="483"/>
      <c r="CW23" s="483"/>
      <c r="CX23" s="483"/>
      <c r="CY23" s="483"/>
      <c r="CZ23" s="483"/>
      <c r="DA23" s="483"/>
      <c r="DB23" s="483"/>
      <c r="DC23" s="483"/>
      <c r="DD23" s="483"/>
      <c r="DE23" s="483"/>
      <c r="DF23" s="483"/>
      <c r="DG23" s="483"/>
      <c r="DH23" s="483"/>
      <c r="DI23" s="483"/>
      <c r="DJ23" s="483"/>
      <c r="DK23" s="483"/>
      <c r="DL23" s="483"/>
      <c r="DM23" s="483"/>
      <c r="DN23" s="483"/>
      <c r="DO23" s="483"/>
      <c r="DP23" s="483"/>
      <c r="DQ23" s="483"/>
      <c r="DR23" s="483"/>
      <c r="DS23" s="483"/>
      <c r="DT23" s="483"/>
      <c r="DU23" s="483"/>
      <c r="DV23" s="483"/>
      <c r="DW23" s="483"/>
      <c r="DX23" s="483"/>
      <c r="DY23" s="483"/>
      <c r="DZ23" s="483"/>
      <c r="EA23" s="483"/>
      <c r="EB23" s="483"/>
      <c r="EC23" s="483"/>
      <c r="ED23" s="483"/>
      <c r="EE23" s="483"/>
      <c r="EF23" s="483"/>
      <c r="EG23" s="483"/>
      <c r="EH23" s="483"/>
      <c r="EI23" s="483"/>
      <c r="EJ23" s="483"/>
      <c r="EK23" s="483"/>
      <c r="EL23" s="483"/>
      <c r="EM23" s="483"/>
      <c r="EN23" s="483"/>
      <c r="EO23" s="483"/>
      <c r="EP23" s="483"/>
      <c r="EQ23" s="483"/>
      <c r="ER23" s="483"/>
      <c r="ES23" s="483"/>
      <c r="ET23" s="483"/>
      <c r="EU23" s="483"/>
      <c r="EV23" s="483"/>
      <c r="EW23" s="483"/>
      <c r="EX23" s="483"/>
      <c r="EY23" s="483"/>
      <c r="EZ23" s="483"/>
      <c r="FA23" s="483"/>
      <c r="FB23" s="483"/>
      <c r="FC23" s="483"/>
      <c r="FD23" s="483"/>
      <c r="FE23" s="483"/>
      <c r="FF23" s="483"/>
      <c r="FG23" s="483"/>
      <c r="FH23" s="483"/>
      <c r="FI23" s="483"/>
      <c r="FJ23" s="483"/>
      <c r="FK23" s="483"/>
      <c r="FL23" s="483"/>
      <c r="FM23" s="483"/>
      <c r="FN23" s="483"/>
      <c r="FO23" s="483"/>
      <c r="FP23" s="483"/>
      <c r="FQ23" s="483"/>
      <c r="FR23" s="483"/>
      <c r="FS23" s="483"/>
      <c r="FT23" s="483"/>
      <c r="FU23" s="483"/>
      <c r="FV23" s="483"/>
      <c r="FW23" s="483"/>
      <c r="FX23" s="483"/>
      <c r="FY23" s="483"/>
      <c r="FZ23" s="483"/>
      <c r="GA23" s="483"/>
      <c r="GB23" s="483"/>
      <c r="GC23" s="483"/>
      <c r="GD23" s="483"/>
      <c r="GE23" s="483"/>
      <c r="GF23" s="483"/>
      <c r="GG23" s="483"/>
      <c r="GH23" s="483"/>
      <c r="GI23" s="483"/>
      <c r="GJ23" s="483"/>
      <c r="GK23" s="483"/>
      <c r="GL23" s="483"/>
      <c r="GM23" s="483"/>
      <c r="GN23" s="483"/>
      <c r="GO23" s="483"/>
      <c r="GP23" s="483"/>
      <c r="GQ23" s="483"/>
      <c r="GR23" s="483"/>
      <c r="GS23" s="483"/>
      <c r="GT23" s="483"/>
      <c r="GU23" s="483"/>
      <c r="GV23" s="483"/>
      <c r="GW23" s="483"/>
      <c r="GX23" s="483"/>
      <c r="GY23" s="483"/>
      <c r="GZ23" s="483"/>
      <c r="HA23" s="483"/>
      <c r="HB23" s="483"/>
      <c r="HC23" s="483"/>
      <c r="HD23" s="483"/>
      <c r="HE23" s="483"/>
      <c r="HF23" s="483"/>
      <c r="HG23" s="483"/>
      <c r="HH23" s="483"/>
      <c r="HI23" s="483"/>
      <c r="HJ23" s="483"/>
      <c r="HK23" s="483"/>
      <c r="HL23" s="483"/>
      <c r="HM23" s="483"/>
      <c r="HN23" s="483"/>
      <c r="HO23" s="483"/>
      <c r="HP23" s="483"/>
      <c r="HQ23" s="483"/>
      <c r="HR23" s="483"/>
      <c r="HS23" s="483"/>
      <c r="HT23" s="483"/>
      <c r="HU23" s="483"/>
      <c r="HV23" s="483"/>
      <c r="HW23" s="483"/>
      <c r="HX23" s="483"/>
      <c r="HY23" s="483"/>
      <c r="HZ23" s="483"/>
      <c r="IA23" s="483"/>
      <c r="IB23" s="483"/>
      <c r="IC23" s="483"/>
    </row>
    <row r="24" spans="1:237" ht="15.75">
      <c r="A24" s="74"/>
      <c r="B24" s="252" t="s">
        <v>574</v>
      </c>
      <c r="C24" s="244" t="s">
        <v>562</v>
      </c>
      <c r="D24" s="21"/>
      <c r="E24" s="493"/>
      <c r="F24" s="490">
        <f>1.1*2+1.452</f>
        <v>3.6520000000000001</v>
      </c>
      <c r="G24" s="21"/>
      <c r="H24" s="21">
        <f>SUM(D24:F24)</f>
        <v>3.6520000000000001</v>
      </c>
      <c r="I24" s="27"/>
      <c r="J24" s="511"/>
      <c r="K24" s="483"/>
      <c r="L24" s="483"/>
      <c r="M24" s="483"/>
      <c r="N24" s="483"/>
      <c r="O24" s="483"/>
      <c r="P24" s="483"/>
      <c r="Q24" s="483"/>
      <c r="R24" s="483"/>
      <c r="S24" s="483"/>
      <c r="T24" s="483"/>
      <c r="U24" s="483"/>
      <c r="V24" s="483"/>
      <c r="W24" s="483"/>
      <c r="X24" s="483"/>
      <c r="Y24" s="483"/>
      <c r="Z24" s="483"/>
      <c r="AA24" s="483"/>
      <c r="AB24" s="483"/>
      <c r="AC24" s="483"/>
      <c r="AD24" s="483"/>
      <c r="AE24" s="483"/>
      <c r="AF24" s="483"/>
      <c r="AG24" s="483"/>
      <c r="AH24" s="483"/>
      <c r="AI24" s="483"/>
      <c r="AJ24" s="483"/>
      <c r="AK24" s="483"/>
      <c r="AL24" s="483"/>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483"/>
      <c r="BS24" s="483"/>
      <c r="BT24" s="483"/>
      <c r="BU24" s="483"/>
      <c r="BV24" s="483"/>
      <c r="BW24" s="483"/>
      <c r="BX24" s="483"/>
      <c r="BY24" s="483"/>
      <c r="BZ24" s="483"/>
      <c r="CA24" s="483"/>
      <c r="CB24" s="483"/>
      <c r="CC24" s="483"/>
      <c r="CD24" s="483"/>
      <c r="CE24" s="483"/>
      <c r="CF24" s="483"/>
      <c r="CG24" s="483"/>
      <c r="CH24" s="483"/>
      <c r="CI24" s="483"/>
      <c r="CJ24" s="483"/>
      <c r="CK24" s="483"/>
      <c r="CL24" s="483"/>
      <c r="CM24" s="483"/>
      <c r="CN24" s="483"/>
      <c r="CO24" s="483"/>
      <c r="CP24" s="483"/>
      <c r="CQ24" s="483"/>
      <c r="CR24" s="483"/>
      <c r="CS24" s="483"/>
      <c r="CT24" s="483"/>
      <c r="CU24" s="483"/>
      <c r="CV24" s="483"/>
      <c r="CW24" s="483"/>
      <c r="CX24" s="483"/>
      <c r="CY24" s="483"/>
      <c r="CZ24" s="483"/>
      <c r="DA24" s="483"/>
      <c r="DB24" s="483"/>
      <c r="DC24" s="483"/>
      <c r="DD24" s="483"/>
      <c r="DE24" s="483"/>
      <c r="DF24" s="483"/>
      <c r="DG24" s="483"/>
      <c r="DH24" s="483"/>
      <c r="DI24" s="483"/>
      <c r="DJ24" s="483"/>
      <c r="DK24" s="483"/>
      <c r="DL24" s="483"/>
      <c r="DM24" s="483"/>
      <c r="DN24" s="483"/>
      <c r="DO24" s="483"/>
      <c r="DP24" s="483"/>
      <c r="DQ24" s="483"/>
      <c r="DR24" s="483"/>
      <c r="DS24" s="483"/>
      <c r="DT24" s="483"/>
      <c r="DU24" s="483"/>
      <c r="DV24" s="483"/>
      <c r="DW24" s="483"/>
      <c r="DX24" s="483"/>
      <c r="DY24" s="483"/>
      <c r="DZ24" s="483"/>
      <c r="EA24" s="483"/>
      <c r="EB24" s="483"/>
      <c r="EC24" s="483"/>
      <c r="ED24" s="483"/>
      <c r="EE24" s="483"/>
      <c r="EF24" s="483"/>
      <c r="EG24" s="483"/>
      <c r="EH24" s="483"/>
      <c r="EI24" s="483"/>
      <c r="EJ24" s="483"/>
      <c r="EK24" s="483"/>
      <c r="EL24" s="483"/>
      <c r="EM24" s="483"/>
      <c r="EN24" s="483"/>
      <c r="EO24" s="483"/>
      <c r="EP24" s="483"/>
      <c r="EQ24" s="483"/>
      <c r="ER24" s="483"/>
      <c r="ES24" s="483"/>
      <c r="ET24" s="483"/>
      <c r="EU24" s="483"/>
      <c r="EV24" s="483"/>
      <c r="EW24" s="483"/>
      <c r="EX24" s="483"/>
      <c r="EY24" s="483"/>
      <c r="EZ24" s="483"/>
      <c r="FA24" s="483"/>
      <c r="FB24" s="483"/>
      <c r="FC24" s="483"/>
      <c r="FD24" s="483"/>
      <c r="FE24" s="483"/>
      <c r="FF24" s="483"/>
      <c r="FG24" s="483"/>
      <c r="FH24" s="483"/>
      <c r="FI24" s="483"/>
      <c r="FJ24" s="483"/>
      <c r="FK24" s="483"/>
      <c r="FL24" s="483"/>
      <c r="FM24" s="483"/>
      <c r="FN24" s="483"/>
      <c r="FO24" s="483"/>
      <c r="FP24" s="483"/>
      <c r="FQ24" s="483"/>
      <c r="FR24" s="483"/>
      <c r="FS24" s="483"/>
      <c r="FT24" s="483"/>
      <c r="FU24" s="483"/>
      <c r="FV24" s="483"/>
      <c r="FW24" s="483"/>
      <c r="FX24" s="483"/>
      <c r="FY24" s="483"/>
      <c r="FZ24" s="483"/>
      <c r="GA24" s="483"/>
      <c r="GB24" s="483"/>
      <c r="GC24" s="483"/>
      <c r="GD24" s="483"/>
      <c r="GE24" s="483"/>
      <c r="GF24" s="483"/>
      <c r="GG24" s="483"/>
      <c r="GH24" s="483"/>
      <c r="GI24" s="483"/>
      <c r="GJ24" s="483"/>
      <c r="GK24" s="483"/>
      <c r="GL24" s="483"/>
      <c r="GM24" s="483"/>
      <c r="GN24" s="483"/>
      <c r="GO24" s="483"/>
      <c r="GP24" s="483"/>
      <c r="GQ24" s="483"/>
      <c r="GR24" s="483"/>
      <c r="GS24" s="483"/>
      <c r="GT24" s="483"/>
      <c r="GU24" s="483"/>
      <c r="GV24" s="483"/>
      <c r="GW24" s="483"/>
      <c r="GX24" s="483"/>
      <c r="GY24" s="483"/>
      <c r="GZ24" s="483"/>
      <c r="HA24" s="483"/>
      <c r="HB24" s="483"/>
      <c r="HC24" s="483"/>
      <c r="HD24" s="483"/>
      <c r="HE24" s="483"/>
      <c r="HF24" s="483"/>
      <c r="HG24" s="483"/>
      <c r="HH24" s="483"/>
      <c r="HI24" s="483"/>
      <c r="HJ24" s="483"/>
      <c r="HK24" s="483"/>
      <c r="HL24" s="483"/>
      <c r="HM24" s="483"/>
      <c r="HN24" s="483"/>
      <c r="HO24" s="483"/>
      <c r="HP24" s="483"/>
      <c r="HQ24" s="483"/>
      <c r="HR24" s="483"/>
      <c r="HS24" s="483"/>
      <c r="HT24" s="483"/>
      <c r="HU24" s="483"/>
      <c r="HV24" s="483"/>
      <c r="HW24" s="483"/>
      <c r="HX24" s="483"/>
      <c r="HY24" s="483"/>
      <c r="HZ24" s="483"/>
      <c r="IA24" s="483"/>
      <c r="IB24" s="483"/>
      <c r="IC24" s="483"/>
    </row>
    <row r="25" spans="1:237" ht="15.75">
      <c r="A25" s="74">
        <v>4</v>
      </c>
      <c r="B25" s="245" t="s">
        <v>486</v>
      </c>
      <c r="C25" s="244" t="s">
        <v>563</v>
      </c>
      <c r="D25" s="21"/>
      <c r="E25" s="493"/>
      <c r="F25" s="490">
        <f>4.1+8.038+9.882+(1.05+0.5)*8+0.313+2.3+0.5+0.7+(0.2*4+0.4*2)</f>
        <v>39.833000000000006</v>
      </c>
      <c r="G25" s="21"/>
      <c r="H25" s="44">
        <f>SUM(D25:F25)</f>
        <v>39.833000000000006</v>
      </c>
      <c r="I25" s="27"/>
      <c r="J25" s="487">
        <f>H25</f>
        <v>39.833000000000006</v>
      </c>
      <c r="K25" s="483"/>
      <c r="L25" s="483"/>
      <c r="M25" s="483"/>
      <c r="N25" s="483"/>
      <c r="O25" s="483"/>
      <c r="P25" s="483"/>
      <c r="Q25" s="483"/>
      <c r="R25" s="483"/>
      <c r="S25" s="483"/>
      <c r="T25" s="483"/>
      <c r="U25" s="483"/>
      <c r="V25" s="483"/>
      <c r="W25" s="483"/>
      <c r="X25" s="483"/>
      <c r="Y25" s="483"/>
      <c r="Z25" s="483"/>
      <c r="AA25" s="483"/>
      <c r="AB25" s="483"/>
      <c r="AC25" s="483"/>
      <c r="AD25" s="483"/>
      <c r="AE25" s="483"/>
      <c r="AF25" s="483"/>
      <c r="AG25" s="483"/>
      <c r="AH25" s="483"/>
      <c r="AI25" s="483"/>
      <c r="AJ25" s="483"/>
      <c r="AK25" s="483"/>
      <c r="AL25" s="483"/>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483"/>
      <c r="BS25" s="483"/>
      <c r="BT25" s="483"/>
      <c r="BU25" s="483"/>
      <c r="BV25" s="483"/>
      <c r="BW25" s="483"/>
      <c r="BX25" s="483"/>
      <c r="BY25" s="483"/>
      <c r="BZ25" s="483"/>
      <c r="CA25" s="483"/>
      <c r="CB25" s="483"/>
      <c r="CC25" s="483"/>
      <c r="CD25" s="483"/>
      <c r="CE25" s="483"/>
      <c r="CF25" s="483"/>
      <c r="CG25" s="483"/>
      <c r="CH25" s="483"/>
      <c r="CI25" s="483"/>
      <c r="CJ25" s="483"/>
      <c r="CK25" s="483"/>
      <c r="CL25" s="483"/>
      <c r="CM25" s="483"/>
      <c r="CN25" s="483"/>
      <c r="CO25" s="483"/>
      <c r="CP25" s="483"/>
      <c r="CQ25" s="483"/>
      <c r="CR25" s="483"/>
      <c r="CS25" s="483"/>
      <c r="CT25" s="483"/>
      <c r="CU25" s="483"/>
      <c r="CV25" s="483"/>
      <c r="CW25" s="483"/>
      <c r="CX25" s="483"/>
      <c r="CY25" s="483"/>
      <c r="CZ25" s="483"/>
      <c r="DA25" s="483"/>
      <c r="DB25" s="483"/>
      <c r="DC25" s="483"/>
      <c r="DD25" s="483"/>
      <c r="DE25" s="483"/>
      <c r="DF25" s="483"/>
      <c r="DG25" s="483"/>
      <c r="DH25" s="483"/>
      <c r="DI25" s="483"/>
      <c r="DJ25" s="483"/>
      <c r="DK25" s="483"/>
      <c r="DL25" s="483"/>
      <c r="DM25" s="483"/>
      <c r="DN25" s="483"/>
      <c r="DO25" s="483"/>
      <c r="DP25" s="483"/>
      <c r="DQ25" s="483"/>
      <c r="DR25" s="483"/>
      <c r="DS25" s="483"/>
      <c r="DT25" s="483"/>
      <c r="DU25" s="483"/>
      <c r="DV25" s="483"/>
      <c r="DW25" s="483"/>
      <c r="DX25" s="483"/>
      <c r="DY25" s="483"/>
      <c r="DZ25" s="483"/>
      <c r="EA25" s="483"/>
      <c r="EB25" s="483"/>
      <c r="EC25" s="483"/>
      <c r="ED25" s="483"/>
      <c r="EE25" s="483"/>
      <c r="EF25" s="483"/>
      <c r="EG25" s="483"/>
      <c r="EH25" s="483"/>
      <c r="EI25" s="483"/>
      <c r="EJ25" s="483"/>
      <c r="EK25" s="483"/>
      <c r="EL25" s="483"/>
      <c r="EM25" s="483"/>
      <c r="EN25" s="483"/>
      <c r="EO25" s="483"/>
      <c r="EP25" s="483"/>
      <c r="EQ25" s="483"/>
      <c r="ER25" s="483"/>
      <c r="ES25" s="483"/>
      <c r="ET25" s="483"/>
      <c r="EU25" s="483"/>
      <c r="EV25" s="483"/>
      <c r="EW25" s="483"/>
      <c r="EX25" s="483"/>
      <c r="EY25" s="483"/>
      <c r="EZ25" s="483"/>
      <c r="FA25" s="483"/>
      <c r="FB25" s="483"/>
      <c r="FC25" s="483"/>
      <c r="FD25" s="483"/>
      <c r="FE25" s="483"/>
      <c r="FF25" s="483"/>
      <c r="FG25" s="483"/>
      <c r="FH25" s="483"/>
      <c r="FI25" s="483"/>
      <c r="FJ25" s="483"/>
      <c r="FK25" s="483"/>
      <c r="FL25" s="483"/>
      <c r="FM25" s="483"/>
      <c r="FN25" s="483"/>
      <c r="FO25" s="483"/>
      <c r="FP25" s="483"/>
      <c r="FQ25" s="483"/>
      <c r="FR25" s="483"/>
      <c r="FS25" s="483"/>
      <c r="FT25" s="483"/>
      <c r="FU25" s="483"/>
      <c r="FV25" s="483"/>
      <c r="FW25" s="483"/>
      <c r="FX25" s="483"/>
      <c r="FY25" s="483"/>
      <c r="FZ25" s="483"/>
      <c r="GA25" s="483"/>
      <c r="GB25" s="483"/>
      <c r="GC25" s="483"/>
      <c r="GD25" s="483"/>
      <c r="GE25" s="483"/>
      <c r="GF25" s="483"/>
      <c r="GG25" s="483"/>
      <c r="GH25" s="483"/>
      <c r="GI25" s="483"/>
      <c r="GJ25" s="483"/>
      <c r="GK25" s="483"/>
      <c r="GL25" s="483"/>
      <c r="GM25" s="483"/>
      <c r="GN25" s="483"/>
      <c r="GO25" s="483"/>
      <c r="GP25" s="483"/>
      <c r="GQ25" s="483"/>
      <c r="GR25" s="483"/>
      <c r="GS25" s="483"/>
      <c r="GT25" s="483"/>
      <c r="GU25" s="483"/>
      <c r="GV25" s="483"/>
      <c r="GW25" s="483"/>
      <c r="GX25" s="483"/>
      <c r="GY25" s="483"/>
      <c r="GZ25" s="483"/>
      <c r="HA25" s="483"/>
      <c r="HB25" s="483"/>
      <c r="HC25" s="483"/>
      <c r="HD25" s="483"/>
      <c r="HE25" s="483"/>
      <c r="HF25" s="483"/>
      <c r="HG25" s="483"/>
      <c r="HH25" s="483"/>
      <c r="HI25" s="483"/>
      <c r="HJ25" s="483"/>
      <c r="HK25" s="483"/>
      <c r="HL25" s="483"/>
      <c r="HM25" s="483"/>
      <c r="HN25" s="483"/>
      <c r="HO25" s="483"/>
      <c r="HP25" s="483"/>
      <c r="HQ25" s="483"/>
      <c r="HR25" s="483"/>
      <c r="HS25" s="483"/>
      <c r="HT25" s="483"/>
      <c r="HU25" s="483"/>
      <c r="HV25" s="483"/>
      <c r="HW25" s="483"/>
      <c r="HX25" s="483"/>
      <c r="HY25" s="483"/>
      <c r="HZ25" s="483"/>
      <c r="IA25" s="483"/>
      <c r="IB25" s="483"/>
      <c r="IC25" s="483"/>
    </row>
    <row r="26" spans="1:237" ht="15.75">
      <c r="A26" s="74"/>
      <c r="B26" s="245"/>
      <c r="C26" s="74"/>
      <c r="D26" s="21"/>
      <c r="E26" s="493"/>
      <c r="F26" s="490"/>
      <c r="G26" s="21"/>
      <c r="H26" s="44"/>
      <c r="I26" s="27"/>
      <c r="J26" s="487"/>
      <c r="K26" s="483"/>
      <c r="L26" s="483"/>
      <c r="M26" s="483"/>
      <c r="N26" s="483"/>
      <c r="O26" s="483"/>
      <c r="P26" s="483"/>
      <c r="Q26" s="483"/>
      <c r="R26" s="483"/>
      <c r="S26" s="483"/>
      <c r="T26" s="483"/>
      <c r="U26" s="483"/>
      <c r="V26" s="483"/>
      <c r="W26" s="483"/>
      <c r="X26" s="483"/>
      <c r="Y26" s="483"/>
      <c r="Z26" s="483"/>
      <c r="AA26" s="483"/>
      <c r="AB26" s="483"/>
      <c r="AC26" s="483"/>
      <c r="AD26" s="483"/>
      <c r="AE26" s="483"/>
      <c r="AF26" s="483"/>
      <c r="AG26" s="483"/>
      <c r="AH26" s="483"/>
      <c r="AI26" s="483"/>
      <c r="AJ26" s="483"/>
      <c r="AK26" s="483"/>
      <c r="AL26" s="483"/>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483"/>
      <c r="BS26" s="483"/>
      <c r="BT26" s="483"/>
      <c r="BU26" s="483"/>
      <c r="BV26" s="483"/>
      <c r="BW26" s="483"/>
      <c r="BX26" s="483"/>
      <c r="BY26" s="483"/>
      <c r="BZ26" s="483"/>
      <c r="CA26" s="483"/>
      <c r="CB26" s="483"/>
      <c r="CC26" s="483"/>
      <c r="CD26" s="483"/>
      <c r="CE26" s="483"/>
      <c r="CF26" s="483"/>
      <c r="CG26" s="483"/>
      <c r="CH26" s="483"/>
      <c r="CI26" s="483"/>
      <c r="CJ26" s="483"/>
      <c r="CK26" s="483"/>
      <c r="CL26" s="483"/>
      <c r="CM26" s="483"/>
      <c r="CN26" s="483"/>
      <c r="CO26" s="483"/>
      <c r="CP26" s="483"/>
      <c r="CQ26" s="483"/>
      <c r="CR26" s="483"/>
      <c r="CS26" s="483"/>
      <c r="CT26" s="483"/>
      <c r="CU26" s="483"/>
      <c r="CV26" s="483"/>
      <c r="CW26" s="483"/>
      <c r="CX26" s="483"/>
      <c r="CY26" s="483"/>
      <c r="CZ26" s="483"/>
      <c r="DA26" s="483"/>
      <c r="DB26" s="483"/>
      <c r="DC26" s="483"/>
      <c r="DD26" s="483"/>
      <c r="DE26" s="483"/>
      <c r="DF26" s="483"/>
      <c r="DG26" s="483"/>
      <c r="DH26" s="483"/>
      <c r="DI26" s="483"/>
      <c r="DJ26" s="483"/>
      <c r="DK26" s="483"/>
      <c r="DL26" s="483"/>
      <c r="DM26" s="483"/>
      <c r="DN26" s="483"/>
      <c r="DO26" s="483"/>
      <c r="DP26" s="483"/>
      <c r="DQ26" s="483"/>
      <c r="DR26" s="483"/>
      <c r="DS26" s="483"/>
      <c r="DT26" s="483"/>
      <c r="DU26" s="483"/>
      <c r="DV26" s="483"/>
      <c r="DW26" s="483"/>
      <c r="DX26" s="483"/>
      <c r="DY26" s="483"/>
      <c r="DZ26" s="483"/>
      <c r="EA26" s="483"/>
      <c r="EB26" s="483"/>
      <c r="EC26" s="483"/>
      <c r="ED26" s="483"/>
      <c r="EE26" s="483"/>
      <c r="EF26" s="483"/>
      <c r="EG26" s="483"/>
      <c r="EH26" s="483"/>
      <c r="EI26" s="483"/>
      <c r="EJ26" s="483"/>
      <c r="EK26" s="483"/>
      <c r="EL26" s="483"/>
      <c r="EM26" s="483"/>
      <c r="EN26" s="483"/>
      <c r="EO26" s="483"/>
      <c r="EP26" s="483"/>
      <c r="EQ26" s="483"/>
      <c r="ER26" s="483"/>
      <c r="ES26" s="483"/>
      <c r="ET26" s="483"/>
      <c r="EU26" s="483"/>
      <c r="EV26" s="483"/>
      <c r="EW26" s="483"/>
      <c r="EX26" s="483"/>
      <c r="EY26" s="483"/>
      <c r="EZ26" s="483"/>
      <c r="FA26" s="483"/>
      <c r="FB26" s="483"/>
      <c r="FC26" s="483"/>
      <c r="FD26" s="483"/>
      <c r="FE26" s="483"/>
      <c r="FF26" s="483"/>
      <c r="FG26" s="483"/>
      <c r="FH26" s="483"/>
      <c r="FI26" s="483"/>
      <c r="FJ26" s="483"/>
      <c r="FK26" s="483"/>
      <c r="FL26" s="483"/>
      <c r="FM26" s="483"/>
      <c r="FN26" s="483"/>
      <c r="FO26" s="483"/>
      <c r="FP26" s="483"/>
      <c r="FQ26" s="483"/>
      <c r="FR26" s="483"/>
      <c r="FS26" s="483"/>
      <c r="FT26" s="483"/>
      <c r="FU26" s="483"/>
      <c r="FV26" s="483"/>
      <c r="FW26" s="483"/>
      <c r="FX26" s="483"/>
      <c r="FY26" s="483"/>
      <c r="FZ26" s="483"/>
      <c r="GA26" s="483"/>
      <c r="GB26" s="483"/>
      <c r="GC26" s="483"/>
      <c r="GD26" s="483"/>
      <c r="GE26" s="483"/>
      <c r="GF26" s="483"/>
      <c r="GG26" s="483"/>
      <c r="GH26" s="483"/>
      <c r="GI26" s="483"/>
      <c r="GJ26" s="483"/>
      <c r="GK26" s="483"/>
      <c r="GL26" s="483"/>
      <c r="GM26" s="483"/>
      <c r="GN26" s="483"/>
      <c r="GO26" s="483"/>
      <c r="GP26" s="483"/>
      <c r="GQ26" s="483"/>
      <c r="GR26" s="483"/>
      <c r="GS26" s="483"/>
      <c r="GT26" s="483"/>
      <c r="GU26" s="483"/>
      <c r="GV26" s="483"/>
      <c r="GW26" s="483"/>
      <c r="GX26" s="483"/>
      <c r="GY26" s="483"/>
      <c r="GZ26" s="483"/>
      <c r="HA26" s="483"/>
      <c r="HB26" s="483"/>
      <c r="HC26" s="483"/>
      <c r="HD26" s="483"/>
      <c r="HE26" s="483"/>
      <c r="HF26" s="483"/>
      <c r="HG26" s="483"/>
      <c r="HH26" s="483"/>
      <c r="HI26" s="483"/>
      <c r="HJ26" s="483"/>
      <c r="HK26" s="483"/>
      <c r="HL26" s="483"/>
      <c r="HM26" s="483"/>
      <c r="HN26" s="483"/>
      <c r="HO26" s="483"/>
      <c r="HP26" s="483"/>
      <c r="HQ26" s="483"/>
      <c r="HR26" s="483"/>
      <c r="HS26" s="483"/>
      <c r="HT26" s="483"/>
      <c r="HU26" s="483"/>
      <c r="HV26" s="483"/>
      <c r="HW26" s="483"/>
      <c r="HX26" s="483"/>
      <c r="HY26" s="483"/>
      <c r="HZ26" s="483"/>
      <c r="IA26" s="483"/>
      <c r="IB26" s="483"/>
      <c r="IC26" s="483"/>
    </row>
    <row r="27" spans="1:237" ht="15.75">
      <c r="A27" s="74"/>
      <c r="B27" s="245"/>
      <c r="C27" s="74"/>
      <c r="D27" s="21"/>
      <c r="E27" s="493"/>
      <c r="F27" s="490"/>
      <c r="G27" s="21"/>
      <c r="H27" s="44"/>
      <c r="I27" s="27"/>
      <c r="J27" s="487"/>
      <c r="K27" s="483"/>
      <c r="L27" s="483"/>
      <c r="M27" s="483"/>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483"/>
      <c r="BS27" s="483"/>
      <c r="BT27" s="483"/>
      <c r="BU27" s="483"/>
      <c r="BV27" s="483"/>
      <c r="BW27" s="483"/>
      <c r="BX27" s="483"/>
      <c r="BY27" s="483"/>
      <c r="BZ27" s="483"/>
      <c r="CA27" s="483"/>
      <c r="CB27" s="483"/>
      <c r="CC27" s="483"/>
      <c r="CD27" s="483"/>
      <c r="CE27" s="483"/>
      <c r="CF27" s="483"/>
      <c r="CG27" s="483"/>
      <c r="CH27" s="483"/>
      <c r="CI27" s="483"/>
      <c r="CJ27" s="483"/>
      <c r="CK27" s="483"/>
      <c r="CL27" s="483"/>
      <c r="CM27" s="483"/>
      <c r="CN27" s="483"/>
      <c r="CO27" s="483"/>
      <c r="CP27" s="483"/>
      <c r="CQ27" s="483"/>
      <c r="CR27" s="483"/>
      <c r="CS27" s="483"/>
      <c r="CT27" s="483"/>
      <c r="CU27" s="483"/>
      <c r="CV27" s="483"/>
      <c r="CW27" s="483"/>
      <c r="CX27" s="483"/>
      <c r="CY27" s="483"/>
      <c r="CZ27" s="483"/>
      <c r="DA27" s="483"/>
      <c r="DB27" s="483"/>
      <c r="DC27" s="483"/>
      <c r="DD27" s="483"/>
      <c r="DE27" s="483"/>
      <c r="DF27" s="483"/>
      <c r="DG27" s="483"/>
      <c r="DH27" s="483"/>
      <c r="DI27" s="483"/>
      <c r="DJ27" s="483"/>
      <c r="DK27" s="483"/>
      <c r="DL27" s="483"/>
      <c r="DM27" s="483"/>
      <c r="DN27" s="483"/>
      <c r="DO27" s="483"/>
      <c r="DP27" s="483"/>
      <c r="DQ27" s="483"/>
      <c r="DR27" s="483"/>
      <c r="DS27" s="483"/>
      <c r="DT27" s="483"/>
      <c r="DU27" s="483"/>
      <c r="DV27" s="483"/>
      <c r="DW27" s="483"/>
      <c r="DX27" s="483"/>
      <c r="DY27" s="483"/>
      <c r="DZ27" s="483"/>
      <c r="EA27" s="483"/>
      <c r="EB27" s="483"/>
      <c r="EC27" s="483"/>
      <c r="ED27" s="483"/>
      <c r="EE27" s="483"/>
      <c r="EF27" s="483"/>
      <c r="EG27" s="483"/>
      <c r="EH27" s="483"/>
      <c r="EI27" s="483"/>
      <c r="EJ27" s="483"/>
      <c r="EK27" s="483"/>
      <c r="EL27" s="483"/>
      <c r="EM27" s="483"/>
      <c r="EN27" s="483"/>
      <c r="EO27" s="483"/>
      <c r="EP27" s="483"/>
      <c r="EQ27" s="483"/>
      <c r="ER27" s="483"/>
      <c r="ES27" s="483"/>
      <c r="ET27" s="483"/>
      <c r="EU27" s="483"/>
      <c r="EV27" s="483"/>
      <c r="EW27" s="483"/>
      <c r="EX27" s="483"/>
      <c r="EY27" s="483"/>
      <c r="EZ27" s="483"/>
      <c r="FA27" s="483"/>
      <c r="FB27" s="483"/>
      <c r="FC27" s="483"/>
      <c r="FD27" s="483"/>
      <c r="FE27" s="483"/>
      <c r="FF27" s="483"/>
      <c r="FG27" s="483"/>
      <c r="FH27" s="483"/>
      <c r="FI27" s="483"/>
      <c r="FJ27" s="483"/>
      <c r="FK27" s="483"/>
      <c r="FL27" s="483"/>
      <c r="FM27" s="483"/>
      <c r="FN27" s="483"/>
      <c r="FO27" s="483"/>
      <c r="FP27" s="483"/>
      <c r="FQ27" s="483"/>
      <c r="FR27" s="483"/>
      <c r="FS27" s="483"/>
      <c r="FT27" s="483"/>
      <c r="FU27" s="483"/>
      <c r="FV27" s="483"/>
      <c r="FW27" s="483"/>
      <c r="FX27" s="483"/>
      <c r="FY27" s="483"/>
      <c r="FZ27" s="483"/>
      <c r="GA27" s="483"/>
      <c r="GB27" s="483"/>
      <c r="GC27" s="483"/>
      <c r="GD27" s="483"/>
      <c r="GE27" s="483"/>
      <c r="GF27" s="483"/>
      <c r="GG27" s="483"/>
      <c r="GH27" s="483"/>
      <c r="GI27" s="483"/>
      <c r="GJ27" s="483"/>
      <c r="GK27" s="483"/>
      <c r="GL27" s="483"/>
      <c r="GM27" s="483"/>
      <c r="GN27" s="483"/>
      <c r="GO27" s="483"/>
      <c r="GP27" s="483"/>
      <c r="GQ27" s="483"/>
      <c r="GR27" s="483"/>
      <c r="GS27" s="483"/>
      <c r="GT27" s="483"/>
      <c r="GU27" s="483"/>
      <c r="GV27" s="483"/>
      <c r="GW27" s="483"/>
      <c r="GX27" s="483"/>
      <c r="GY27" s="483"/>
      <c r="GZ27" s="483"/>
      <c r="HA27" s="483"/>
      <c r="HB27" s="483"/>
      <c r="HC27" s="483"/>
      <c r="HD27" s="483"/>
      <c r="HE27" s="483"/>
      <c r="HF27" s="483"/>
      <c r="HG27" s="483"/>
      <c r="HH27" s="483"/>
      <c r="HI27" s="483"/>
      <c r="HJ27" s="483"/>
      <c r="HK27" s="483"/>
      <c r="HL27" s="483"/>
      <c r="HM27" s="483"/>
      <c r="HN27" s="483"/>
      <c r="HO27" s="483"/>
      <c r="HP27" s="483"/>
      <c r="HQ27" s="483"/>
      <c r="HR27" s="483"/>
      <c r="HS27" s="483"/>
      <c r="HT27" s="483"/>
      <c r="HU27" s="483"/>
      <c r="HV27" s="483"/>
      <c r="HW27" s="483"/>
      <c r="HX27" s="483"/>
      <c r="HY27" s="483"/>
      <c r="HZ27" s="483"/>
      <c r="IA27" s="483"/>
      <c r="IB27" s="483"/>
      <c r="IC27" s="483"/>
    </row>
    <row r="28" spans="1:237" ht="18.75">
      <c r="A28" s="266" t="s">
        <v>82</v>
      </c>
      <c r="B28" s="915" t="s">
        <v>603</v>
      </c>
      <c r="C28" s="916"/>
      <c r="D28" s="916"/>
      <c r="E28" s="916"/>
      <c r="F28" s="916"/>
      <c r="G28" s="509"/>
      <c r="H28" s="510"/>
      <c r="I28" s="510"/>
      <c r="J28" s="510">
        <f>H29</f>
        <v>11</v>
      </c>
      <c r="K28" s="483"/>
      <c r="L28" s="483"/>
      <c r="M28" s="483"/>
      <c r="N28" s="483"/>
      <c r="O28" s="483"/>
      <c r="P28" s="483"/>
      <c r="Q28" s="483"/>
      <c r="R28" s="483"/>
      <c r="S28" s="483"/>
      <c r="T28" s="483"/>
      <c r="U28" s="483"/>
      <c r="V28" s="483"/>
      <c r="W28" s="483"/>
      <c r="X28" s="483"/>
      <c r="Y28" s="483"/>
      <c r="Z28" s="483"/>
      <c r="AA28" s="483"/>
      <c r="AB28" s="483"/>
      <c r="AC28" s="483"/>
      <c r="AD28" s="483"/>
      <c r="AE28" s="483"/>
      <c r="AF28" s="483"/>
      <c r="AG28" s="483"/>
      <c r="AH28" s="483"/>
      <c r="AI28" s="483"/>
      <c r="AJ28" s="483"/>
      <c r="AK28" s="483"/>
      <c r="AL28" s="483"/>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483"/>
      <c r="BS28" s="483"/>
      <c r="BT28" s="483"/>
      <c r="BU28" s="483"/>
      <c r="BV28" s="483"/>
      <c r="BW28" s="483"/>
      <c r="BX28" s="483"/>
      <c r="BY28" s="483"/>
      <c r="BZ28" s="483"/>
      <c r="CA28" s="483"/>
      <c r="CB28" s="483"/>
      <c r="CC28" s="483"/>
      <c r="CD28" s="483"/>
      <c r="CE28" s="483"/>
      <c r="CF28" s="483"/>
      <c r="CG28" s="483"/>
      <c r="CH28" s="483"/>
      <c r="CI28" s="483"/>
      <c r="CJ28" s="483"/>
      <c r="CK28" s="483"/>
      <c r="CL28" s="483"/>
      <c r="CM28" s="483"/>
      <c r="CN28" s="483"/>
      <c r="CO28" s="483"/>
      <c r="CP28" s="483"/>
      <c r="CQ28" s="483"/>
      <c r="CR28" s="483"/>
      <c r="CS28" s="483"/>
      <c r="CT28" s="483"/>
      <c r="CU28" s="483"/>
      <c r="CV28" s="483"/>
      <c r="CW28" s="483"/>
      <c r="CX28" s="483"/>
      <c r="CY28" s="483"/>
      <c r="CZ28" s="483"/>
      <c r="DA28" s="483"/>
      <c r="DB28" s="483"/>
      <c r="DC28" s="483"/>
      <c r="DD28" s="483"/>
      <c r="DE28" s="483"/>
      <c r="DF28" s="483"/>
      <c r="DG28" s="483"/>
      <c r="DH28" s="483"/>
      <c r="DI28" s="483"/>
      <c r="DJ28" s="483"/>
      <c r="DK28" s="483"/>
      <c r="DL28" s="483"/>
      <c r="DM28" s="483"/>
      <c r="DN28" s="483"/>
      <c r="DO28" s="483"/>
      <c r="DP28" s="483"/>
      <c r="DQ28" s="483"/>
      <c r="DR28" s="483"/>
      <c r="DS28" s="483"/>
      <c r="DT28" s="483"/>
      <c r="DU28" s="483"/>
      <c r="DV28" s="483"/>
      <c r="DW28" s="483"/>
      <c r="DX28" s="483"/>
      <c r="DY28" s="483"/>
      <c r="DZ28" s="483"/>
      <c r="EA28" s="483"/>
      <c r="EB28" s="483"/>
      <c r="EC28" s="483"/>
      <c r="ED28" s="483"/>
      <c r="EE28" s="483"/>
      <c r="EF28" s="483"/>
      <c r="EG28" s="483"/>
      <c r="EH28" s="483"/>
      <c r="EI28" s="483"/>
      <c r="EJ28" s="483"/>
      <c r="EK28" s="483"/>
      <c r="EL28" s="483"/>
      <c r="EM28" s="483"/>
      <c r="EN28" s="483"/>
      <c r="EO28" s="483"/>
      <c r="EP28" s="483"/>
      <c r="EQ28" s="483"/>
      <c r="ER28" s="483"/>
      <c r="ES28" s="483"/>
      <c r="ET28" s="483"/>
      <c r="EU28" s="483"/>
      <c r="EV28" s="483"/>
      <c r="EW28" s="483"/>
      <c r="EX28" s="483"/>
      <c r="EY28" s="483"/>
      <c r="EZ28" s="483"/>
      <c r="FA28" s="483"/>
      <c r="FB28" s="483"/>
      <c r="FC28" s="483"/>
      <c r="FD28" s="483"/>
      <c r="FE28" s="483"/>
      <c r="FF28" s="483"/>
      <c r="FG28" s="483"/>
      <c r="FH28" s="483"/>
      <c r="FI28" s="483"/>
      <c r="FJ28" s="483"/>
      <c r="FK28" s="483"/>
      <c r="FL28" s="483"/>
      <c r="FM28" s="483"/>
      <c r="FN28" s="483"/>
      <c r="FO28" s="483"/>
      <c r="FP28" s="483"/>
      <c r="FQ28" s="483"/>
      <c r="FR28" s="483"/>
      <c r="FS28" s="483"/>
      <c r="FT28" s="483"/>
      <c r="FU28" s="483"/>
      <c r="FV28" s="483"/>
      <c r="FW28" s="483"/>
      <c r="FX28" s="483"/>
      <c r="FY28" s="483"/>
      <c r="FZ28" s="483"/>
      <c r="GA28" s="483"/>
      <c r="GB28" s="483"/>
      <c r="GC28" s="483"/>
      <c r="GD28" s="483"/>
      <c r="GE28" s="483"/>
      <c r="GF28" s="483"/>
      <c r="GG28" s="483"/>
      <c r="GH28" s="483"/>
      <c r="GI28" s="483"/>
      <c r="GJ28" s="483"/>
      <c r="GK28" s="483"/>
      <c r="GL28" s="483"/>
      <c r="GM28" s="483"/>
      <c r="GN28" s="483"/>
      <c r="GO28" s="483"/>
      <c r="GP28" s="483"/>
      <c r="GQ28" s="483"/>
      <c r="GR28" s="483"/>
      <c r="GS28" s="483"/>
      <c r="GT28" s="483"/>
      <c r="GU28" s="483"/>
      <c r="GV28" s="483"/>
      <c r="GW28" s="483"/>
      <c r="GX28" s="483"/>
      <c r="GY28" s="483"/>
      <c r="GZ28" s="483"/>
      <c r="HA28" s="483"/>
      <c r="HB28" s="483"/>
      <c r="HC28" s="483"/>
      <c r="HD28" s="483"/>
      <c r="HE28" s="483"/>
      <c r="HF28" s="483"/>
      <c r="HG28" s="483"/>
      <c r="HH28" s="483"/>
      <c r="HI28" s="483"/>
      <c r="HJ28" s="483"/>
      <c r="HK28" s="483"/>
      <c r="HL28" s="483"/>
      <c r="HM28" s="483"/>
      <c r="HN28" s="483"/>
      <c r="HO28" s="483"/>
      <c r="HP28" s="483"/>
      <c r="HQ28" s="483"/>
      <c r="HR28" s="483"/>
      <c r="HS28" s="483"/>
      <c r="HT28" s="483"/>
      <c r="HU28" s="483"/>
      <c r="HV28" s="483"/>
      <c r="HW28" s="483"/>
      <c r="HX28" s="483"/>
      <c r="HY28" s="483"/>
      <c r="HZ28" s="483"/>
      <c r="IA28" s="483"/>
      <c r="IB28" s="483"/>
      <c r="IC28" s="483"/>
    </row>
    <row r="29" spans="1:237" ht="15.75">
      <c r="A29" s="74"/>
      <c r="B29" s="245" t="s">
        <v>604</v>
      </c>
      <c r="C29" s="244" t="s">
        <v>583</v>
      </c>
      <c r="D29" s="21"/>
      <c r="E29" s="493">
        <v>11</v>
      </c>
      <c r="F29" s="490"/>
      <c r="G29" s="21"/>
      <c r="H29" s="21">
        <f>SUM(D29:F29)</f>
        <v>11</v>
      </c>
      <c r="I29" s="27"/>
      <c r="J29" s="487"/>
      <c r="K29" s="483"/>
      <c r="L29" s="483"/>
      <c r="M29" s="483"/>
      <c r="N29" s="483"/>
      <c r="O29" s="483"/>
      <c r="P29" s="483"/>
      <c r="Q29" s="483"/>
      <c r="R29" s="483"/>
      <c r="S29" s="483"/>
      <c r="T29" s="483"/>
      <c r="U29" s="483"/>
      <c r="V29" s="483"/>
      <c r="W29" s="483"/>
      <c r="X29" s="483"/>
      <c r="Y29" s="483"/>
      <c r="Z29" s="483"/>
      <c r="AA29" s="483"/>
      <c r="AB29" s="483"/>
      <c r="AC29" s="483"/>
      <c r="AD29" s="483"/>
      <c r="AE29" s="483"/>
      <c r="AF29" s="483"/>
      <c r="AG29" s="483"/>
      <c r="AH29" s="483"/>
      <c r="AI29" s="483"/>
      <c r="AJ29" s="483"/>
      <c r="AK29" s="483"/>
      <c r="AL29" s="483"/>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483"/>
      <c r="BS29" s="483"/>
      <c r="BT29" s="483"/>
      <c r="BU29" s="483"/>
      <c r="BV29" s="483"/>
      <c r="BW29" s="483"/>
      <c r="BX29" s="483"/>
      <c r="BY29" s="483"/>
      <c r="BZ29" s="483"/>
      <c r="CA29" s="483"/>
      <c r="CB29" s="483"/>
      <c r="CC29" s="483"/>
      <c r="CD29" s="483"/>
      <c r="CE29" s="483"/>
      <c r="CF29" s="483"/>
      <c r="CG29" s="483"/>
      <c r="CH29" s="483"/>
      <c r="CI29" s="483"/>
      <c r="CJ29" s="483"/>
      <c r="CK29" s="483"/>
      <c r="CL29" s="483"/>
      <c r="CM29" s="483"/>
      <c r="CN29" s="483"/>
      <c r="CO29" s="483"/>
      <c r="CP29" s="483"/>
      <c r="CQ29" s="483"/>
      <c r="CR29" s="483"/>
      <c r="CS29" s="483"/>
      <c r="CT29" s="483"/>
      <c r="CU29" s="483"/>
      <c r="CV29" s="483"/>
      <c r="CW29" s="483"/>
      <c r="CX29" s="483"/>
      <c r="CY29" s="483"/>
      <c r="CZ29" s="483"/>
      <c r="DA29" s="483"/>
      <c r="DB29" s="483"/>
      <c r="DC29" s="483"/>
      <c r="DD29" s="483"/>
      <c r="DE29" s="483"/>
      <c r="DF29" s="483"/>
      <c r="DG29" s="483"/>
      <c r="DH29" s="483"/>
      <c r="DI29" s="483"/>
      <c r="DJ29" s="483"/>
      <c r="DK29" s="483"/>
      <c r="DL29" s="483"/>
      <c r="DM29" s="483"/>
      <c r="DN29" s="483"/>
      <c r="DO29" s="483"/>
      <c r="DP29" s="483"/>
      <c r="DQ29" s="483"/>
      <c r="DR29" s="483"/>
      <c r="DS29" s="483"/>
      <c r="DT29" s="483"/>
      <c r="DU29" s="483"/>
      <c r="DV29" s="483"/>
      <c r="DW29" s="483"/>
      <c r="DX29" s="483"/>
      <c r="DY29" s="483"/>
      <c r="DZ29" s="483"/>
      <c r="EA29" s="483"/>
      <c r="EB29" s="483"/>
      <c r="EC29" s="483"/>
      <c r="ED29" s="483"/>
      <c r="EE29" s="483"/>
      <c r="EF29" s="483"/>
      <c r="EG29" s="483"/>
      <c r="EH29" s="483"/>
      <c r="EI29" s="483"/>
      <c r="EJ29" s="483"/>
      <c r="EK29" s="483"/>
      <c r="EL29" s="483"/>
      <c r="EM29" s="483"/>
      <c r="EN29" s="483"/>
      <c r="EO29" s="483"/>
      <c r="EP29" s="483"/>
      <c r="EQ29" s="483"/>
      <c r="ER29" s="483"/>
      <c r="ES29" s="483"/>
      <c r="ET29" s="483"/>
      <c r="EU29" s="483"/>
      <c r="EV29" s="483"/>
      <c r="EW29" s="483"/>
      <c r="EX29" s="483"/>
      <c r="EY29" s="483"/>
      <c r="EZ29" s="483"/>
      <c r="FA29" s="483"/>
      <c r="FB29" s="483"/>
      <c r="FC29" s="483"/>
      <c r="FD29" s="483"/>
      <c r="FE29" s="483"/>
      <c r="FF29" s="483"/>
      <c r="FG29" s="483"/>
      <c r="FH29" s="483"/>
      <c r="FI29" s="483"/>
      <c r="FJ29" s="483"/>
      <c r="FK29" s="483"/>
      <c r="FL29" s="483"/>
      <c r="FM29" s="483"/>
      <c r="FN29" s="483"/>
      <c r="FO29" s="483"/>
      <c r="FP29" s="483"/>
      <c r="FQ29" s="483"/>
      <c r="FR29" s="483"/>
      <c r="FS29" s="483"/>
      <c r="FT29" s="483"/>
      <c r="FU29" s="483"/>
      <c r="FV29" s="483"/>
      <c r="FW29" s="483"/>
      <c r="FX29" s="483"/>
      <c r="FY29" s="483"/>
      <c r="FZ29" s="483"/>
      <c r="GA29" s="483"/>
      <c r="GB29" s="483"/>
      <c r="GC29" s="483"/>
      <c r="GD29" s="483"/>
      <c r="GE29" s="483"/>
      <c r="GF29" s="483"/>
      <c r="GG29" s="483"/>
      <c r="GH29" s="483"/>
      <c r="GI29" s="483"/>
      <c r="GJ29" s="483"/>
      <c r="GK29" s="483"/>
      <c r="GL29" s="483"/>
      <c r="GM29" s="483"/>
      <c r="GN29" s="483"/>
      <c r="GO29" s="483"/>
      <c r="GP29" s="483"/>
      <c r="GQ29" s="483"/>
      <c r="GR29" s="483"/>
      <c r="GS29" s="483"/>
      <c r="GT29" s="483"/>
      <c r="GU29" s="483"/>
      <c r="GV29" s="483"/>
      <c r="GW29" s="483"/>
      <c r="GX29" s="483"/>
      <c r="GY29" s="483"/>
      <c r="GZ29" s="483"/>
      <c r="HA29" s="483"/>
      <c r="HB29" s="483"/>
      <c r="HC29" s="483"/>
      <c r="HD29" s="483"/>
      <c r="HE29" s="483"/>
      <c r="HF29" s="483"/>
      <c r="HG29" s="483"/>
      <c r="HH29" s="483"/>
      <c r="HI29" s="483"/>
      <c r="HJ29" s="483"/>
      <c r="HK29" s="483"/>
      <c r="HL29" s="483"/>
      <c r="HM29" s="483"/>
      <c r="HN29" s="483"/>
      <c r="HO29" s="483"/>
      <c r="HP29" s="483"/>
      <c r="HQ29" s="483"/>
      <c r="HR29" s="483"/>
      <c r="HS29" s="483"/>
      <c r="HT29" s="483"/>
      <c r="HU29" s="483"/>
      <c r="HV29" s="483"/>
      <c r="HW29" s="483"/>
      <c r="HX29" s="483"/>
      <c r="HY29" s="483"/>
      <c r="HZ29" s="483"/>
      <c r="IA29" s="483"/>
      <c r="IB29" s="483"/>
      <c r="IC29" s="483"/>
    </row>
    <row r="30" spans="1:237" ht="18.75">
      <c r="A30" s="266" t="s">
        <v>458</v>
      </c>
      <c r="B30" s="915" t="s">
        <v>605</v>
      </c>
      <c r="C30" s="916"/>
      <c r="D30" s="916"/>
      <c r="E30" s="916"/>
      <c r="F30" s="916"/>
      <c r="G30" s="509"/>
      <c r="H30" s="510"/>
      <c r="I30" s="510"/>
      <c r="J30" s="510">
        <f>SUM(H31:H34)</f>
        <v>378.90500000000003</v>
      </c>
      <c r="K30" s="483"/>
      <c r="L30" s="483"/>
      <c r="M30" s="483"/>
      <c r="N30" s="483"/>
      <c r="O30" s="483"/>
      <c r="P30" s="483"/>
      <c r="Q30" s="483"/>
      <c r="R30" s="483"/>
      <c r="S30" s="483"/>
      <c r="T30" s="483"/>
      <c r="U30" s="483"/>
      <c r="V30" s="483"/>
      <c r="W30" s="483"/>
      <c r="X30" s="483"/>
      <c r="Y30" s="483"/>
      <c r="Z30" s="483"/>
      <c r="AA30" s="483"/>
      <c r="AB30" s="483"/>
      <c r="AC30" s="483"/>
      <c r="AD30" s="483"/>
      <c r="AE30" s="483"/>
      <c r="AF30" s="483"/>
      <c r="AG30" s="483"/>
      <c r="AH30" s="483"/>
      <c r="AI30" s="483"/>
      <c r="AJ30" s="483"/>
      <c r="AK30" s="483"/>
      <c r="AL30" s="483"/>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483"/>
      <c r="BS30" s="483"/>
      <c r="BT30" s="483"/>
      <c r="BU30" s="483"/>
      <c r="BV30" s="483"/>
      <c r="BW30" s="483"/>
      <c r="BX30" s="483"/>
      <c r="BY30" s="483"/>
      <c r="BZ30" s="483"/>
      <c r="CA30" s="483"/>
      <c r="CB30" s="483"/>
      <c r="CC30" s="483"/>
      <c r="CD30" s="483"/>
      <c r="CE30" s="483"/>
      <c r="CF30" s="483"/>
      <c r="CG30" s="483"/>
      <c r="CH30" s="483"/>
      <c r="CI30" s="483"/>
      <c r="CJ30" s="483"/>
      <c r="CK30" s="483"/>
      <c r="CL30" s="483"/>
      <c r="CM30" s="483"/>
      <c r="CN30" s="483"/>
      <c r="CO30" s="483"/>
      <c r="CP30" s="483"/>
      <c r="CQ30" s="483"/>
      <c r="CR30" s="483"/>
      <c r="CS30" s="483"/>
      <c r="CT30" s="483"/>
      <c r="CU30" s="483"/>
      <c r="CV30" s="483"/>
      <c r="CW30" s="483"/>
      <c r="CX30" s="483"/>
      <c r="CY30" s="483"/>
      <c r="CZ30" s="483"/>
      <c r="DA30" s="483"/>
      <c r="DB30" s="483"/>
      <c r="DC30" s="483"/>
      <c r="DD30" s="483"/>
      <c r="DE30" s="483"/>
      <c r="DF30" s="483"/>
      <c r="DG30" s="483"/>
      <c r="DH30" s="483"/>
      <c r="DI30" s="483"/>
      <c r="DJ30" s="483"/>
      <c r="DK30" s="483"/>
      <c r="DL30" s="483"/>
      <c r="DM30" s="483"/>
      <c r="DN30" s="483"/>
      <c r="DO30" s="483"/>
      <c r="DP30" s="483"/>
      <c r="DQ30" s="483"/>
      <c r="DR30" s="483"/>
      <c r="DS30" s="483"/>
      <c r="DT30" s="483"/>
      <c r="DU30" s="483"/>
      <c r="DV30" s="483"/>
      <c r="DW30" s="483"/>
      <c r="DX30" s="483"/>
      <c r="DY30" s="483"/>
      <c r="DZ30" s="483"/>
      <c r="EA30" s="483"/>
      <c r="EB30" s="483"/>
      <c r="EC30" s="483"/>
      <c r="ED30" s="483"/>
      <c r="EE30" s="483"/>
      <c r="EF30" s="483"/>
      <c r="EG30" s="483"/>
      <c r="EH30" s="483"/>
      <c r="EI30" s="483"/>
      <c r="EJ30" s="483"/>
      <c r="EK30" s="483"/>
      <c r="EL30" s="483"/>
      <c r="EM30" s="483"/>
      <c r="EN30" s="483"/>
      <c r="EO30" s="483"/>
      <c r="EP30" s="483"/>
      <c r="EQ30" s="483"/>
      <c r="ER30" s="483"/>
      <c r="ES30" s="483"/>
      <c r="ET30" s="483"/>
      <c r="EU30" s="483"/>
      <c r="EV30" s="483"/>
      <c r="EW30" s="483"/>
      <c r="EX30" s="483"/>
      <c r="EY30" s="483"/>
      <c r="EZ30" s="483"/>
      <c r="FA30" s="483"/>
      <c r="FB30" s="483"/>
      <c r="FC30" s="483"/>
      <c r="FD30" s="483"/>
      <c r="FE30" s="483"/>
      <c r="FF30" s="483"/>
      <c r="FG30" s="483"/>
      <c r="FH30" s="483"/>
      <c r="FI30" s="483"/>
      <c r="FJ30" s="483"/>
      <c r="FK30" s="483"/>
      <c r="FL30" s="483"/>
      <c r="FM30" s="483"/>
      <c r="FN30" s="483"/>
      <c r="FO30" s="483"/>
      <c r="FP30" s="483"/>
      <c r="FQ30" s="483"/>
      <c r="FR30" s="483"/>
      <c r="FS30" s="483"/>
      <c r="FT30" s="483"/>
      <c r="FU30" s="483"/>
      <c r="FV30" s="483"/>
      <c r="FW30" s="483"/>
      <c r="FX30" s="483"/>
      <c r="FY30" s="483"/>
      <c r="FZ30" s="483"/>
      <c r="GA30" s="483"/>
      <c r="GB30" s="483"/>
      <c r="GC30" s="483"/>
      <c r="GD30" s="483"/>
      <c r="GE30" s="483"/>
      <c r="GF30" s="483"/>
      <c r="GG30" s="483"/>
      <c r="GH30" s="483"/>
      <c r="GI30" s="483"/>
      <c r="GJ30" s="483"/>
      <c r="GK30" s="483"/>
      <c r="GL30" s="483"/>
      <c r="GM30" s="483"/>
      <c r="GN30" s="483"/>
      <c r="GO30" s="483"/>
      <c r="GP30" s="483"/>
      <c r="GQ30" s="483"/>
      <c r="GR30" s="483"/>
      <c r="GS30" s="483"/>
      <c r="GT30" s="483"/>
      <c r="GU30" s="483"/>
      <c r="GV30" s="483"/>
      <c r="GW30" s="483"/>
      <c r="GX30" s="483"/>
      <c r="GY30" s="483"/>
      <c r="GZ30" s="483"/>
      <c r="HA30" s="483"/>
      <c r="HB30" s="483"/>
      <c r="HC30" s="483"/>
      <c r="HD30" s="483"/>
      <c r="HE30" s="483"/>
      <c r="HF30" s="483"/>
      <c r="HG30" s="483"/>
      <c r="HH30" s="483"/>
      <c r="HI30" s="483"/>
      <c r="HJ30" s="483"/>
      <c r="HK30" s="483"/>
      <c r="HL30" s="483"/>
      <c r="HM30" s="483"/>
      <c r="HN30" s="483"/>
      <c r="HO30" s="483"/>
      <c r="HP30" s="483"/>
      <c r="HQ30" s="483"/>
      <c r="HR30" s="483"/>
      <c r="HS30" s="483"/>
      <c r="HT30" s="483"/>
      <c r="HU30" s="483"/>
      <c r="HV30" s="483"/>
      <c r="HW30" s="483"/>
      <c r="HX30" s="483"/>
      <c r="HY30" s="483"/>
      <c r="HZ30" s="483"/>
      <c r="IA30" s="483"/>
      <c r="IB30" s="483"/>
      <c r="IC30" s="483"/>
    </row>
    <row r="31" spans="1:237" ht="15.75">
      <c r="A31" s="74"/>
      <c r="B31" s="512" t="s">
        <v>181</v>
      </c>
      <c r="C31" s="244" t="s">
        <v>560</v>
      </c>
      <c r="D31" s="270"/>
      <c r="E31" s="493"/>
      <c r="F31" s="270">
        <f>4.4*12+1.1*8</f>
        <v>61.600000000000009</v>
      </c>
      <c r="G31" s="21"/>
      <c r="H31" s="21">
        <f>SUM(D31:F31)</f>
        <v>61.600000000000009</v>
      </c>
      <c r="I31" s="27"/>
      <c r="J31" s="487"/>
      <c r="K31" s="448" t="s">
        <v>576</v>
      </c>
      <c r="L31" s="513"/>
      <c r="M31" s="483"/>
      <c r="N31" s="483"/>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3"/>
      <c r="BT31" s="483"/>
      <c r="BU31" s="483"/>
      <c r="BV31" s="483"/>
      <c r="BW31" s="483"/>
      <c r="BX31" s="483"/>
      <c r="BY31" s="483"/>
      <c r="BZ31" s="483"/>
      <c r="CA31" s="483"/>
      <c r="CB31" s="483"/>
      <c r="CC31" s="483"/>
      <c r="CD31" s="483"/>
      <c r="CE31" s="483"/>
      <c r="CF31" s="483"/>
      <c r="CG31" s="483"/>
      <c r="CH31" s="483"/>
      <c r="CI31" s="483"/>
      <c r="CJ31" s="483"/>
      <c r="CK31" s="483"/>
      <c r="CL31" s="483"/>
      <c r="CM31" s="483"/>
      <c r="CN31" s="483"/>
      <c r="CO31" s="483"/>
      <c r="CP31" s="483"/>
      <c r="CQ31" s="483"/>
      <c r="CR31" s="483"/>
      <c r="CS31" s="483"/>
      <c r="CT31" s="483"/>
      <c r="CU31" s="483"/>
      <c r="CV31" s="483"/>
      <c r="CW31" s="483"/>
      <c r="CX31" s="483"/>
      <c r="CY31" s="483"/>
      <c r="CZ31" s="483"/>
      <c r="DA31" s="483"/>
      <c r="DB31" s="483"/>
      <c r="DC31" s="483"/>
      <c r="DD31" s="483"/>
      <c r="DE31" s="483"/>
      <c r="DF31" s="483"/>
      <c r="DG31" s="483"/>
      <c r="DH31" s="483"/>
      <c r="DI31" s="483"/>
      <c r="DJ31" s="483"/>
      <c r="DK31" s="483"/>
      <c r="DL31" s="483"/>
      <c r="DM31" s="483"/>
      <c r="DN31" s="483"/>
      <c r="DO31" s="483"/>
      <c r="DP31" s="483"/>
      <c r="DQ31" s="483"/>
      <c r="DR31" s="483"/>
      <c r="DS31" s="483"/>
      <c r="DT31" s="483"/>
      <c r="DU31" s="483"/>
      <c r="DV31" s="483"/>
      <c r="DW31" s="483"/>
      <c r="DX31" s="483"/>
      <c r="DY31" s="483"/>
      <c r="DZ31" s="483"/>
      <c r="EA31" s="483"/>
      <c r="EB31" s="483"/>
      <c r="EC31" s="483"/>
      <c r="ED31" s="483"/>
      <c r="EE31" s="483"/>
      <c r="EF31" s="483"/>
      <c r="EG31" s="483"/>
      <c r="EH31" s="483"/>
      <c r="EI31" s="483"/>
      <c r="EJ31" s="483"/>
      <c r="EK31" s="483"/>
      <c r="EL31" s="483"/>
      <c r="EM31" s="483"/>
      <c r="EN31" s="483"/>
      <c r="EO31" s="483"/>
      <c r="EP31" s="483"/>
      <c r="EQ31" s="483"/>
      <c r="ER31" s="483"/>
      <c r="ES31" s="483"/>
      <c r="ET31" s="483"/>
      <c r="EU31" s="483"/>
      <c r="EV31" s="483"/>
      <c r="EW31" s="483"/>
      <c r="EX31" s="483"/>
      <c r="EY31" s="483"/>
      <c r="EZ31" s="483"/>
      <c r="FA31" s="483"/>
      <c r="FB31" s="483"/>
      <c r="FC31" s="483"/>
      <c r="FD31" s="483"/>
      <c r="FE31" s="483"/>
      <c r="FF31" s="483"/>
      <c r="FG31" s="483"/>
      <c r="FH31" s="483"/>
      <c r="FI31" s="483"/>
      <c r="FJ31" s="483"/>
      <c r="FK31" s="483"/>
      <c r="FL31" s="483"/>
      <c r="FM31" s="483"/>
      <c r="FN31" s="483"/>
      <c r="FO31" s="483"/>
      <c r="FP31" s="483"/>
      <c r="FQ31" s="483"/>
      <c r="FR31" s="483"/>
      <c r="FS31" s="483"/>
      <c r="FT31" s="483"/>
      <c r="FU31" s="483"/>
      <c r="FV31" s="483"/>
      <c r="FW31" s="483"/>
      <c r="FX31" s="483"/>
      <c r="FY31" s="483"/>
      <c r="FZ31" s="483"/>
      <c r="GA31" s="483"/>
      <c r="GB31" s="483"/>
      <c r="GC31" s="483"/>
      <c r="GD31" s="483"/>
      <c r="GE31" s="483"/>
      <c r="GF31" s="483"/>
      <c r="GG31" s="483"/>
      <c r="GH31" s="483"/>
      <c r="GI31" s="483"/>
      <c r="GJ31" s="483"/>
      <c r="GK31" s="483"/>
      <c r="GL31" s="483"/>
      <c r="GM31" s="483"/>
      <c r="GN31" s="483"/>
      <c r="GO31" s="483"/>
      <c r="GP31" s="483"/>
      <c r="GQ31" s="483"/>
      <c r="GR31" s="483"/>
      <c r="GS31" s="483"/>
      <c r="GT31" s="483"/>
      <c r="GU31" s="483"/>
      <c r="GV31" s="483"/>
      <c r="GW31" s="483"/>
      <c r="GX31" s="483"/>
      <c r="GY31" s="483"/>
      <c r="GZ31" s="483"/>
      <c r="HA31" s="483"/>
      <c r="HB31" s="483"/>
      <c r="HC31" s="483"/>
      <c r="HD31" s="483"/>
      <c r="HE31" s="483"/>
      <c r="HF31" s="483"/>
      <c r="HG31" s="483"/>
      <c r="HH31" s="483"/>
      <c r="HI31" s="483"/>
      <c r="HJ31" s="483"/>
      <c r="HK31" s="483"/>
      <c r="HL31" s="483"/>
      <c r="HM31" s="483"/>
      <c r="HN31" s="483"/>
      <c r="HO31" s="483"/>
      <c r="HP31" s="483"/>
      <c r="HQ31" s="483"/>
      <c r="HR31" s="483"/>
      <c r="HS31" s="483"/>
      <c r="HT31" s="483"/>
      <c r="HU31" s="483"/>
      <c r="HV31" s="483"/>
      <c r="HW31" s="483"/>
      <c r="HX31" s="483"/>
      <c r="HY31" s="483"/>
      <c r="HZ31" s="483"/>
      <c r="IA31" s="483"/>
      <c r="IB31" s="483"/>
      <c r="IC31" s="483"/>
    </row>
    <row r="32" spans="1:237" ht="15.75">
      <c r="A32" s="74"/>
      <c r="B32" s="512" t="s">
        <v>480</v>
      </c>
      <c r="C32" s="244" t="s">
        <v>561</v>
      </c>
      <c r="D32" s="270"/>
      <c r="E32" s="493"/>
      <c r="F32" s="270">
        <f>4.4*14+5.5*12+3.3*8+14*1.1</f>
        <v>169.4</v>
      </c>
      <c r="G32" s="21"/>
      <c r="H32" s="21">
        <f>SUM(D32:F32)</f>
        <v>169.4</v>
      </c>
      <c r="I32" s="27"/>
      <c r="J32" s="487"/>
      <c r="K32" s="448" t="s">
        <v>577</v>
      </c>
      <c r="L32" s="513"/>
      <c r="M32" s="483"/>
      <c r="N32" s="483"/>
      <c r="O32" s="483"/>
      <c r="P32" s="483"/>
      <c r="Q32" s="483"/>
      <c r="R32" s="483"/>
      <c r="S32" s="483"/>
      <c r="T32" s="483"/>
      <c r="U32" s="483"/>
      <c r="V32" s="483"/>
      <c r="W32" s="483"/>
      <c r="X32" s="483"/>
      <c r="Y32" s="483"/>
      <c r="Z32" s="483"/>
      <c r="AA32" s="483"/>
      <c r="AB32" s="483"/>
      <c r="AC32" s="483"/>
      <c r="AD32" s="483"/>
      <c r="AE32" s="483"/>
      <c r="AF32" s="483"/>
      <c r="AG32" s="483"/>
      <c r="AH32" s="483"/>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3"/>
      <c r="BT32" s="483"/>
      <c r="BU32" s="483"/>
      <c r="BV32" s="483"/>
      <c r="BW32" s="483"/>
      <c r="BX32" s="483"/>
      <c r="BY32" s="483"/>
      <c r="BZ32" s="483"/>
      <c r="CA32" s="483"/>
      <c r="CB32" s="483"/>
      <c r="CC32" s="483"/>
      <c r="CD32" s="483"/>
      <c r="CE32" s="483"/>
      <c r="CF32" s="483"/>
      <c r="CG32" s="483"/>
      <c r="CH32" s="483"/>
      <c r="CI32" s="483"/>
      <c r="CJ32" s="483"/>
      <c r="CK32" s="483"/>
      <c r="CL32" s="483"/>
      <c r="CM32" s="483"/>
      <c r="CN32" s="483"/>
      <c r="CO32" s="483"/>
      <c r="CP32" s="483"/>
      <c r="CQ32" s="483"/>
      <c r="CR32" s="483"/>
      <c r="CS32" s="483"/>
      <c r="CT32" s="483"/>
      <c r="CU32" s="483"/>
      <c r="CV32" s="483"/>
      <c r="CW32" s="483"/>
      <c r="CX32" s="483"/>
      <c r="CY32" s="483"/>
      <c r="CZ32" s="483"/>
      <c r="DA32" s="483"/>
      <c r="DB32" s="483"/>
      <c r="DC32" s="483"/>
      <c r="DD32" s="483"/>
      <c r="DE32" s="483"/>
      <c r="DF32" s="483"/>
      <c r="DG32" s="483"/>
      <c r="DH32" s="483"/>
      <c r="DI32" s="483"/>
      <c r="DJ32" s="483"/>
      <c r="DK32" s="483"/>
      <c r="DL32" s="483"/>
      <c r="DM32" s="483"/>
      <c r="DN32" s="483"/>
      <c r="DO32" s="483"/>
      <c r="DP32" s="483"/>
      <c r="DQ32" s="483"/>
      <c r="DR32" s="483"/>
      <c r="DS32" s="483"/>
      <c r="DT32" s="483"/>
      <c r="DU32" s="483"/>
      <c r="DV32" s="483"/>
      <c r="DW32" s="483"/>
      <c r="DX32" s="483"/>
      <c r="DY32" s="483"/>
      <c r="DZ32" s="483"/>
      <c r="EA32" s="483"/>
      <c r="EB32" s="483"/>
      <c r="EC32" s="483"/>
      <c r="ED32" s="483"/>
      <c r="EE32" s="483"/>
      <c r="EF32" s="483"/>
      <c r="EG32" s="483"/>
      <c r="EH32" s="483"/>
      <c r="EI32" s="483"/>
      <c r="EJ32" s="483"/>
      <c r="EK32" s="483"/>
      <c r="EL32" s="483"/>
      <c r="EM32" s="483"/>
      <c r="EN32" s="483"/>
      <c r="EO32" s="483"/>
      <c r="EP32" s="483"/>
      <c r="EQ32" s="483"/>
      <c r="ER32" s="483"/>
      <c r="ES32" s="483"/>
      <c r="ET32" s="483"/>
      <c r="EU32" s="483"/>
      <c r="EV32" s="483"/>
      <c r="EW32" s="483"/>
      <c r="EX32" s="483"/>
      <c r="EY32" s="483"/>
      <c r="EZ32" s="483"/>
      <c r="FA32" s="483"/>
      <c r="FB32" s="483"/>
      <c r="FC32" s="483"/>
      <c r="FD32" s="483"/>
      <c r="FE32" s="483"/>
      <c r="FF32" s="483"/>
      <c r="FG32" s="483"/>
      <c r="FH32" s="483"/>
      <c r="FI32" s="483"/>
      <c r="FJ32" s="483"/>
      <c r="FK32" s="483"/>
      <c r="FL32" s="483"/>
      <c r="FM32" s="483"/>
      <c r="FN32" s="483"/>
      <c r="FO32" s="483"/>
      <c r="FP32" s="483"/>
      <c r="FQ32" s="483"/>
      <c r="FR32" s="483"/>
      <c r="FS32" s="483"/>
      <c r="FT32" s="483"/>
      <c r="FU32" s="483"/>
      <c r="FV32" s="483"/>
      <c r="FW32" s="483"/>
      <c r="FX32" s="483"/>
      <c r="FY32" s="483"/>
      <c r="FZ32" s="483"/>
      <c r="GA32" s="483"/>
      <c r="GB32" s="483"/>
      <c r="GC32" s="483"/>
      <c r="GD32" s="483"/>
      <c r="GE32" s="483"/>
      <c r="GF32" s="483"/>
      <c r="GG32" s="483"/>
      <c r="GH32" s="483"/>
      <c r="GI32" s="483"/>
      <c r="GJ32" s="483"/>
      <c r="GK32" s="483"/>
      <c r="GL32" s="483"/>
      <c r="GM32" s="483"/>
      <c r="GN32" s="483"/>
      <c r="GO32" s="483"/>
      <c r="GP32" s="483"/>
      <c r="GQ32" s="483"/>
      <c r="GR32" s="483"/>
      <c r="GS32" s="483"/>
      <c r="GT32" s="483"/>
      <c r="GU32" s="483"/>
      <c r="GV32" s="483"/>
      <c r="GW32" s="483"/>
      <c r="GX32" s="483"/>
      <c r="GY32" s="483"/>
      <c r="GZ32" s="483"/>
      <c r="HA32" s="483"/>
      <c r="HB32" s="483"/>
      <c r="HC32" s="483"/>
      <c r="HD32" s="483"/>
      <c r="HE32" s="483"/>
      <c r="HF32" s="483"/>
      <c r="HG32" s="483"/>
      <c r="HH32" s="483"/>
      <c r="HI32" s="483"/>
      <c r="HJ32" s="483"/>
      <c r="HK32" s="483"/>
      <c r="HL32" s="483"/>
      <c r="HM32" s="483"/>
      <c r="HN32" s="483"/>
      <c r="HO32" s="483"/>
      <c r="HP32" s="483"/>
      <c r="HQ32" s="483"/>
      <c r="HR32" s="483"/>
      <c r="HS32" s="483"/>
      <c r="HT32" s="483"/>
      <c r="HU32" s="483"/>
      <c r="HV32" s="483"/>
      <c r="HW32" s="483"/>
      <c r="HX32" s="483"/>
      <c r="HY32" s="483"/>
      <c r="HZ32" s="483"/>
      <c r="IA32" s="483"/>
      <c r="IB32" s="483"/>
      <c r="IC32" s="483"/>
    </row>
    <row r="33" spans="1:237" ht="15.75">
      <c r="A33" s="74"/>
      <c r="B33" s="512" t="s">
        <v>485</v>
      </c>
      <c r="C33" s="244" t="s">
        <v>562</v>
      </c>
      <c r="D33" s="270"/>
      <c r="E33" s="493"/>
      <c r="F33" s="270">
        <f>4.4*6+6*3.3+5.5*14+14*1.1</f>
        <v>138.6</v>
      </c>
      <c r="G33" s="21"/>
      <c r="H33" s="21">
        <f>SUM(D33:F33)</f>
        <v>138.6</v>
      </c>
      <c r="I33" s="27"/>
      <c r="J33" s="487"/>
      <c r="K33" s="448" t="s">
        <v>578</v>
      </c>
      <c r="L33" s="513"/>
      <c r="M33" s="483"/>
      <c r="N33" s="483"/>
      <c r="O33" s="483"/>
      <c r="P33" s="483"/>
      <c r="Q33" s="483"/>
      <c r="R33" s="483"/>
      <c r="S33" s="483"/>
      <c r="T33" s="483"/>
      <c r="U33" s="483"/>
      <c r="V33" s="483"/>
      <c r="W33" s="483"/>
      <c r="X33" s="483"/>
      <c r="Y33" s="483"/>
      <c r="Z33" s="483"/>
      <c r="AA33" s="483"/>
      <c r="AB33" s="483"/>
      <c r="AC33" s="483"/>
      <c r="AD33" s="483"/>
      <c r="AE33" s="483"/>
      <c r="AF33" s="483"/>
      <c r="AG33" s="483"/>
      <c r="AH33" s="483"/>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3"/>
      <c r="CD33" s="483"/>
      <c r="CE33" s="483"/>
      <c r="CF33" s="483"/>
      <c r="CG33" s="483"/>
      <c r="CH33" s="483"/>
      <c r="CI33" s="483"/>
      <c r="CJ33" s="483"/>
      <c r="CK33" s="483"/>
      <c r="CL33" s="483"/>
      <c r="CM33" s="483"/>
      <c r="CN33" s="483"/>
      <c r="CO33" s="483"/>
      <c r="CP33" s="483"/>
      <c r="CQ33" s="483"/>
      <c r="CR33" s="483"/>
      <c r="CS33" s="483"/>
      <c r="CT33" s="483"/>
      <c r="CU33" s="483"/>
      <c r="CV33" s="483"/>
      <c r="CW33" s="483"/>
      <c r="CX33" s="483"/>
      <c r="CY33" s="483"/>
      <c r="CZ33" s="483"/>
      <c r="DA33" s="483"/>
      <c r="DB33" s="483"/>
      <c r="DC33" s="483"/>
      <c r="DD33" s="483"/>
      <c r="DE33" s="483"/>
      <c r="DF33" s="483"/>
      <c r="DG33" s="483"/>
      <c r="DH33" s="483"/>
      <c r="DI33" s="483"/>
      <c r="DJ33" s="483"/>
      <c r="DK33" s="483"/>
      <c r="DL33" s="483"/>
      <c r="DM33" s="483"/>
      <c r="DN33" s="483"/>
      <c r="DO33" s="483"/>
      <c r="DP33" s="483"/>
      <c r="DQ33" s="483"/>
      <c r="DR33" s="483"/>
      <c r="DS33" s="483"/>
      <c r="DT33" s="483"/>
      <c r="DU33" s="483"/>
      <c r="DV33" s="483"/>
      <c r="DW33" s="483"/>
      <c r="DX33" s="483"/>
      <c r="DY33" s="483"/>
      <c r="DZ33" s="483"/>
      <c r="EA33" s="483"/>
      <c r="EB33" s="483"/>
      <c r="EC33" s="483"/>
      <c r="ED33" s="483"/>
      <c r="EE33" s="483"/>
      <c r="EF33" s="483"/>
      <c r="EG33" s="483"/>
      <c r="EH33" s="483"/>
      <c r="EI33" s="483"/>
      <c r="EJ33" s="483"/>
      <c r="EK33" s="483"/>
      <c r="EL33" s="483"/>
      <c r="EM33" s="483"/>
      <c r="EN33" s="483"/>
      <c r="EO33" s="483"/>
      <c r="EP33" s="483"/>
      <c r="EQ33" s="483"/>
      <c r="ER33" s="483"/>
      <c r="ES33" s="483"/>
      <c r="ET33" s="483"/>
      <c r="EU33" s="483"/>
      <c r="EV33" s="483"/>
      <c r="EW33" s="483"/>
      <c r="EX33" s="483"/>
      <c r="EY33" s="483"/>
      <c r="EZ33" s="483"/>
      <c r="FA33" s="483"/>
      <c r="FB33" s="483"/>
      <c r="FC33" s="483"/>
      <c r="FD33" s="483"/>
      <c r="FE33" s="483"/>
      <c r="FF33" s="483"/>
      <c r="FG33" s="483"/>
      <c r="FH33" s="483"/>
      <c r="FI33" s="483"/>
      <c r="FJ33" s="483"/>
      <c r="FK33" s="483"/>
      <c r="FL33" s="483"/>
      <c r="FM33" s="483"/>
      <c r="FN33" s="483"/>
      <c r="FO33" s="483"/>
      <c r="FP33" s="483"/>
      <c r="FQ33" s="483"/>
      <c r="FR33" s="483"/>
      <c r="FS33" s="483"/>
      <c r="FT33" s="483"/>
      <c r="FU33" s="483"/>
      <c r="FV33" s="483"/>
      <c r="FW33" s="483"/>
      <c r="FX33" s="483"/>
      <c r="FY33" s="483"/>
      <c r="FZ33" s="483"/>
      <c r="GA33" s="483"/>
      <c r="GB33" s="483"/>
      <c r="GC33" s="483"/>
      <c r="GD33" s="483"/>
      <c r="GE33" s="483"/>
      <c r="GF33" s="483"/>
      <c r="GG33" s="483"/>
      <c r="GH33" s="483"/>
      <c r="GI33" s="483"/>
      <c r="GJ33" s="483"/>
      <c r="GK33" s="483"/>
      <c r="GL33" s="483"/>
      <c r="GM33" s="483"/>
      <c r="GN33" s="483"/>
      <c r="GO33" s="483"/>
      <c r="GP33" s="483"/>
      <c r="GQ33" s="483"/>
      <c r="GR33" s="483"/>
      <c r="GS33" s="483"/>
      <c r="GT33" s="483"/>
      <c r="GU33" s="483"/>
      <c r="GV33" s="483"/>
      <c r="GW33" s="483"/>
      <c r="GX33" s="483"/>
      <c r="GY33" s="483"/>
      <c r="GZ33" s="483"/>
      <c r="HA33" s="483"/>
      <c r="HB33" s="483"/>
      <c r="HC33" s="483"/>
      <c r="HD33" s="483"/>
      <c r="HE33" s="483"/>
      <c r="HF33" s="483"/>
      <c r="HG33" s="483"/>
      <c r="HH33" s="483"/>
      <c r="HI33" s="483"/>
      <c r="HJ33" s="483"/>
      <c r="HK33" s="483"/>
      <c r="HL33" s="483"/>
      <c r="HM33" s="483"/>
      <c r="HN33" s="483"/>
      <c r="HO33" s="483"/>
      <c r="HP33" s="483"/>
      <c r="HQ33" s="483"/>
      <c r="HR33" s="483"/>
      <c r="HS33" s="483"/>
      <c r="HT33" s="483"/>
      <c r="HU33" s="483"/>
      <c r="HV33" s="483"/>
      <c r="HW33" s="483"/>
      <c r="HX33" s="483"/>
      <c r="HY33" s="483"/>
      <c r="HZ33" s="483"/>
      <c r="IA33" s="483"/>
      <c r="IB33" s="483"/>
      <c r="IC33" s="483"/>
    </row>
    <row r="34" spans="1:237" ht="15.75">
      <c r="A34" s="74"/>
      <c r="B34" s="512" t="s">
        <v>575</v>
      </c>
      <c r="C34" s="244" t="s">
        <v>562</v>
      </c>
      <c r="D34" s="270"/>
      <c r="E34" s="493"/>
      <c r="F34" s="270">
        <f>2.2+1.1+1.1*2+1+1.225+1.58</f>
        <v>9.3049999999999997</v>
      </c>
      <c r="G34" s="21"/>
      <c r="H34" s="21">
        <f>SUM(D34:F34)</f>
        <v>9.3049999999999997</v>
      </c>
      <c r="I34" s="27"/>
      <c r="J34" s="487"/>
      <c r="K34" s="483"/>
      <c r="L34" s="483"/>
      <c r="M34" s="483"/>
      <c r="N34" s="483"/>
      <c r="O34" s="483"/>
      <c r="P34" s="483"/>
      <c r="Q34" s="483"/>
      <c r="R34" s="483"/>
      <c r="S34" s="483"/>
      <c r="T34" s="483"/>
      <c r="U34" s="483"/>
      <c r="V34" s="483"/>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483"/>
      <c r="BS34" s="483"/>
      <c r="BT34" s="483"/>
      <c r="BU34" s="483"/>
      <c r="BV34" s="483"/>
      <c r="BW34" s="483"/>
      <c r="BX34" s="483"/>
      <c r="BY34" s="483"/>
      <c r="BZ34" s="483"/>
      <c r="CA34" s="483"/>
      <c r="CB34" s="483"/>
      <c r="CC34" s="483"/>
      <c r="CD34" s="483"/>
      <c r="CE34" s="483"/>
      <c r="CF34" s="483"/>
      <c r="CG34" s="483"/>
      <c r="CH34" s="483"/>
      <c r="CI34" s="483"/>
      <c r="CJ34" s="483"/>
      <c r="CK34" s="483"/>
      <c r="CL34" s="483"/>
      <c r="CM34" s="483"/>
      <c r="CN34" s="483"/>
      <c r="CO34" s="483"/>
      <c r="CP34" s="483"/>
      <c r="CQ34" s="483"/>
      <c r="CR34" s="483"/>
      <c r="CS34" s="483"/>
      <c r="CT34" s="483"/>
      <c r="CU34" s="483"/>
      <c r="CV34" s="483"/>
      <c r="CW34" s="483"/>
      <c r="CX34" s="483"/>
      <c r="CY34" s="483"/>
      <c r="CZ34" s="483"/>
      <c r="DA34" s="483"/>
      <c r="DB34" s="483"/>
      <c r="DC34" s="483"/>
      <c r="DD34" s="483"/>
      <c r="DE34" s="483"/>
      <c r="DF34" s="483"/>
      <c r="DG34" s="483"/>
      <c r="DH34" s="483"/>
      <c r="DI34" s="483"/>
      <c r="DJ34" s="483"/>
      <c r="DK34" s="483"/>
      <c r="DL34" s="483"/>
      <c r="DM34" s="483"/>
      <c r="DN34" s="483"/>
      <c r="DO34" s="483"/>
      <c r="DP34" s="483"/>
      <c r="DQ34" s="483"/>
      <c r="DR34" s="483"/>
      <c r="DS34" s="483"/>
      <c r="DT34" s="483"/>
      <c r="DU34" s="483"/>
      <c r="DV34" s="483"/>
      <c r="DW34" s="483"/>
      <c r="DX34" s="483"/>
      <c r="DY34" s="483"/>
      <c r="DZ34" s="483"/>
      <c r="EA34" s="483"/>
      <c r="EB34" s="483"/>
      <c r="EC34" s="483"/>
      <c r="ED34" s="483"/>
      <c r="EE34" s="483"/>
      <c r="EF34" s="483"/>
      <c r="EG34" s="483"/>
      <c r="EH34" s="483"/>
      <c r="EI34" s="483"/>
      <c r="EJ34" s="483"/>
      <c r="EK34" s="483"/>
      <c r="EL34" s="483"/>
      <c r="EM34" s="483"/>
      <c r="EN34" s="483"/>
      <c r="EO34" s="483"/>
      <c r="EP34" s="483"/>
      <c r="EQ34" s="483"/>
      <c r="ER34" s="483"/>
      <c r="ES34" s="483"/>
      <c r="ET34" s="483"/>
      <c r="EU34" s="483"/>
      <c r="EV34" s="483"/>
      <c r="EW34" s="483"/>
      <c r="EX34" s="483"/>
      <c r="EY34" s="483"/>
      <c r="EZ34" s="483"/>
      <c r="FA34" s="483"/>
      <c r="FB34" s="483"/>
      <c r="FC34" s="483"/>
      <c r="FD34" s="483"/>
      <c r="FE34" s="483"/>
      <c r="FF34" s="483"/>
      <c r="FG34" s="483"/>
      <c r="FH34" s="483"/>
      <c r="FI34" s="483"/>
      <c r="FJ34" s="483"/>
      <c r="FK34" s="483"/>
      <c r="FL34" s="483"/>
      <c r="FM34" s="483"/>
      <c r="FN34" s="483"/>
      <c r="FO34" s="483"/>
      <c r="FP34" s="483"/>
      <c r="FQ34" s="483"/>
      <c r="FR34" s="483"/>
      <c r="FS34" s="483"/>
      <c r="FT34" s="483"/>
      <c r="FU34" s="483"/>
      <c r="FV34" s="483"/>
      <c r="FW34" s="483"/>
      <c r="FX34" s="483"/>
      <c r="FY34" s="483"/>
      <c r="FZ34" s="483"/>
      <c r="GA34" s="483"/>
      <c r="GB34" s="483"/>
      <c r="GC34" s="483"/>
      <c r="GD34" s="483"/>
      <c r="GE34" s="483"/>
      <c r="GF34" s="483"/>
      <c r="GG34" s="483"/>
      <c r="GH34" s="483"/>
      <c r="GI34" s="483"/>
      <c r="GJ34" s="483"/>
      <c r="GK34" s="483"/>
      <c r="GL34" s="483"/>
      <c r="GM34" s="483"/>
      <c r="GN34" s="483"/>
      <c r="GO34" s="483"/>
      <c r="GP34" s="483"/>
      <c r="GQ34" s="483"/>
      <c r="GR34" s="483"/>
      <c r="GS34" s="483"/>
      <c r="GT34" s="483"/>
      <c r="GU34" s="483"/>
      <c r="GV34" s="483"/>
      <c r="GW34" s="483"/>
      <c r="GX34" s="483"/>
      <c r="GY34" s="483"/>
      <c r="GZ34" s="483"/>
      <c r="HA34" s="483"/>
      <c r="HB34" s="483"/>
      <c r="HC34" s="483"/>
      <c r="HD34" s="483"/>
      <c r="HE34" s="483"/>
      <c r="HF34" s="483"/>
      <c r="HG34" s="483"/>
      <c r="HH34" s="483"/>
      <c r="HI34" s="483"/>
      <c r="HJ34" s="483"/>
      <c r="HK34" s="483"/>
      <c r="HL34" s="483"/>
      <c r="HM34" s="483"/>
      <c r="HN34" s="483"/>
      <c r="HO34" s="483"/>
      <c r="HP34" s="483"/>
      <c r="HQ34" s="483"/>
      <c r="HR34" s="483"/>
      <c r="HS34" s="483"/>
      <c r="HT34" s="483"/>
      <c r="HU34" s="483"/>
      <c r="HV34" s="483"/>
      <c r="HW34" s="483"/>
      <c r="HX34" s="483"/>
      <c r="HY34" s="483"/>
      <c r="HZ34" s="483"/>
      <c r="IA34" s="483"/>
      <c r="IB34" s="483"/>
      <c r="IC34" s="483"/>
    </row>
    <row r="35" spans="1:237" ht="15">
      <c r="A35" s="74"/>
      <c r="B35" s="239"/>
      <c r="C35" s="240"/>
      <c r="D35" s="240"/>
      <c r="E35" s="240"/>
      <c r="F35" s="240"/>
      <c r="G35" s="21"/>
      <c r="H35" s="21"/>
      <c r="I35" s="27"/>
      <c r="J35" s="27"/>
    </row>
    <row r="36" spans="1:237" ht="15">
      <c r="A36" s="495"/>
      <c r="B36" s="241"/>
      <c r="C36" s="241"/>
      <c r="D36" s="241"/>
      <c r="E36" s="241"/>
      <c r="F36" s="241"/>
      <c r="G36" s="241"/>
      <c r="H36" s="242"/>
      <c r="I36" s="496"/>
      <c r="J36" s="243"/>
    </row>
    <row r="38" spans="1:237" ht="15">
      <c r="A38" s="485" t="s">
        <v>11</v>
      </c>
      <c r="B38" s="913" t="s">
        <v>72</v>
      </c>
      <c r="C38" s="914"/>
      <c r="D38" s="497"/>
      <c r="E38" s="497"/>
      <c r="F38" s="497"/>
      <c r="G38" s="498"/>
      <c r="H38" s="497"/>
      <c r="I38" s="497"/>
      <c r="J38" s="499"/>
    </row>
    <row r="39" spans="1:237" ht="15.6" customHeight="1">
      <c r="A39" s="26">
        <v>1</v>
      </c>
      <c r="B39" s="500" t="s">
        <v>564</v>
      </c>
      <c r="C39" s="44">
        <f>J12</f>
        <v>202.93600000000001</v>
      </c>
      <c r="D39" s="497"/>
      <c r="E39" s="497"/>
      <c r="F39" s="497"/>
      <c r="G39" s="498"/>
      <c r="H39" s="497"/>
      <c r="I39" s="497"/>
      <c r="J39" s="499"/>
    </row>
    <row r="40" spans="1:237" ht="15.6" customHeight="1">
      <c r="A40" s="26">
        <v>2</v>
      </c>
      <c r="B40" s="500" t="s">
        <v>603</v>
      </c>
      <c r="C40" s="44">
        <f>J28</f>
        <v>11</v>
      </c>
      <c r="D40" s="497"/>
      <c r="E40" s="497"/>
      <c r="F40" s="497"/>
      <c r="G40" s="498"/>
      <c r="H40" s="497"/>
      <c r="I40" s="497"/>
      <c r="J40" s="499"/>
    </row>
    <row r="41" spans="1:237" ht="15.6" customHeight="1">
      <c r="A41" s="26">
        <v>3</v>
      </c>
      <c r="B41" s="500" t="s">
        <v>605</v>
      </c>
      <c r="C41" s="44">
        <f>J30</f>
        <v>378.90500000000003</v>
      </c>
      <c r="D41" s="497"/>
      <c r="E41" s="497"/>
      <c r="F41" s="497"/>
      <c r="G41" s="498"/>
      <c r="H41" s="497"/>
      <c r="I41" s="497"/>
      <c r="J41" s="499"/>
    </row>
    <row r="42" spans="1:237" ht="15">
      <c r="A42" s="502"/>
      <c r="B42" s="503"/>
      <c r="C42" s="496"/>
      <c r="D42" s="483"/>
      <c r="E42" s="483"/>
      <c r="F42" s="504"/>
      <c r="G42" s="504"/>
      <c r="H42" s="67"/>
      <c r="I42" s="505"/>
      <c r="J42" s="506"/>
      <c r="K42" s="483"/>
      <c r="L42" s="483"/>
      <c r="M42" s="483"/>
      <c r="N42" s="483"/>
      <c r="O42" s="483"/>
      <c r="P42" s="483"/>
      <c r="Q42" s="483"/>
      <c r="R42" s="483"/>
      <c r="S42" s="483"/>
      <c r="T42" s="483"/>
      <c r="U42" s="483"/>
      <c r="V42" s="483"/>
      <c r="W42" s="483"/>
      <c r="X42" s="483"/>
      <c r="Y42" s="483"/>
      <c r="Z42" s="483"/>
      <c r="AA42" s="483"/>
      <c r="AB42" s="483"/>
      <c r="AC42" s="483"/>
      <c r="AD42" s="483"/>
      <c r="AE42" s="483"/>
      <c r="AF42" s="483"/>
      <c r="AG42" s="483"/>
      <c r="AH42" s="483"/>
      <c r="AI42" s="483"/>
      <c r="AJ42" s="483"/>
      <c r="AK42" s="483"/>
      <c r="AL42" s="483"/>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483"/>
      <c r="BS42" s="483"/>
      <c r="BT42" s="483"/>
      <c r="BU42" s="483"/>
      <c r="BV42" s="483"/>
      <c r="BW42" s="483"/>
      <c r="BX42" s="483"/>
      <c r="BY42" s="483"/>
      <c r="BZ42" s="483"/>
      <c r="CA42" s="483"/>
      <c r="CB42" s="483"/>
      <c r="CC42" s="483"/>
      <c r="CD42" s="483"/>
      <c r="CE42" s="483"/>
      <c r="CF42" s="483"/>
      <c r="CG42" s="483"/>
      <c r="CH42" s="483"/>
      <c r="CI42" s="483"/>
      <c r="CJ42" s="483"/>
      <c r="CK42" s="483"/>
      <c r="CL42" s="483"/>
      <c r="CM42" s="483"/>
      <c r="CN42" s="483"/>
      <c r="CO42" s="483"/>
      <c r="CP42" s="483"/>
      <c r="CQ42" s="483"/>
      <c r="CR42" s="483"/>
      <c r="CS42" s="483"/>
      <c r="CT42" s="483"/>
      <c r="CU42" s="483"/>
      <c r="CV42" s="483"/>
      <c r="CW42" s="483"/>
      <c r="CX42" s="483"/>
      <c r="CY42" s="483"/>
      <c r="CZ42" s="483"/>
      <c r="DA42" s="483"/>
      <c r="DB42" s="483"/>
      <c r="DC42" s="483"/>
      <c r="DD42" s="483"/>
      <c r="DE42" s="483"/>
      <c r="DF42" s="483"/>
      <c r="DG42" s="483"/>
      <c r="DH42" s="483"/>
      <c r="DI42" s="483"/>
      <c r="DJ42" s="483"/>
      <c r="DK42" s="483"/>
      <c r="DL42" s="483"/>
      <c r="DM42" s="483"/>
      <c r="DN42" s="483"/>
      <c r="DO42" s="483"/>
      <c r="DP42" s="483"/>
      <c r="DQ42" s="483"/>
      <c r="DR42" s="483"/>
      <c r="DS42" s="483"/>
      <c r="DT42" s="483"/>
      <c r="DU42" s="483"/>
      <c r="DV42" s="483"/>
      <c r="DW42" s="483"/>
      <c r="DX42" s="483"/>
      <c r="DY42" s="483"/>
      <c r="DZ42" s="483"/>
      <c r="EA42" s="483"/>
      <c r="EB42" s="483"/>
      <c r="EC42" s="483"/>
      <c r="ED42" s="483"/>
      <c r="EE42" s="483"/>
      <c r="EF42" s="483"/>
      <c r="EG42" s="483"/>
      <c r="EH42" s="483"/>
      <c r="EI42" s="483"/>
      <c r="EJ42" s="483"/>
      <c r="EK42" s="483"/>
      <c r="EL42" s="483"/>
      <c r="EM42" s="483"/>
      <c r="EN42" s="483"/>
      <c r="EO42" s="483"/>
      <c r="EP42" s="483"/>
      <c r="EQ42" s="483"/>
      <c r="ER42" s="483"/>
      <c r="ES42" s="483"/>
      <c r="ET42" s="483"/>
      <c r="EU42" s="483"/>
      <c r="EV42" s="483"/>
      <c r="EW42" s="483"/>
      <c r="EX42" s="483"/>
      <c r="EY42" s="483"/>
      <c r="EZ42" s="483"/>
      <c r="FA42" s="483"/>
      <c r="FB42" s="483"/>
      <c r="FC42" s="483"/>
      <c r="FD42" s="483"/>
      <c r="FE42" s="483"/>
      <c r="FF42" s="483"/>
      <c r="FG42" s="483"/>
      <c r="FH42" s="483"/>
      <c r="FI42" s="483"/>
      <c r="FJ42" s="483"/>
      <c r="FK42" s="483"/>
      <c r="FL42" s="483"/>
      <c r="FM42" s="483"/>
      <c r="FN42" s="483"/>
      <c r="FO42" s="483"/>
      <c r="FP42" s="483"/>
      <c r="FQ42" s="483"/>
      <c r="FR42" s="483"/>
      <c r="FS42" s="483"/>
      <c r="FT42" s="483"/>
      <c r="FU42" s="483"/>
      <c r="FV42" s="483"/>
      <c r="FW42" s="483"/>
      <c r="FX42" s="483"/>
      <c r="FY42" s="483"/>
      <c r="FZ42" s="483"/>
      <c r="GA42" s="483"/>
      <c r="GB42" s="483"/>
      <c r="GC42" s="483"/>
      <c r="GD42" s="483"/>
      <c r="GE42" s="483"/>
      <c r="GF42" s="483"/>
      <c r="GG42" s="483"/>
      <c r="GH42" s="483"/>
      <c r="GI42" s="483"/>
      <c r="GJ42" s="483"/>
      <c r="GK42" s="483"/>
      <c r="GL42" s="483"/>
      <c r="GM42" s="483"/>
      <c r="GN42" s="483"/>
      <c r="GO42" s="483"/>
      <c r="GP42" s="483"/>
      <c r="GQ42" s="483"/>
      <c r="GR42" s="483"/>
      <c r="GS42" s="483"/>
      <c r="GT42" s="483"/>
      <c r="GU42" s="483"/>
      <c r="GV42" s="483"/>
      <c r="GW42" s="483"/>
      <c r="GX42" s="483"/>
      <c r="GY42" s="483"/>
      <c r="GZ42" s="483"/>
      <c r="HA42" s="483"/>
      <c r="HB42" s="483"/>
      <c r="HC42" s="483"/>
      <c r="HD42" s="483"/>
      <c r="HE42" s="483"/>
      <c r="HF42" s="483"/>
      <c r="HG42" s="483"/>
      <c r="HH42" s="483"/>
      <c r="HI42" s="483"/>
      <c r="HJ42" s="483"/>
      <c r="HK42" s="483"/>
      <c r="HL42" s="483"/>
      <c r="HM42" s="483"/>
      <c r="HN42" s="483"/>
      <c r="HO42" s="483"/>
      <c r="HP42" s="483"/>
      <c r="HQ42" s="483"/>
      <c r="HR42" s="483"/>
      <c r="HS42" s="483"/>
      <c r="HT42" s="483"/>
      <c r="HU42" s="483"/>
      <c r="HV42" s="483"/>
      <c r="HW42" s="483"/>
      <c r="HX42" s="483"/>
      <c r="HY42" s="483"/>
      <c r="HZ42" s="483"/>
      <c r="IA42" s="483"/>
      <c r="IB42" s="483"/>
      <c r="IC42" s="483"/>
    </row>
    <row r="43" spans="1:237" ht="15">
      <c r="A43" s="507"/>
      <c r="B43" s="508"/>
      <c r="C43" s="384"/>
      <c r="D43" s="346"/>
      <c r="E43" s="346"/>
      <c r="F43" s="346"/>
      <c r="G43" s="346"/>
      <c r="H43" s="346"/>
      <c r="I43" s="346"/>
      <c r="J43" s="320" t="s">
        <v>620</v>
      </c>
    </row>
    <row r="44" spans="1:237" ht="15.75">
      <c r="C44" s="315" t="s">
        <v>1770</v>
      </c>
      <c r="D44" s="315"/>
      <c r="E44" s="942"/>
      <c r="F44" s="942"/>
      <c r="G44" s="942"/>
      <c r="H44" s="386"/>
      <c r="I44" s="387"/>
      <c r="J44" s="315" t="s">
        <v>100</v>
      </c>
    </row>
    <row r="54" ht="15.6" hidden="1" customHeight="1"/>
    <row r="55" ht="15.6" hidden="1" customHeight="1"/>
    <row r="56" ht="15.6" hidden="1" customHeight="1"/>
    <row r="57" ht="15.6" hidden="1" customHeight="1"/>
    <row r="58" ht="15.6" hidden="1" customHeight="1"/>
    <row r="59" ht="15.6" hidden="1" customHeight="1"/>
    <row r="60" ht="15.6" hidden="1" customHeight="1"/>
    <row r="61" ht="15.6" hidden="1" customHeight="1"/>
    <row r="62" ht="15.6" hidden="1" customHeight="1"/>
    <row r="63" ht="15.6" hidden="1" customHeight="1"/>
    <row r="64" ht="15.6" hidden="1" customHeight="1"/>
    <row r="65" ht="15.6" hidden="1" customHeight="1"/>
    <row r="66" ht="15.6" hidden="1" customHeight="1"/>
    <row r="67" ht="15.6" hidden="1" customHeight="1"/>
    <row r="68" ht="15.6" hidden="1" customHeight="1"/>
    <row r="69" ht="15.6" hidden="1" customHeight="1"/>
    <row r="70" ht="15.6" hidden="1" customHeight="1"/>
    <row r="71" ht="46.9" hidden="1" customHeight="1"/>
    <row r="72" ht="46.9" hidden="1" customHeight="1"/>
    <row r="73" ht="46.9" hidden="1" customHeight="1"/>
    <row r="74" ht="46.9" hidden="1" customHeight="1"/>
    <row r="75" ht="46.9" hidden="1" customHeight="1"/>
    <row r="76" ht="46.9" hidden="1" customHeight="1"/>
    <row r="77" ht="46.9" hidden="1" customHeight="1"/>
    <row r="78" ht="46.9" hidden="1" customHeight="1"/>
    <row r="79" ht="46.9" hidden="1" customHeight="1"/>
    <row r="80" ht="46.9" hidden="1" customHeight="1"/>
    <row r="81" ht="15.6" hidden="1" customHeight="1"/>
    <row r="82" ht="15.6" hidden="1" customHeight="1"/>
    <row r="83" ht="15.6" hidden="1" customHeight="1"/>
    <row r="84" ht="15.6" hidden="1" customHeight="1"/>
    <row r="85" ht="15.6" hidden="1" customHeight="1"/>
    <row r="86" ht="15.6" hidden="1" customHeight="1"/>
    <row r="87" ht="15.6" hidden="1" customHeight="1"/>
    <row r="94" ht="15.6" hidden="1" customHeight="1"/>
    <row r="95" ht="31.15" hidden="1" customHeight="1"/>
    <row r="96" ht="15.6" hidden="1" customHeight="1"/>
    <row r="97" ht="16.149999999999999" hidden="1" customHeight="1"/>
    <row r="98" ht="15.6" hidden="1" customHeight="1"/>
    <row r="99" ht="15.6" hidden="1" customHeight="1"/>
    <row r="100" ht="15.6" hidden="1" customHeight="1"/>
    <row r="101" ht="15.6" hidden="1" customHeight="1"/>
    <row r="102" ht="15.6" hidden="1" customHeight="1"/>
    <row r="103" ht="15.6" hidden="1" customHeight="1"/>
    <row r="104" ht="15.6" hidden="1" customHeight="1"/>
    <row r="105" ht="15.6" hidden="1" customHeight="1"/>
    <row r="106" ht="15.6" hidden="1" customHeight="1"/>
    <row r="107" ht="15.6" hidden="1" customHeight="1"/>
    <row r="108" ht="15.6" hidden="1" customHeight="1"/>
    <row r="109" ht="31.15" hidden="1" customHeight="1"/>
    <row r="110" ht="15.6" hidden="1" customHeight="1"/>
    <row r="111" ht="15.6" hidden="1" customHeight="1"/>
    <row r="112" ht="16.149999999999999" hidden="1" customHeight="1"/>
    <row r="113" ht="15.6" hidden="1" customHeight="1"/>
    <row r="114" ht="15.6" hidden="1" customHeight="1"/>
    <row r="115" ht="15.6" hidden="1" customHeight="1"/>
    <row r="116" ht="15.6" hidden="1" customHeight="1"/>
    <row r="117" ht="15.6" hidden="1" customHeight="1"/>
    <row r="118" ht="15.6" hidden="1" customHeight="1"/>
    <row r="119" ht="15.6" hidden="1" customHeight="1"/>
    <row r="120" ht="15.6" hidden="1" customHeight="1"/>
    <row r="121" ht="15.6" hidden="1" customHeight="1"/>
    <row r="122" ht="15.6" hidden="1" customHeight="1"/>
    <row r="123" ht="15.6" hidden="1" customHeight="1"/>
    <row r="124" ht="15.6" hidden="1" customHeight="1"/>
    <row r="125" ht="15.6" hidden="1" customHeight="1"/>
    <row r="126" ht="15.6" hidden="1" customHeight="1"/>
    <row r="127" ht="15.6" hidden="1" customHeight="1"/>
    <row r="128" ht="15.6" hidden="1" customHeight="1"/>
    <row r="129" ht="15.6" hidden="1" customHeight="1"/>
    <row r="130" ht="15.6" hidden="1" customHeight="1"/>
    <row r="131" ht="15.6" hidden="1" customHeight="1"/>
    <row r="132" ht="15.6" hidden="1" customHeight="1"/>
    <row r="133" ht="15.6" hidden="1" customHeight="1"/>
    <row r="134" ht="15.6" hidden="1" customHeight="1"/>
    <row r="135" ht="16.149999999999999" hidden="1" customHeight="1"/>
    <row r="136" ht="15.6" hidden="1" customHeight="1"/>
    <row r="137" ht="31.15" hidden="1" customHeight="1"/>
    <row r="138" ht="31.15" hidden="1" customHeight="1"/>
    <row r="139" ht="15.6" hidden="1" customHeight="1"/>
    <row r="140" ht="15.6" hidden="1" customHeight="1"/>
    <row r="141" ht="31.15" hidden="1" customHeight="1"/>
    <row r="142" ht="16.149999999999999" hidden="1" customHeight="1"/>
    <row r="143" ht="31.15" hidden="1" customHeight="1"/>
    <row r="144" ht="31.15" hidden="1" customHeight="1"/>
    <row r="145" ht="31.15" hidden="1" customHeight="1"/>
    <row r="146" ht="31.15" hidden="1" customHeight="1"/>
    <row r="147" ht="31.15" hidden="1" customHeight="1"/>
    <row r="148" ht="31.15" hidden="1" customHeight="1"/>
    <row r="149" ht="31.15" hidden="1" customHeight="1"/>
    <row r="150" ht="31.15" hidden="1" customHeight="1"/>
    <row r="151" ht="16.149999999999999" hidden="1" customHeight="1"/>
    <row r="152" ht="31.15" hidden="1" customHeight="1"/>
    <row r="153" ht="31.15" hidden="1" customHeight="1"/>
    <row r="154" ht="31.15" hidden="1" customHeight="1"/>
    <row r="155" ht="31.15" hidden="1" customHeight="1"/>
    <row r="156" ht="31.15" hidden="1" customHeight="1"/>
    <row r="157" ht="31.15" hidden="1" customHeight="1"/>
    <row r="158" ht="31.15" hidden="1" customHeight="1"/>
    <row r="159" ht="31.15" hidden="1" customHeight="1"/>
    <row r="160" ht="15.6" hidden="1" customHeight="1"/>
    <row r="161" ht="15.6" hidden="1" customHeight="1"/>
    <row r="162" ht="15.6" hidden="1" customHeight="1"/>
    <row r="164" ht="15.6" hidden="1" customHeight="1"/>
    <row r="165" ht="15.6" hidden="1" customHeight="1"/>
    <row r="166" ht="15.6" hidden="1" customHeight="1"/>
    <row r="167" ht="15.6" hidden="1" customHeight="1"/>
    <row r="168" ht="15.6" hidden="1" customHeight="1"/>
    <row r="169" ht="15.6" hidden="1" customHeight="1"/>
    <row r="170" ht="15.6" hidden="1" customHeight="1"/>
    <row r="171" ht="15.6" hidden="1" customHeight="1"/>
    <row r="172" ht="15.6" hidden="1" customHeight="1"/>
    <row r="173" ht="15.6" hidden="1" customHeight="1"/>
    <row r="283" ht="16.149999999999999" hidden="1" customHeight="1"/>
    <row r="284" ht="16.149999999999999" hidden="1" customHeight="1"/>
    <row r="285" ht="31.15" hidden="1" customHeight="1"/>
    <row r="286" ht="31.15" hidden="1" customHeight="1"/>
    <row r="287" ht="31.15" hidden="1" customHeight="1"/>
    <row r="288" ht="31.15" hidden="1" customHeight="1"/>
    <row r="289" ht="31.15" hidden="1" customHeight="1"/>
    <row r="290" ht="31.15" hidden="1" customHeight="1"/>
    <row r="291" ht="31.15" hidden="1" customHeight="1"/>
    <row r="292" ht="16.149999999999999" hidden="1" customHeight="1"/>
    <row r="293" ht="31.15" hidden="1" customHeight="1"/>
    <row r="294" ht="31.15" hidden="1" customHeight="1"/>
    <row r="295" ht="31.15" hidden="1" customHeight="1"/>
    <row r="296" ht="31.15" hidden="1" customHeight="1"/>
    <row r="297" ht="31.15" hidden="1" customHeight="1"/>
    <row r="298" ht="31.15" hidden="1" customHeight="1"/>
    <row r="299" ht="31.15" hidden="1" customHeight="1"/>
    <row r="300" ht="31.15" hidden="1" customHeight="1"/>
    <row r="301" ht="31.15" hidden="1" customHeight="1"/>
    <row r="302" ht="31.15" hidden="1" customHeight="1"/>
    <row r="303" ht="31.15" hidden="1" customHeight="1"/>
    <row r="304" ht="31.15" hidden="1" customHeight="1"/>
    <row r="305" ht="31.15" hidden="1" customHeight="1"/>
    <row r="306" ht="31.15" hidden="1" customHeight="1"/>
    <row r="307" ht="31.15" hidden="1" customHeight="1"/>
    <row r="308" ht="31.15" hidden="1" customHeight="1"/>
    <row r="309" ht="31.15" hidden="1" customHeight="1"/>
    <row r="310" ht="31.15" hidden="1" customHeight="1"/>
    <row r="311" ht="31.15" hidden="1" customHeight="1"/>
    <row r="312" ht="31.15" hidden="1" customHeight="1"/>
    <row r="313" ht="31.15" hidden="1" customHeight="1"/>
    <row r="314" ht="31.15" hidden="1" customHeight="1"/>
    <row r="315" ht="31.15" hidden="1" customHeight="1"/>
    <row r="316" ht="31.15" hidden="1" customHeight="1"/>
    <row r="317" ht="31.15" hidden="1" customHeight="1"/>
    <row r="318" ht="31.15" hidden="1" customHeight="1"/>
    <row r="319" ht="31.15" hidden="1" customHeight="1"/>
  </sheetData>
  <mergeCells count="14">
    <mergeCell ref="A2:K2"/>
    <mergeCell ref="H8:I8"/>
    <mergeCell ref="H9:I9"/>
    <mergeCell ref="D7:F7"/>
    <mergeCell ref="D8:F8"/>
    <mergeCell ref="D9:F9"/>
    <mergeCell ref="A3:J3"/>
    <mergeCell ref="A4:J4"/>
    <mergeCell ref="A5:J5"/>
    <mergeCell ref="B38:C38"/>
    <mergeCell ref="B12:F12"/>
    <mergeCell ref="B28:F28"/>
    <mergeCell ref="B30:F30"/>
    <mergeCell ref="H10:I10"/>
  </mergeCells>
  <printOptions horizontalCentered="1"/>
  <pageMargins left="0.70866141732283472" right="0.70866141732283472" top="0.74803149606299213" bottom="0.74803149606299213" header="0.31496062992125984" footer="0.31496062992125984"/>
  <pageSetup paperSize="9" scale="80" orientation="landscape" r:id="rId1"/>
  <headerFooter>
    <oddFooter>&amp;R&amp;P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E70"/>
  <sheetViews>
    <sheetView view="pageBreakPreview" zoomScaleNormal="85" zoomScaleSheetLayoutView="100" workbookViewId="0">
      <selection activeCell="Q12" sqref="Q12"/>
    </sheetView>
  </sheetViews>
  <sheetFormatPr defaultRowHeight="12.75"/>
  <cols>
    <col min="1" max="1" width="9.140625" style="409"/>
    <col min="2" max="2" width="42.140625" style="409" customWidth="1"/>
    <col min="3" max="3" width="12.42578125" style="409" customWidth="1"/>
    <col min="4" max="4" width="13.140625" style="409" customWidth="1"/>
    <col min="5" max="5" width="11" style="409" customWidth="1"/>
    <col min="6" max="8" width="10.140625" style="409" customWidth="1"/>
    <col min="9" max="9" width="12.85546875" style="409" customWidth="1"/>
    <col min="10" max="11" width="9.140625" style="409"/>
    <col min="12" max="12" width="10.42578125" style="409" customWidth="1"/>
    <col min="13" max="13" width="12" style="409" customWidth="1"/>
    <col min="14" max="16384" width="9.140625" style="409"/>
  </cols>
  <sheetData>
    <row r="2" spans="1:239" ht="20.25">
      <c r="A2" s="892" t="s">
        <v>461</v>
      </c>
      <c r="B2" s="892"/>
      <c r="C2" s="892"/>
      <c r="D2" s="892"/>
      <c r="E2" s="892"/>
      <c r="F2" s="892"/>
      <c r="G2" s="892"/>
      <c r="H2" s="892"/>
      <c r="I2" s="892"/>
      <c r="J2" s="892"/>
      <c r="K2" s="892"/>
      <c r="L2" s="892"/>
      <c r="M2" s="892"/>
      <c r="N2" s="483"/>
      <c r="O2" s="483"/>
      <c r="P2" s="483"/>
      <c r="Q2" s="483"/>
      <c r="R2" s="483"/>
      <c r="S2" s="483"/>
      <c r="T2" s="483"/>
      <c r="U2" s="483"/>
      <c r="V2" s="483"/>
      <c r="W2" s="483"/>
      <c r="X2" s="483"/>
      <c r="Y2" s="483"/>
      <c r="Z2" s="483"/>
      <c r="AA2" s="483"/>
      <c r="AB2" s="483"/>
      <c r="AC2" s="483"/>
      <c r="AD2" s="483"/>
      <c r="AE2" s="483"/>
      <c r="AF2" s="483"/>
      <c r="AG2" s="483"/>
      <c r="AH2" s="483"/>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c r="CT2" s="483"/>
      <c r="CU2" s="483"/>
      <c r="CV2" s="483"/>
      <c r="CW2" s="483"/>
      <c r="CX2" s="483"/>
      <c r="CY2" s="483"/>
      <c r="CZ2" s="483"/>
      <c r="DA2" s="483"/>
      <c r="DB2" s="483"/>
      <c r="DC2" s="483"/>
      <c r="DD2" s="483"/>
      <c r="DE2" s="483"/>
      <c r="DF2" s="483"/>
      <c r="DG2" s="483"/>
      <c r="DH2" s="483"/>
      <c r="DI2" s="483"/>
      <c r="DJ2" s="483"/>
      <c r="DK2" s="483"/>
      <c r="DL2" s="483"/>
      <c r="DM2" s="483"/>
      <c r="DN2" s="483"/>
      <c r="DO2" s="483"/>
      <c r="DP2" s="483"/>
      <c r="DQ2" s="483"/>
      <c r="DR2" s="483"/>
      <c r="DS2" s="483"/>
      <c r="DT2" s="483"/>
      <c r="DU2" s="483"/>
      <c r="DV2" s="483"/>
      <c r="DW2" s="483"/>
      <c r="DX2" s="483"/>
      <c r="DY2" s="483"/>
      <c r="DZ2" s="483"/>
      <c r="EA2" s="483"/>
      <c r="EB2" s="483"/>
      <c r="EC2" s="483"/>
      <c r="ED2" s="483"/>
      <c r="EE2" s="483"/>
      <c r="EF2" s="483"/>
      <c r="EG2" s="483"/>
      <c r="EH2" s="483"/>
      <c r="EI2" s="483"/>
      <c r="EJ2" s="483"/>
      <c r="EK2" s="483"/>
      <c r="EL2" s="483"/>
      <c r="EM2" s="483"/>
      <c r="EN2" s="483"/>
      <c r="EO2" s="483"/>
      <c r="EP2" s="483"/>
      <c r="EQ2" s="483"/>
      <c r="ER2" s="483"/>
      <c r="ES2" s="483"/>
      <c r="ET2" s="483"/>
      <c r="EU2" s="483"/>
      <c r="EV2" s="483"/>
      <c r="EW2" s="483"/>
      <c r="EX2" s="483"/>
      <c r="EY2" s="483"/>
      <c r="EZ2" s="483"/>
      <c r="FA2" s="483"/>
      <c r="FB2" s="483"/>
      <c r="FC2" s="483"/>
      <c r="FD2" s="483"/>
      <c r="FE2" s="483"/>
      <c r="FF2" s="483"/>
      <c r="FG2" s="483"/>
      <c r="FH2" s="483"/>
      <c r="FI2" s="483"/>
      <c r="FJ2" s="483"/>
      <c r="FK2" s="483"/>
      <c r="FL2" s="483"/>
      <c r="FM2" s="483"/>
      <c r="FN2" s="483"/>
      <c r="FO2" s="483"/>
      <c r="FP2" s="483"/>
      <c r="FQ2" s="483"/>
      <c r="FR2" s="483"/>
      <c r="FS2" s="483"/>
      <c r="FT2" s="483"/>
      <c r="FU2" s="483"/>
      <c r="FV2" s="483"/>
      <c r="FW2" s="483"/>
      <c r="FX2" s="483"/>
      <c r="FY2" s="483"/>
      <c r="FZ2" s="483"/>
      <c r="GA2" s="483"/>
      <c r="GB2" s="483"/>
      <c r="GC2" s="483"/>
      <c r="GD2" s="483"/>
      <c r="GE2" s="483"/>
      <c r="GF2" s="483"/>
      <c r="GG2" s="483"/>
      <c r="GH2" s="483"/>
      <c r="GI2" s="483"/>
      <c r="GJ2" s="483"/>
      <c r="GK2" s="483"/>
      <c r="GL2" s="483"/>
      <c r="GM2" s="483"/>
      <c r="GN2" s="483"/>
      <c r="GO2" s="483"/>
      <c r="GP2" s="483"/>
      <c r="GQ2" s="483"/>
      <c r="GR2" s="483"/>
      <c r="GS2" s="483"/>
      <c r="GT2" s="483"/>
      <c r="GU2" s="483"/>
      <c r="GV2" s="483"/>
      <c r="GW2" s="483"/>
      <c r="GX2" s="483"/>
      <c r="GY2" s="483"/>
      <c r="GZ2" s="483"/>
      <c r="HA2" s="483"/>
      <c r="HB2" s="483"/>
      <c r="HC2" s="483"/>
      <c r="HD2" s="483"/>
      <c r="HE2" s="483"/>
      <c r="HF2" s="483"/>
      <c r="HG2" s="483"/>
      <c r="HH2" s="483"/>
      <c r="HI2" s="483"/>
      <c r="HJ2" s="483"/>
      <c r="HK2" s="483"/>
      <c r="HL2" s="483"/>
      <c r="HM2" s="483"/>
      <c r="HN2" s="483"/>
      <c r="HO2" s="483"/>
      <c r="HP2" s="483"/>
      <c r="HQ2" s="483"/>
      <c r="HR2" s="483"/>
      <c r="HS2" s="483"/>
      <c r="HT2" s="483"/>
      <c r="HU2" s="483"/>
      <c r="HV2" s="483"/>
      <c r="HW2" s="483"/>
      <c r="HX2" s="483"/>
      <c r="HY2" s="483"/>
      <c r="HZ2" s="483"/>
      <c r="IA2" s="483"/>
      <c r="IB2" s="483"/>
      <c r="IC2" s="483"/>
      <c r="ID2" s="483"/>
      <c r="IE2" s="483"/>
    </row>
    <row r="3" spans="1:239" ht="15">
      <c r="A3" s="945" t="str">
        <f>Trunking.!A3</f>
        <v>CÔNG TRÌNH : THI CÔNG ………………</v>
      </c>
      <c r="B3" s="945"/>
      <c r="C3" s="945"/>
      <c r="D3" s="945"/>
      <c r="E3" s="945"/>
      <c r="F3" s="945"/>
      <c r="G3" s="945"/>
      <c r="H3" s="945"/>
      <c r="I3" s="945"/>
      <c r="J3" s="945"/>
      <c r="K3" s="945"/>
      <c r="L3" s="945"/>
      <c r="M3" s="945"/>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c r="CT3" s="483"/>
      <c r="CU3" s="483"/>
      <c r="CV3" s="483"/>
      <c r="CW3" s="483"/>
      <c r="CX3" s="483"/>
      <c r="CY3" s="483"/>
      <c r="CZ3" s="483"/>
      <c r="DA3" s="483"/>
      <c r="DB3" s="483"/>
      <c r="DC3" s="483"/>
      <c r="DD3" s="483"/>
      <c r="DE3" s="483"/>
      <c r="DF3" s="483"/>
      <c r="DG3" s="483"/>
      <c r="DH3" s="483"/>
      <c r="DI3" s="483"/>
      <c r="DJ3" s="483"/>
      <c r="DK3" s="483"/>
      <c r="DL3" s="483"/>
      <c r="DM3" s="483"/>
      <c r="DN3" s="483"/>
      <c r="DO3" s="483"/>
      <c r="DP3" s="483"/>
      <c r="DQ3" s="483"/>
      <c r="DR3" s="483"/>
      <c r="DS3" s="483"/>
      <c r="DT3" s="483"/>
      <c r="DU3" s="483"/>
      <c r="DV3" s="483"/>
      <c r="DW3" s="483"/>
      <c r="DX3" s="483"/>
      <c r="DY3" s="483"/>
      <c r="DZ3" s="483"/>
      <c r="EA3" s="483"/>
      <c r="EB3" s="483"/>
      <c r="EC3" s="483"/>
      <c r="ED3" s="483"/>
      <c r="EE3" s="483"/>
      <c r="EF3" s="483"/>
      <c r="EG3" s="483"/>
      <c r="EH3" s="483"/>
      <c r="EI3" s="483"/>
      <c r="EJ3" s="483"/>
      <c r="EK3" s="483"/>
      <c r="EL3" s="483"/>
      <c r="EM3" s="483"/>
      <c r="EN3" s="483"/>
      <c r="EO3" s="483"/>
      <c r="EP3" s="483"/>
      <c r="EQ3" s="483"/>
      <c r="ER3" s="483"/>
      <c r="ES3" s="483"/>
      <c r="ET3" s="483"/>
      <c r="EU3" s="483"/>
      <c r="EV3" s="483"/>
      <c r="EW3" s="483"/>
      <c r="EX3" s="483"/>
      <c r="EY3" s="483"/>
      <c r="EZ3" s="483"/>
      <c r="FA3" s="483"/>
      <c r="FB3" s="483"/>
      <c r="FC3" s="483"/>
      <c r="FD3" s="483"/>
      <c r="FE3" s="483"/>
      <c r="FF3" s="483"/>
      <c r="FG3" s="483"/>
      <c r="FH3" s="483"/>
      <c r="FI3" s="483"/>
      <c r="FJ3" s="483"/>
      <c r="FK3" s="483"/>
      <c r="FL3" s="483"/>
      <c r="FM3" s="483"/>
      <c r="FN3" s="483"/>
      <c r="FO3" s="483"/>
      <c r="FP3" s="483"/>
      <c r="FQ3" s="483"/>
      <c r="FR3" s="483"/>
      <c r="FS3" s="483"/>
      <c r="FT3" s="483"/>
      <c r="FU3" s="483"/>
      <c r="FV3" s="483"/>
      <c r="FW3" s="483"/>
      <c r="FX3" s="483"/>
      <c r="FY3" s="483"/>
      <c r="FZ3" s="483"/>
      <c r="GA3" s="483"/>
      <c r="GB3" s="483"/>
      <c r="GC3" s="483"/>
      <c r="GD3" s="483"/>
      <c r="GE3" s="483"/>
      <c r="GF3" s="483"/>
      <c r="GG3" s="483"/>
      <c r="GH3" s="483"/>
      <c r="GI3" s="483"/>
      <c r="GJ3" s="483"/>
      <c r="GK3" s="483"/>
      <c r="GL3" s="483"/>
      <c r="GM3" s="483"/>
      <c r="GN3" s="483"/>
      <c r="GO3" s="483"/>
      <c r="GP3" s="483"/>
      <c r="GQ3" s="483"/>
      <c r="GR3" s="483"/>
      <c r="GS3" s="483"/>
      <c r="GT3" s="483"/>
      <c r="GU3" s="483"/>
      <c r="GV3" s="483"/>
      <c r="GW3" s="483"/>
      <c r="GX3" s="483"/>
      <c r="GY3" s="483"/>
      <c r="GZ3" s="483"/>
      <c r="HA3" s="483"/>
      <c r="HB3" s="483"/>
      <c r="HC3" s="483"/>
      <c r="HD3" s="483"/>
      <c r="HE3" s="483"/>
      <c r="HF3" s="483"/>
      <c r="HG3" s="483"/>
      <c r="HH3" s="483"/>
      <c r="HI3" s="483"/>
      <c r="HJ3" s="483"/>
      <c r="HK3" s="483"/>
      <c r="HL3" s="483"/>
      <c r="HM3" s="483"/>
      <c r="HN3" s="483"/>
      <c r="HO3" s="483"/>
      <c r="HP3" s="483"/>
      <c r="HQ3" s="483"/>
      <c r="HR3" s="483"/>
      <c r="HS3" s="483"/>
      <c r="HT3" s="483"/>
      <c r="HU3" s="483"/>
      <c r="HV3" s="483"/>
      <c r="HW3" s="483"/>
      <c r="HX3" s="483"/>
      <c r="HY3" s="483"/>
      <c r="HZ3" s="483"/>
      <c r="IA3" s="483"/>
      <c r="IB3" s="483"/>
      <c r="IC3" s="483"/>
      <c r="ID3" s="483"/>
      <c r="IE3" s="483"/>
    </row>
    <row r="4" spans="1:239" ht="15">
      <c r="A4" s="945" t="str">
        <f>Trunking.!A4</f>
        <v>ĐỊA ĐIỂM: ………………</v>
      </c>
      <c r="B4" s="945"/>
      <c r="C4" s="945"/>
      <c r="D4" s="945"/>
      <c r="E4" s="945"/>
      <c r="F4" s="945"/>
      <c r="G4" s="945"/>
      <c r="H4" s="945"/>
      <c r="I4" s="945"/>
      <c r="J4" s="945"/>
      <c r="K4" s="945"/>
      <c r="L4" s="945"/>
      <c r="M4" s="945"/>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3"/>
      <c r="AN4" s="483"/>
      <c r="AO4" s="483"/>
      <c r="AP4" s="483"/>
      <c r="AQ4" s="483"/>
      <c r="AR4" s="483"/>
      <c r="AS4" s="483"/>
      <c r="AT4" s="483"/>
      <c r="AU4" s="483"/>
      <c r="AV4" s="483"/>
      <c r="AW4" s="483"/>
      <c r="AX4" s="483"/>
      <c r="AY4" s="483"/>
      <c r="AZ4" s="483"/>
      <c r="BA4" s="483"/>
      <c r="BB4" s="483"/>
      <c r="BC4" s="483"/>
      <c r="BD4" s="483"/>
      <c r="BE4" s="483"/>
      <c r="BF4" s="483"/>
      <c r="BG4" s="483"/>
      <c r="BH4" s="483"/>
      <c r="BI4" s="483"/>
      <c r="BJ4" s="483"/>
      <c r="BK4" s="483"/>
      <c r="BL4" s="483"/>
      <c r="BM4" s="483"/>
      <c r="BN4" s="483"/>
      <c r="BO4" s="483"/>
      <c r="BP4" s="483"/>
      <c r="BQ4" s="483"/>
      <c r="BR4" s="483"/>
      <c r="BS4" s="483"/>
      <c r="BT4" s="483"/>
      <c r="BU4" s="483"/>
      <c r="BV4" s="483"/>
      <c r="BW4" s="483"/>
      <c r="BX4" s="483"/>
      <c r="BY4" s="483"/>
      <c r="BZ4" s="483"/>
      <c r="CA4" s="483"/>
      <c r="CB4" s="483"/>
      <c r="CC4" s="483"/>
      <c r="CD4" s="483"/>
      <c r="CE4" s="483"/>
      <c r="CF4" s="483"/>
      <c r="CG4" s="483"/>
      <c r="CH4" s="483"/>
      <c r="CI4" s="483"/>
      <c r="CJ4" s="483"/>
      <c r="CK4" s="483"/>
      <c r="CL4" s="483"/>
      <c r="CM4" s="483"/>
      <c r="CN4" s="483"/>
      <c r="CO4" s="483"/>
      <c r="CP4" s="483"/>
      <c r="CQ4" s="483"/>
      <c r="CR4" s="483"/>
      <c r="CS4" s="483"/>
      <c r="CT4" s="483"/>
      <c r="CU4" s="483"/>
      <c r="CV4" s="483"/>
      <c r="CW4" s="483"/>
      <c r="CX4" s="483"/>
      <c r="CY4" s="483"/>
      <c r="CZ4" s="483"/>
      <c r="DA4" s="483"/>
      <c r="DB4" s="483"/>
      <c r="DC4" s="483"/>
      <c r="DD4" s="483"/>
      <c r="DE4" s="483"/>
      <c r="DF4" s="483"/>
      <c r="DG4" s="483"/>
      <c r="DH4" s="483"/>
      <c r="DI4" s="483"/>
      <c r="DJ4" s="483"/>
      <c r="DK4" s="483"/>
      <c r="DL4" s="483"/>
      <c r="DM4" s="483"/>
      <c r="DN4" s="483"/>
      <c r="DO4" s="483"/>
      <c r="DP4" s="483"/>
      <c r="DQ4" s="483"/>
      <c r="DR4" s="483"/>
      <c r="DS4" s="483"/>
      <c r="DT4" s="483"/>
      <c r="DU4" s="483"/>
      <c r="DV4" s="483"/>
      <c r="DW4" s="483"/>
      <c r="DX4" s="483"/>
      <c r="DY4" s="483"/>
      <c r="DZ4" s="483"/>
      <c r="EA4" s="483"/>
      <c r="EB4" s="483"/>
      <c r="EC4" s="483"/>
      <c r="ED4" s="483"/>
      <c r="EE4" s="483"/>
      <c r="EF4" s="483"/>
      <c r="EG4" s="483"/>
      <c r="EH4" s="483"/>
      <c r="EI4" s="483"/>
      <c r="EJ4" s="483"/>
      <c r="EK4" s="483"/>
      <c r="EL4" s="483"/>
      <c r="EM4" s="483"/>
      <c r="EN4" s="483"/>
      <c r="EO4" s="483"/>
      <c r="EP4" s="483"/>
      <c r="EQ4" s="483"/>
      <c r="ER4" s="483"/>
      <c r="ES4" s="483"/>
      <c r="ET4" s="483"/>
      <c r="EU4" s="483"/>
      <c r="EV4" s="483"/>
      <c r="EW4" s="483"/>
      <c r="EX4" s="483"/>
      <c r="EY4" s="483"/>
      <c r="EZ4" s="483"/>
      <c r="FA4" s="483"/>
      <c r="FB4" s="483"/>
      <c r="FC4" s="483"/>
      <c r="FD4" s="483"/>
      <c r="FE4" s="483"/>
      <c r="FF4" s="483"/>
      <c r="FG4" s="483"/>
      <c r="FH4" s="483"/>
      <c r="FI4" s="483"/>
      <c r="FJ4" s="483"/>
      <c r="FK4" s="483"/>
      <c r="FL4" s="483"/>
      <c r="FM4" s="483"/>
      <c r="FN4" s="483"/>
      <c r="FO4" s="483"/>
      <c r="FP4" s="483"/>
      <c r="FQ4" s="483"/>
      <c r="FR4" s="483"/>
      <c r="FS4" s="483"/>
      <c r="FT4" s="483"/>
      <c r="FU4" s="483"/>
      <c r="FV4" s="483"/>
      <c r="FW4" s="483"/>
      <c r="FX4" s="483"/>
      <c r="FY4" s="483"/>
      <c r="FZ4" s="483"/>
      <c r="GA4" s="483"/>
      <c r="GB4" s="483"/>
      <c r="GC4" s="483"/>
      <c r="GD4" s="483"/>
      <c r="GE4" s="483"/>
      <c r="GF4" s="483"/>
      <c r="GG4" s="483"/>
      <c r="GH4" s="483"/>
      <c r="GI4" s="483"/>
      <c r="GJ4" s="483"/>
      <c r="GK4" s="483"/>
      <c r="GL4" s="483"/>
      <c r="GM4" s="483"/>
      <c r="GN4" s="483"/>
      <c r="GO4" s="483"/>
      <c r="GP4" s="483"/>
      <c r="GQ4" s="483"/>
      <c r="GR4" s="483"/>
      <c r="GS4" s="483"/>
      <c r="GT4" s="483"/>
      <c r="GU4" s="483"/>
      <c r="GV4" s="483"/>
      <c r="GW4" s="483"/>
      <c r="GX4" s="483"/>
      <c r="GY4" s="483"/>
      <c r="GZ4" s="483"/>
      <c r="HA4" s="483"/>
      <c r="HB4" s="483"/>
      <c r="HC4" s="483"/>
      <c r="HD4" s="483"/>
      <c r="HE4" s="483"/>
      <c r="HF4" s="483"/>
      <c r="HG4" s="483"/>
      <c r="HH4" s="483"/>
      <c r="HI4" s="483"/>
      <c r="HJ4" s="483"/>
      <c r="HK4" s="483"/>
      <c r="HL4" s="483"/>
      <c r="HM4" s="483"/>
      <c r="HN4" s="483"/>
      <c r="HO4" s="483"/>
      <c r="HP4" s="483"/>
      <c r="HQ4" s="483"/>
      <c r="HR4" s="483"/>
      <c r="HS4" s="483"/>
      <c r="HT4" s="483"/>
      <c r="HU4" s="483"/>
      <c r="HV4" s="483"/>
      <c r="HW4" s="483"/>
      <c r="HX4" s="483"/>
      <c r="HY4" s="483"/>
      <c r="HZ4" s="483"/>
      <c r="IA4" s="483"/>
      <c r="IB4" s="483"/>
      <c r="IC4" s="483"/>
      <c r="ID4" s="483"/>
      <c r="IE4" s="483"/>
    </row>
    <row r="5" spans="1:239" ht="15">
      <c r="A5" s="945" t="str">
        <f>Trunking.!A5</f>
        <v>SỐ HỢP ĐỒNG: …………………</v>
      </c>
      <c r="B5" s="945"/>
      <c r="C5" s="945"/>
      <c r="D5" s="945"/>
      <c r="E5" s="945"/>
      <c r="F5" s="945"/>
      <c r="G5" s="945"/>
      <c r="H5" s="945"/>
      <c r="I5" s="945"/>
      <c r="J5" s="945"/>
      <c r="K5" s="945"/>
      <c r="L5" s="945"/>
      <c r="M5" s="945"/>
      <c r="N5" s="483"/>
      <c r="O5" s="483"/>
      <c r="P5" s="483"/>
      <c r="Q5" s="483"/>
      <c r="R5" s="483"/>
      <c r="S5" s="483"/>
      <c r="T5" s="483"/>
      <c r="U5" s="483"/>
      <c r="V5" s="483"/>
      <c r="W5" s="483"/>
      <c r="X5" s="483"/>
      <c r="Y5" s="483"/>
      <c r="Z5" s="483"/>
      <c r="AA5" s="483"/>
      <c r="AB5" s="483"/>
      <c r="AC5" s="483"/>
      <c r="AD5" s="483"/>
      <c r="AE5" s="483"/>
      <c r="AF5" s="483"/>
      <c r="AG5" s="483"/>
      <c r="AH5" s="483"/>
      <c r="AI5" s="483"/>
      <c r="AJ5" s="483"/>
      <c r="AK5" s="483"/>
      <c r="AL5" s="483"/>
      <c r="AM5" s="483"/>
      <c r="AN5" s="483"/>
      <c r="AO5" s="483"/>
      <c r="AP5" s="483"/>
      <c r="AQ5" s="483"/>
      <c r="AR5" s="483"/>
      <c r="AS5" s="483"/>
      <c r="AT5" s="483"/>
      <c r="AU5" s="483"/>
      <c r="AV5" s="483"/>
      <c r="AW5" s="483"/>
      <c r="AX5" s="483"/>
      <c r="AY5" s="483"/>
      <c r="AZ5" s="483"/>
      <c r="BA5" s="483"/>
      <c r="BB5" s="483"/>
      <c r="BC5" s="483"/>
      <c r="BD5" s="483"/>
      <c r="BE5" s="483"/>
      <c r="BF5" s="483"/>
      <c r="BG5" s="483"/>
      <c r="BH5" s="483"/>
      <c r="BI5" s="483"/>
      <c r="BJ5" s="483"/>
      <c r="BK5" s="483"/>
      <c r="BL5" s="483"/>
      <c r="BM5" s="483"/>
      <c r="BN5" s="483"/>
      <c r="BO5" s="483"/>
      <c r="BP5" s="483"/>
      <c r="BQ5" s="483"/>
      <c r="BR5" s="483"/>
      <c r="BS5" s="483"/>
      <c r="BT5" s="483"/>
      <c r="BU5" s="483"/>
      <c r="BV5" s="483"/>
      <c r="BW5" s="483"/>
      <c r="BX5" s="483"/>
      <c r="BY5" s="483"/>
      <c r="BZ5" s="483"/>
      <c r="CA5" s="483"/>
      <c r="CB5" s="483"/>
      <c r="CC5" s="483"/>
      <c r="CD5" s="483"/>
      <c r="CE5" s="483"/>
      <c r="CF5" s="483"/>
      <c r="CG5" s="483"/>
      <c r="CH5" s="483"/>
      <c r="CI5" s="483"/>
      <c r="CJ5" s="483"/>
      <c r="CK5" s="483"/>
      <c r="CL5" s="483"/>
      <c r="CM5" s="483"/>
      <c r="CN5" s="483"/>
      <c r="CO5" s="483"/>
      <c r="CP5" s="483"/>
      <c r="CQ5" s="483"/>
      <c r="CR5" s="483"/>
      <c r="CS5" s="483"/>
      <c r="CT5" s="483"/>
      <c r="CU5" s="483"/>
      <c r="CV5" s="483"/>
      <c r="CW5" s="483"/>
      <c r="CX5" s="483"/>
      <c r="CY5" s="483"/>
      <c r="CZ5" s="483"/>
      <c r="DA5" s="483"/>
      <c r="DB5" s="483"/>
      <c r="DC5" s="483"/>
      <c r="DD5" s="483"/>
      <c r="DE5" s="483"/>
      <c r="DF5" s="483"/>
      <c r="DG5" s="483"/>
      <c r="DH5" s="483"/>
      <c r="DI5" s="483"/>
      <c r="DJ5" s="483"/>
      <c r="DK5" s="483"/>
      <c r="DL5" s="483"/>
      <c r="DM5" s="483"/>
      <c r="DN5" s="483"/>
      <c r="DO5" s="483"/>
      <c r="DP5" s="483"/>
      <c r="DQ5" s="483"/>
      <c r="DR5" s="483"/>
      <c r="DS5" s="483"/>
      <c r="DT5" s="483"/>
      <c r="DU5" s="483"/>
      <c r="DV5" s="483"/>
      <c r="DW5" s="483"/>
      <c r="DX5" s="483"/>
      <c r="DY5" s="483"/>
      <c r="DZ5" s="483"/>
      <c r="EA5" s="483"/>
      <c r="EB5" s="483"/>
      <c r="EC5" s="483"/>
      <c r="ED5" s="483"/>
      <c r="EE5" s="483"/>
      <c r="EF5" s="483"/>
      <c r="EG5" s="483"/>
      <c r="EH5" s="483"/>
      <c r="EI5" s="483"/>
      <c r="EJ5" s="483"/>
      <c r="EK5" s="483"/>
      <c r="EL5" s="483"/>
      <c r="EM5" s="483"/>
      <c r="EN5" s="483"/>
      <c r="EO5" s="483"/>
      <c r="EP5" s="483"/>
      <c r="EQ5" s="483"/>
      <c r="ER5" s="483"/>
      <c r="ES5" s="483"/>
      <c r="ET5" s="483"/>
      <c r="EU5" s="483"/>
      <c r="EV5" s="483"/>
      <c r="EW5" s="483"/>
      <c r="EX5" s="483"/>
      <c r="EY5" s="483"/>
      <c r="EZ5" s="483"/>
      <c r="FA5" s="483"/>
      <c r="FB5" s="483"/>
      <c r="FC5" s="483"/>
      <c r="FD5" s="483"/>
      <c r="FE5" s="483"/>
      <c r="FF5" s="483"/>
      <c r="FG5" s="483"/>
      <c r="FH5" s="483"/>
      <c r="FI5" s="483"/>
      <c r="FJ5" s="483"/>
      <c r="FK5" s="483"/>
      <c r="FL5" s="483"/>
      <c r="FM5" s="483"/>
      <c r="FN5" s="483"/>
      <c r="FO5" s="483"/>
      <c r="FP5" s="483"/>
      <c r="FQ5" s="483"/>
      <c r="FR5" s="483"/>
      <c r="FS5" s="483"/>
      <c r="FT5" s="483"/>
      <c r="FU5" s="483"/>
      <c r="FV5" s="483"/>
      <c r="FW5" s="483"/>
      <c r="FX5" s="483"/>
      <c r="FY5" s="483"/>
      <c r="FZ5" s="483"/>
      <c r="GA5" s="483"/>
      <c r="GB5" s="483"/>
      <c r="GC5" s="483"/>
      <c r="GD5" s="483"/>
      <c r="GE5" s="483"/>
      <c r="GF5" s="483"/>
      <c r="GG5" s="483"/>
      <c r="GH5" s="483"/>
      <c r="GI5" s="483"/>
      <c r="GJ5" s="483"/>
      <c r="GK5" s="483"/>
      <c r="GL5" s="483"/>
      <c r="GM5" s="483"/>
      <c r="GN5" s="483"/>
      <c r="GO5" s="483"/>
      <c r="GP5" s="483"/>
      <c r="GQ5" s="483"/>
      <c r="GR5" s="483"/>
      <c r="GS5" s="483"/>
      <c r="GT5" s="483"/>
      <c r="GU5" s="483"/>
      <c r="GV5" s="483"/>
      <c r="GW5" s="483"/>
      <c r="GX5" s="483"/>
      <c r="GY5" s="483"/>
      <c r="GZ5" s="483"/>
      <c r="HA5" s="483"/>
      <c r="HB5" s="483"/>
      <c r="HC5" s="483"/>
      <c r="HD5" s="483"/>
      <c r="HE5" s="483"/>
      <c r="HF5" s="483"/>
      <c r="HG5" s="483"/>
      <c r="HH5" s="483"/>
      <c r="HI5" s="483"/>
      <c r="HJ5" s="483"/>
      <c r="HK5" s="483"/>
      <c r="HL5" s="483"/>
      <c r="HM5" s="483"/>
      <c r="HN5" s="483"/>
      <c r="HO5" s="483"/>
      <c r="HP5" s="483"/>
      <c r="HQ5" s="483"/>
      <c r="HR5" s="483"/>
      <c r="HS5" s="483"/>
      <c r="HT5" s="483"/>
      <c r="HU5" s="483"/>
      <c r="HV5" s="483"/>
      <c r="HW5" s="483"/>
      <c r="HX5" s="483"/>
      <c r="HY5" s="483"/>
      <c r="HZ5" s="483"/>
      <c r="IA5" s="483"/>
      <c r="IB5" s="483"/>
      <c r="IC5" s="483"/>
      <c r="ID5" s="483"/>
      <c r="IE5" s="483"/>
    </row>
    <row r="6" spans="1:239" ht="15">
      <c r="A6" s="237"/>
      <c r="B6" s="36"/>
      <c r="C6" s="36"/>
      <c r="D6" s="36"/>
      <c r="E6" s="36"/>
      <c r="F6" s="449" t="s">
        <v>595</v>
      </c>
      <c r="G6" s="449"/>
      <c r="H6" s="449"/>
      <c r="I6" s="449"/>
      <c r="J6" s="44">
        <v>4.1500000000000004</v>
      </c>
      <c r="K6" s="449" t="s">
        <v>469</v>
      </c>
      <c r="L6" s="449"/>
      <c r="M6" s="410">
        <v>3.3</v>
      </c>
      <c r="N6" s="483"/>
      <c r="O6" s="483"/>
      <c r="P6" s="483"/>
      <c r="Q6" s="483"/>
      <c r="R6" s="483"/>
      <c r="S6" s="483"/>
      <c r="T6" s="483"/>
      <c r="U6" s="483"/>
      <c r="V6" s="483"/>
      <c r="W6" s="483"/>
      <c r="X6" s="483"/>
      <c r="Y6" s="483"/>
      <c r="Z6" s="483"/>
      <c r="AA6" s="483"/>
      <c r="AB6" s="483"/>
      <c r="AC6" s="483"/>
      <c r="AD6" s="483"/>
      <c r="AE6" s="483"/>
      <c r="AF6" s="483"/>
      <c r="AG6" s="483"/>
      <c r="AH6" s="483"/>
      <c r="AI6" s="483"/>
      <c r="AJ6" s="483"/>
      <c r="AK6" s="483"/>
      <c r="AL6" s="483"/>
      <c r="AM6" s="483"/>
      <c r="AN6" s="483"/>
      <c r="AO6" s="483"/>
      <c r="AP6" s="483"/>
      <c r="AQ6" s="483"/>
      <c r="AR6" s="483"/>
      <c r="AS6" s="483"/>
      <c r="AT6" s="483"/>
      <c r="AU6" s="483"/>
      <c r="AV6" s="483"/>
      <c r="AW6" s="483"/>
      <c r="AX6" s="483"/>
      <c r="AY6" s="483"/>
      <c r="AZ6" s="483"/>
      <c r="BA6" s="483"/>
      <c r="BB6" s="483"/>
      <c r="BC6" s="483"/>
      <c r="BD6" s="483"/>
      <c r="BE6" s="483"/>
      <c r="BF6" s="483"/>
      <c r="BG6" s="483"/>
      <c r="BH6" s="483"/>
      <c r="BI6" s="483"/>
      <c r="BJ6" s="483"/>
      <c r="BK6" s="483"/>
      <c r="BL6" s="483"/>
      <c r="BM6" s="483"/>
      <c r="BN6" s="483"/>
      <c r="BO6" s="483"/>
      <c r="BP6" s="483"/>
      <c r="BQ6" s="483"/>
      <c r="BR6" s="483"/>
      <c r="BS6" s="483"/>
      <c r="BT6" s="483"/>
      <c r="BU6" s="483"/>
      <c r="BV6" s="483"/>
      <c r="BW6" s="483"/>
      <c r="BX6" s="483"/>
      <c r="BY6" s="483"/>
      <c r="BZ6" s="483"/>
      <c r="CA6" s="483"/>
      <c r="CB6" s="483"/>
      <c r="CC6" s="483"/>
      <c r="CD6" s="483"/>
      <c r="CE6" s="483"/>
      <c r="CF6" s="483"/>
      <c r="CG6" s="483"/>
      <c r="CH6" s="483"/>
      <c r="CI6" s="483"/>
      <c r="CJ6" s="483"/>
      <c r="CK6" s="483"/>
      <c r="CL6" s="483"/>
      <c r="CM6" s="483"/>
      <c r="CN6" s="483"/>
      <c r="CO6" s="483"/>
      <c r="CP6" s="483"/>
      <c r="CQ6" s="483"/>
      <c r="CR6" s="483"/>
      <c r="CS6" s="483"/>
      <c r="CT6" s="483"/>
      <c r="CU6" s="483"/>
      <c r="CV6" s="483"/>
      <c r="CW6" s="483"/>
      <c r="CX6" s="483"/>
      <c r="CY6" s="483"/>
      <c r="CZ6" s="483"/>
      <c r="DA6" s="483"/>
      <c r="DB6" s="483"/>
      <c r="DC6" s="483"/>
      <c r="DD6" s="483"/>
      <c r="DE6" s="483"/>
      <c r="DF6" s="483"/>
      <c r="DG6" s="483"/>
      <c r="DH6" s="483"/>
      <c r="DI6" s="483"/>
      <c r="DJ6" s="483"/>
      <c r="DK6" s="483"/>
      <c r="DL6" s="483"/>
      <c r="DM6" s="483"/>
      <c r="DN6" s="483"/>
      <c r="DO6" s="483"/>
      <c r="DP6" s="483"/>
      <c r="DQ6" s="483"/>
      <c r="DR6" s="483"/>
      <c r="DS6" s="483"/>
      <c r="DT6" s="483"/>
      <c r="DU6" s="483"/>
      <c r="DV6" s="483"/>
      <c r="DW6" s="483"/>
      <c r="DX6" s="483"/>
      <c r="DY6" s="483"/>
      <c r="DZ6" s="483"/>
      <c r="EA6" s="483"/>
      <c r="EB6" s="483"/>
      <c r="EC6" s="483"/>
      <c r="ED6" s="483"/>
      <c r="EE6" s="483"/>
      <c r="EF6" s="483"/>
      <c r="EG6" s="483"/>
      <c r="EH6" s="483"/>
      <c r="EI6" s="483"/>
      <c r="EJ6" s="483"/>
      <c r="EK6" s="483"/>
      <c r="EL6" s="483"/>
      <c r="EM6" s="483"/>
      <c r="EN6" s="483"/>
      <c r="EO6" s="483"/>
      <c r="EP6" s="483"/>
      <c r="EQ6" s="483"/>
      <c r="ER6" s="483"/>
      <c r="ES6" s="483"/>
      <c r="ET6" s="483"/>
      <c r="EU6" s="483"/>
      <c r="EV6" s="483"/>
      <c r="EW6" s="483"/>
      <c r="EX6" s="483"/>
      <c r="EY6" s="483"/>
      <c r="EZ6" s="483"/>
      <c r="FA6" s="483"/>
      <c r="FB6" s="483"/>
      <c r="FC6" s="483"/>
      <c r="FD6" s="483"/>
      <c r="FE6" s="483"/>
      <c r="FF6" s="483"/>
      <c r="FG6" s="483"/>
      <c r="FH6" s="483"/>
      <c r="FI6" s="483"/>
      <c r="FJ6" s="483"/>
      <c r="FK6" s="483"/>
      <c r="FL6" s="483"/>
      <c r="FM6" s="483"/>
      <c r="FN6" s="483"/>
      <c r="FO6" s="483"/>
      <c r="FP6" s="483"/>
      <c r="FQ6" s="483"/>
      <c r="FR6" s="483"/>
      <c r="FS6" s="483"/>
      <c r="FT6" s="483"/>
      <c r="FU6" s="483"/>
      <c r="FV6" s="483"/>
      <c r="FW6" s="483"/>
      <c r="FX6" s="483"/>
      <c r="FY6" s="483"/>
      <c r="FZ6" s="483"/>
      <c r="GA6" s="483"/>
      <c r="GB6" s="483"/>
      <c r="GC6" s="483"/>
      <c r="GD6" s="483"/>
      <c r="GE6" s="483"/>
      <c r="GF6" s="483"/>
      <c r="GG6" s="483"/>
      <c r="GH6" s="483"/>
      <c r="GI6" s="483"/>
      <c r="GJ6" s="483"/>
      <c r="GK6" s="483"/>
      <c r="GL6" s="483"/>
      <c r="GM6" s="483"/>
      <c r="GN6" s="483"/>
      <c r="GO6" s="483"/>
      <c r="GP6" s="483"/>
      <c r="GQ6" s="483"/>
      <c r="GR6" s="483"/>
      <c r="GS6" s="483"/>
      <c r="GT6" s="483"/>
      <c r="GU6" s="483"/>
      <c r="GV6" s="483"/>
      <c r="GW6" s="483"/>
      <c r="GX6" s="483"/>
      <c r="GY6" s="483"/>
      <c r="GZ6" s="483"/>
      <c r="HA6" s="483"/>
      <c r="HB6" s="483"/>
      <c r="HC6" s="483"/>
      <c r="HD6" s="483"/>
      <c r="HE6" s="483"/>
      <c r="HF6" s="483"/>
      <c r="HG6" s="483"/>
      <c r="HH6" s="483"/>
      <c r="HI6" s="483"/>
      <c r="HJ6" s="483"/>
      <c r="HK6" s="483"/>
      <c r="HL6" s="483"/>
      <c r="HM6" s="483"/>
      <c r="HN6" s="483"/>
      <c r="HO6" s="483"/>
      <c r="HP6" s="483"/>
      <c r="HQ6" s="483"/>
      <c r="HR6" s="483"/>
      <c r="HS6" s="483"/>
      <c r="HT6" s="483"/>
      <c r="HU6" s="483"/>
      <c r="HV6" s="483"/>
      <c r="HW6" s="483"/>
      <c r="HX6" s="483"/>
      <c r="HY6" s="483"/>
      <c r="HZ6" s="483"/>
      <c r="IA6" s="483"/>
      <c r="IB6" s="483"/>
      <c r="IC6" s="483"/>
      <c r="ID6" s="483"/>
      <c r="IE6" s="483"/>
    </row>
    <row r="7" spans="1:239" ht="15">
      <c r="A7" s="236"/>
      <c r="B7" s="36"/>
      <c r="C7" s="236"/>
      <c r="D7" s="236"/>
      <c r="E7" s="238"/>
      <c r="F7" s="249" t="s">
        <v>596</v>
      </c>
      <c r="G7" s="251"/>
      <c r="H7" s="251"/>
      <c r="I7" s="250"/>
      <c r="J7" s="44">
        <f>3.65</f>
        <v>3.65</v>
      </c>
      <c r="K7" s="906" t="s">
        <v>470</v>
      </c>
      <c r="L7" s="906"/>
      <c r="M7" s="410">
        <v>3.2</v>
      </c>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3"/>
      <c r="CH7" s="483"/>
      <c r="CI7" s="483"/>
      <c r="CJ7" s="483"/>
      <c r="CK7" s="483"/>
      <c r="CL7" s="483"/>
      <c r="CM7" s="483"/>
      <c r="CN7" s="483"/>
      <c r="CO7" s="483"/>
      <c r="CP7" s="483"/>
      <c r="CQ7" s="483"/>
      <c r="CR7" s="483"/>
      <c r="CS7" s="483"/>
      <c r="CT7" s="483"/>
      <c r="CU7" s="483"/>
      <c r="CV7" s="483"/>
      <c r="CW7" s="483"/>
      <c r="CX7" s="483"/>
      <c r="CY7" s="483"/>
      <c r="CZ7" s="483"/>
      <c r="DA7" s="483"/>
      <c r="DB7" s="483"/>
      <c r="DC7" s="483"/>
      <c r="DD7" s="483"/>
      <c r="DE7" s="483"/>
      <c r="DF7" s="483"/>
      <c r="DG7" s="483"/>
      <c r="DH7" s="483"/>
      <c r="DI7" s="483"/>
      <c r="DJ7" s="483"/>
      <c r="DK7" s="483"/>
      <c r="DL7" s="483"/>
      <c r="DM7" s="483"/>
      <c r="DN7" s="483"/>
      <c r="DO7" s="483"/>
      <c r="DP7" s="483"/>
      <c r="DQ7" s="483"/>
      <c r="DR7" s="483"/>
      <c r="DS7" s="483"/>
      <c r="DT7" s="483"/>
      <c r="DU7" s="483"/>
      <c r="DV7" s="483"/>
      <c r="DW7" s="483"/>
      <c r="DX7" s="483"/>
      <c r="DY7" s="483"/>
      <c r="DZ7" s="483"/>
      <c r="EA7" s="483"/>
      <c r="EB7" s="483"/>
      <c r="EC7" s="483"/>
      <c r="ED7" s="483"/>
      <c r="EE7" s="483"/>
      <c r="EF7" s="483"/>
      <c r="EG7" s="483"/>
      <c r="EH7" s="483"/>
      <c r="EI7" s="483"/>
      <c r="EJ7" s="483"/>
      <c r="EK7" s="483"/>
      <c r="EL7" s="483"/>
      <c r="EM7" s="483"/>
      <c r="EN7" s="483"/>
      <c r="EO7" s="483"/>
      <c r="EP7" s="483"/>
      <c r="EQ7" s="483"/>
      <c r="ER7" s="483"/>
      <c r="ES7" s="483"/>
      <c r="ET7" s="483"/>
      <c r="EU7" s="483"/>
      <c r="EV7" s="483"/>
      <c r="EW7" s="483"/>
      <c r="EX7" s="483"/>
      <c r="EY7" s="483"/>
      <c r="EZ7" s="483"/>
      <c r="FA7" s="483"/>
      <c r="FB7" s="483"/>
      <c r="FC7" s="483"/>
      <c r="FD7" s="483"/>
      <c r="FE7" s="483"/>
      <c r="FF7" s="483"/>
      <c r="FG7" s="483"/>
      <c r="FH7" s="483"/>
      <c r="FI7" s="483"/>
      <c r="FJ7" s="483"/>
      <c r="FK7" s="483"/>
      <c r="FL7" s="483"/>
      <c r="FM7" s="483"/>
      <c r="FN7" s="483"/>
      <c r="FO7" s="483"/>
      <c r="FP7" s="483"/>
      <c r="FQ7" s="483"/>
      <c r="FR7" s="483"/>
      <c r="FS7" s="483"/>
      <c r="FT7" s="483"/>
      <c r="FU7" s="483"/>
      <c r="FV7" s="483"/>
      <c r="FW7" s="483"/>
      <c r="FX7" s="483"/>
      <c r="FY7" s="483"/>
      <c r="FZ7" s="483"/>
      <c r="GA7" s="483"/>
      <c r="GB7" s="483"/>
      <c r="GC7" s="483"/>
      <c r="GD7" s="483"/>
      <c r="GE7" s="483"/>
      <c r="GF7" s="483"/>
      <c r="GG7" s="483"/>
      <c r="GH7" s="483"/>
      <c r="GI7" s="483"/>
      <c r="GJ7" s="483"/>
      <c r="GK7" s="483"/>
      <c r="GL7" s="483"/>
      <c r="GM7" s="483"/>
      <c r="GN7" s="483"/>
      <c r="GO7" s="483"/>
      <c r="GP7" s="483"/>
      <c r="GQ7" s="483"/>
      <c r="GR7" s="483"/>
      <c r="GS7" s="483"/>
      <c r="GT7" s="483"/>
      <c r="GU7" s="483"/>
      <c r="GV7" s="483"/>
      <c r="GW7" s="483"/>
      <c r="GX7" s="483"/>
      <c r="GY7" s="483"/>
      <c r="GZ7" s="483"/>
      <c r="HA7" s="483"/>
      <c r="HB7" s="483"/>
      <c r="HC7" s="483"/>
      <c r="HD7" s="483"/>
      <c r="HE7" s="483"/>
      <c r="HF7" s="483"/>
      <c r="HG7" s="483"/>
      <c r="HH7" s="483"/>
      <c r="HI7" s="483"/>
      <c r="HJ7" s="483"/>
      <c r="HK7" s="483"/>
      <c r="HL7" s="483"/>
      <c r="HM7" s="483"/>
      <c r="HN7" s="483"/>
      <c r="HO7" s="483"/>
      <c r="HP7" s="483"/>
      <c r="HQ7" s="483"/>
      <c r="HR7" s="483"/>
      <c r="HS7" s="483"/>
      <c r="HT7" s="483"/>
      <c r="HU7" s="483"/>
      <c r="HV7" s="483"/>
      <c r="HW7" s="483"/>
      <c r="HX7" s="483"/>
      <c r="HY7" s="483"/>
      <c r="HZ7" s="483"/>
      <c r="IA7" s="483"/>
      <c r="IB7" s="483"/>
      <c r="IC7" s="483"/>
      <c r="ID7" s="483"/>
      <c r="IE7" s="483"/>
    </row>
    <row r="8" spans="1:239" ht="15">
      <c r="A8" s="236"/>
      <c r="B8" s="36"/>
      <c r="C8" s="236"/>
      <c r="D8" s="236"/>
      <c r="E8" s="238"/>
      <c r="F8" s="906" t="s">
        <v>482</v>
      </c>
      <c r="G8" s="906"/>
      <c r="H8" s="906"/>
      <c r="I8" s="906"/>
      <c r="J8" s="44">
        <v>3.4</v>
      </c>
      <c r="K8" s="906" t="s">
        <v>463</v>
      </c>
      <c r="L8" s="906"/>
      <c r="M8" s="410">
        <v>2</v>
      </c>
      <c r="N8" s="483"/>
      <c r="O8" s="483"/>
      <c r="P8" s="483"/>
      <c r="Q8" s="483"/>
      <c r="R8" s="483"/>
      <c r="S8" s="483"/>
      <c r="T8" s="483"/>
      <c r="U8" s="483"/>
      <c r="V8" s="483"/>
      <c r="W8" s="483"/>
      <c r="X8" s="483"/>
      <c r="Y8" s="483"/>
      <c r="Z8" s="483"/>
      <c r="AA8" s="483"/>
      <c r="AB8" s="483"/>
      <c r="AC8" s="483"/>
      <c r="AD8" s="483"/>
      <c r="AE8" s="483"/>
      <c r="AF8" s="483"/>
      <c r="AG8" s="483"/>
      <c r="AH8" s="483"/>
      <c r="AI8" s="483"/>
      <c r="AJ8" s="483"/>
      <c r="AK8" s="483"/>
      <c r="AL8" s="483"/>
      <c r="AM8" s="483"/>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3"/>
      <c r="BT8" s="483"/>
      <c r="BU8" s="483"/>
      <c r="BV8" s="483"/>
      <c r="BW8" s="483"/>
      <c r="BX8" s="483"/>
      <c r="BY8" s="483"/>
      <c r="BZ8" s="483"/>
      <c r="CA8" s="483"/>
      <c r="CB8" s="483"/>
      <c r="CC8" s="483"/>
      <c r="CD8" s="483"/>
      <c r="CE8" s="483"/>
      <c r="CF8" s="483"/>
      <c r="CG8" s="483"/>
      <c r="CH8" s="483"/>
      <c r="CI8" s="483"/>
      <c r="CJ8" s="483"/>
      <c r="CK8" s="483"/>
      <c r="CL8" s="483"/>
      <c r="CM8" s="483"/>
      <c r="CN8" s="483"/>
      <c r="CO8" s="483"/>
      <c r="CP8" s="483"/>
      <c r="CQ8" s="483"/>
      <c r="CR8" s="483"/>
      <c r="CS8" s="483"/>
      <c r="CT8" s="483"/>
      <c r="CU8" s="483"/>
      <c r="CV8" s="483"/>
      <c r="CW8" s="483"/>
      <c r="CX8" s="483"/>
      <c r="CY8" s="483"/>
      <c r="CZ8" s="483"/>
      <c r="DA8" s="483"/>
      <c r="DB8" s="483"/>
      <c r="DC8" s="483"/>
      <c r="DD8" s="483"/>
      <c r="DE8" s="483"/>
      <c r="DF8" s="483"/>
      <c r="DG8" s="483"/>
      <c r="DH8" s="483"/>
      <c r="DI8" s="483"/>
      <c r="DJ8" s="483"/>
      <c r="DK8" s="483"/>
      <c r="DL8" s="483"/>
      <c r="DM8" s="483"/>
      <c r="DN8" s="483"/>
      <c r="DO8" s="483"/>
      <c r="DP8" s="483"/>
      <c r="DQ8" s="483"/>
      <c r="DR8" s="483"/>
      <c r="DS8" s="483"/>
      <c r="DT8" s="483"/>
      <c r="DU8" s="483"/>
      <c r="DV8" s="483"/>
      <c r="DW8" s="483"/>
      <c r="DX8" s="483"/>
      <c r="DY8" s="483"/>
      <c r="DZ8" s="483"/>
      <c r="EA8" s="483"/>
      <c r="EB8" s="483"/>
      <c r="EC8" s="483"/>
      <c r="ED8" s="483"/>
      <c r="EE8" s="483"/>
      <c r="EF8" s="483"/>
      <c r="EG8" s="483"/>
      <c r="EH8" s="483"/>
      <c r="EI8" s="483"/>
      <c r="EJ8" s="483"/>
      <c r="EK8" s="483"/>
      <c r="EL8" s="483"/>
      <c r="EM8" s="483"/>
      <c r="EN8" s="483"/>
      <c r="EO8" s="483"/>
      <c r="EP8" s="483"/>
      <c r="EQ8" s="483"/>
      <c r="ER8" s="483"/>
      <c r="ES8" s="483"/>
      <c r="ET8" s="483"/>
      <c r="EU8" s="483"/>
      <c r="EV8" s="483"/>
      <c r="EW8" s="483"/>
      <c r="EX8" s="483"/>
      <c r="EY8" s="483"/>
      <c r="EZ8" s="483"/>
      <c r="FA8" s="483"/>
      <c r="FB8" s="483"/>
      <c r="FC8" s="483"/>
      <c r="FD8" s="483"/>
      <c r="FE8" s="483"/>
      <c r="FF8" s="483"/>
      <c r="FG8" s="483"/>
      <c r="FH8" s="483"/>
      <c r="FI8" s="483"/>
      <c r="FJ8" s="483"/>
      <c r="FK8" s="483"/>
      <c r="FL8" s="483"/>
      <c r="FM8" s="483"/>
      <c r="FN8" s="483"/>
      <c r="FO8" s="483"/>
      <c r="FP8" s="483"/>
      <c r="FQ8" s="483"/>
      <c r="FR8" s="483"/>
      <c r="FS8" s="483"/>
      <c r="FT8" s="483"/>
      <c r="FU8" s="483"/>
      <c r="FV8" s="483"/>
      <c r="FW8" s="483"/>
      <c r="FX8" s="483"/>
      <c r="FY8" s="483"/>
      <c r="FZ8" s="483"/>
      <c r="GA8" s="483"/>
      <c r="GB8" s="483"/>
      <c r="GC8" s="483"/>
      <c r="GD8" s="483"/>
      <c r="GE8" s="483"/>
      <c r="GF8" s="483"/>
      <c r="GG8" s="483"/>
      <c r="GH8" s="483"/>
      <c r="GI8" s="483"/>
      <c r="GJ8" s="483"/>
      <c r="GK8" s="483"/>
      <c r="GL8" s="483"/>
      <c r="GM8" s="483"/>
      <c r="GN8" s="483"/>
      <c r="GO8" s="483"/>
      <c r="GP8" s="483"/>
      <c r="GQ8" s="483"/>
      <c r="GR8" s="483"/>
      <c r="GS8" s="483"/>
      <c r="GT8" s="483"/>
      <c r="GU8" s="483"/>
      <c r="GV8" s="483"/>
      <c r="GW8" s="483"/>
      <c r="GX8" s="483"/>
      <c r="GY8" s="483"/>
      <c r="GZ8" s="483"/>
      <c r="HA8" s="483"/>
      <c r="HB8" s="483"/>
      <c r="HC8" s="483"/>
      <c r="HD8" s="483"/>
      <c r="HE8" s="483"/>
      <c r="HF8" s="483"/>
      <c r="HG8" s="483"/>
      <c r="HH8" s="483"/>
      <c r="HI8" s="483"/>
      <c r="HJ8" s="483"/>
      <c r="HK8" s="483"/>
      <c r="HL8" s="483"/>
      <c r="HM8" s="483"/>
      <c r="HN8" s="483"/>
      <c r="HO8" s="483"/>
      <c r="HP8" s="483"/>
      <c r="HQ8" s="483"/>
      <c r="HR8" s="483"/>
      <c r="HS8" s="483"/>
      <c r="HT8" s="483"/>
      <c r="HU8" s="483"/>
      <c r="HV8" s="483"/>
      <c r="HW8" s="483"/>
      <c r="HX8" s="483"/>
      <c r="HY8" s="483"/>
      <c r="HZ8" s="483"/>
      <c r="IA8" s="483"/>
      <c r="IB8" s="483"/>
      <c r="IC8" s="483"/>
      <c r="ID8" s="483"/>
      <c r="IE8" s="483"/>
    </row>
    <row r="9" spans="1:239" ht="15">
      <c r="A9" s="22"/>
      <c r="B9" s="23"/>
      <c r="C9" s="23"/>
      <c r="D9" s="24"/>
      <c r="E9" s="24"/>
      <c r="F9" s="906" t="s">
        <v>483</v>
      </c>
      <c r="G9" s="906"/>
      <c r="H9" s="906"/>
      <c r="I9" s="906"/>
      <c r="J9" s="44">
        <v>3.3</v>
      </c>
      <c r="K9" s="906" t="s">
        <v>464</v>
      </c>
      <c r="L9" s="906"/>
      <c r="M9" s="410">
        <v>1.5</v>
      </c>
      <c r="N9" s="483"/>
      <c r="O9" s="483"/>
      <c r="P9" s="483"/>
      <c r="Q9" s="483"/>
      <c r="R9" s="483"/>
      <c r="S9" s="483"/>
      <c r="T9" s="483"/>
      <c r="U9" s="483"/>
      <c r="V9" s="483"/>
      <c r="W9" s="483"/>
      <c r="X9" s="483"/>
      <c r="Y9" s="483"/>
      <c r="Z9" s="483"/>
      <c r="AA9" s="483"/>
      <c r="AB9" s="483"/>
      <c r="AC9" s="483"/>
      <c r="AD9" s="483"/>
      <c r="AE9" s="483"/>
      <c r="AF9" s="483"/>
      <c r="AG9" s="483"/>
      <c r="AH9" s="483"/>
      <c r="AI9" s="483"/>
      <c r="AJ9" s="483"/>
      <c r="AK9" s="483"/>
      <c r="AL9" s="483"/>
      <c r="AM9" s="483"/>
      <c r="AN9" s="483"/>
      <c r="AO9" s="483"/>
      <c r="AP9" s="483"/>
      <c r="AQ9" s="483"/>
      <c r="AR9" s="483"/>
      <c r="AS9" s="483"/>
      <c r="AT9" s="483"/>
      <c r="AU9" s="483"/>
      <c r="AV9" s="483"/>
      <c r="AW9" s="483"/>
      <c r="AX9" s="483"/>
      <c r="AY9" s="483"/>
      <c r="AZ9" s="483"/>
      <c r="BA9" s="483"/>
      <c r="BB9" s="483"/>
      <c r="BC9" s="483"/>
      <c r="BD9" s="483"/>
      <c r="BE9" s="483"/>
      <c r="BF9" s="483"/>
      <c r="BG9" s="483"/>
      <c r="BH9" s="483"/>
      <c r="BI9" s="483"/>
      <c r="BJ9" s="483"/>
      <c r="BK9" s="483"/>
      <c r="BL9" s="483"/>
      <c r="BM9" s="483"/>
      <c r="BN9" s="483"/>
      <c r="BO9" s="483"/>
      <c r="BP9" s="483"/>
      <c r="BQ9" s="483"/>
      <c r="BR9" s="483"/>
      <c r="BS9" s="483"/>
      <c r="BT9" s="483"/>
      <c r="BU9" s="483"/>
      <c r="BV9" s="483"/>
      <c r="BW9" s="483"/>
      <c r="BX9" s="483"/>
      <c r="BY9" s="483"/>
      <c r="BZ9" s="483"/>
      <c r="CA9" s="483"/>
      <c r="CB9" s="483"/>
      <c r="CC9" s="483"/>
      <c r="CD9" s="483"/>
      <c r="CE9" s="483"/>
      <c r="CF9" s="483"/>
      <c r="CG9" s="483"/>
      <c r="CH9" s="483"/>
      <c r="CI9" s="483"/>
      <c r="CJ9" s="483"/>
      <c r="CK9" s="483"/>
      <c r="CL9" s="483"/>
      <c r="CM9" s="483"/>
      <c r="CN9" s="483"/>
      <c r="CO9" s="483"/>
      <c r="CP9" s="483"/>
      <c r="CQ9" s="483"/>
      <c r="CR9" s="483"/>
      <c r="CS9" s="483"/>
      <c r="CT9" s="483"/>
      <c r="CU9" s="483"/>
      <c r="CV9" s="483"/>
      <c r="CW9" s="483"/>
      <c r="CX9" s="483"/>
      <c r="CY9" s="483"/>
      <c r="CZ9" s="483"/>
      <c r="DA9" s="483"/>
      <c r="DB9" s="483"/>
      <c r="DC9" s="483"/>
      <c r="DD9" s="483"/>
      <c r="DE9" s="483"/>
      <c r="DF9" s="483"/>
      <c r="DG9" s="483"/>
      <c r="DH9" s="483"/>
      <c r="DI9" s="483"/>
      <c r="DJ9" s="483"/>
      <c r="DK9" s="483"/>
      <c r="DL9" s="483"/>
      <c r="DM9" s="483"/>
      <c r="DN9" s="483"/>
      <c r="DO9" s="483"/>
      <c r="DP9" s="483"/>
      <c r="DQ9" s="483"/>
      <c r="DR9" s="483"/>
      <c r="DS9" s="483"/>
      <c r="DT9" s="483"/>
      <c r="DU9" s="483"/>
      <c r="DV9" s="483"/>
      <c r="DW9" s="483"/>
      <c r="DX9" s="483"/>
      <c r="DY9" s="483"/>
      <c r="DZ9" s="483"/>
      <c r="EA9" s="483"/>
      <c r="EB9" s="483"/>
      <c r="EC9" s="483"/>
      <c r="ED9" s="483"/>
      <c r="EE9" s="483"/>
      <c r="EF9" s="483"/>
      <c r="EG9" s="483"/>
      <c r="EH9" s="483"/>
      <c r="EI9" s="483"/>
      <c r="EJ9" s="483"/>
      <c r="EK9" s="483"/>
      <c r="EL9" s="483"/>
      <c r="EM9" s="483"/>
      <c r="EN9" s="483"/>
      <c r="EO9" s="483"/>
      <c r="EP9" s="483"/>
      <c r="EQ9" s="483"/>
      <c r="ER9" s="483"/>
      <c r="ES9" s="483"/>
      <c r="ET9" s="483"/>
      <c r="EU9" s="483"/>
      <c r="EV9" s="483"/>
      <c r="EW9" s="483"/>
      <c r="EX9" s="483"/>
      <c r="EY9" s="483"/>
      <c r="EZ9" s="483"/>
      <c r="FA9" s="483"/>
      <c r="FB9" s="483"/>
      <c r="FC9" s="483"/>
      <c r="FD9" s="483"/>
      <c r="FE9" s="483"/>
      <c r="FF9" s="483"/>
      <c r="FG9" s="483"/>
      <c r="FH9" s="483"/>
      <c r="FI9" s="483"/>
      <c r="FJ9" s="483"/>
      <c r="FK9" s="483"/>
      <c r="FL9" s="483"/>
      <c r="FM9" s="483"/>
      <c r="FN9" s="483"/>
      <c r="FO9" s="483"/>
      <c r="FP9" s="483"/>
      <c r="FQ9" s="483"/>
      <c r="FR9" s="483"/>
      <c r="FS9" s="483"/>
      <c r="FT9" s="483"/>
      <c r="FU9" s="483"/>
      <c r="FV9" s="483"/>
      <c r="FW9" s="483"/>
      <c r="FX9" s="483"/>
      <c r="FY9" s="483"/>
      <c r="FZ9" s="483"/>
      <c r="GA9" s="483"/>
      <c r="GB9" s="483"/>
      <c r="GC9" s="483"/>
      <c r="GD9" s="483"/>
      <c r="GE9" s="483"/>
      <c r="GF9" s="483"/>
      <c r="GG9" s="483"/>
      <c r="GH9" s="483"/>
      <c r="GI9" s="483"/>
      <c r="GJ9" s="483"/>
      <c r="GK9" s="483"/>
      <c r="GL9" s="483"/>
      <c r="GM9" s="483"/>
      <c r="GN9" s="483"/>
      <c r="GO9" s="483"/>
      <c r="GP9" s="483"/>
      <c r="GQ9" s="483"/>
      <c r="GR9" s="483"/>
      <c r="GS9" s="483"/>
      <c r="GT9" s="483"/>
      <c r="GU9" s="483"/>
      <c r="GV9" s="483"/>
      <c r="GW9" s="483"/>
      <c r="GX9" s="483"/>
      <c r="GY9" s="483"/>
      <c r="GZ9" s="483"/>
      <c r="HA9" s="483"/>
      <c r="HB9" s="483"/>
      <c r="HC9" s="483"/>
      <c r="HD9" s="483"/>
      <c r="HE9" s="483"/>
      <c r="HF9" s="483"/>
      <c r="HG9" s="483"/>
      <c r="HH9" s="483"/>
      <c r="HI9" s="483"/>
      <c r="HJ9" s="483"/>
      <c r="HK9" s="483"/>
      <c r="HL9" s="483"/>
      <c r="HM9" s="483"/>
      <c r="HN9" s="483"/>
      <c r="HO9" s="483"/>
      <c r="HP9" s="483"/>
      <c r="HQ9" s="483"/>
      <c r="HR9" s="483"/>
      <c r="HS9" s="483"/>
      <c r="HT9" s="483"/>
      <c r="HU9" s="483"/>
      <c r="HV9" s="483"/>
      <c r="HW9" s="483"/>
      <c r="HX9" s="483"/>
      <c r="HY9" s="483"/>
      <c r="HZ9" s="483"/>
      <c r="IA9" s="483"/>
      <c r="IB9" s="483"/>
      <c r="IC9" s="483"/>
      <c r="ID9" s="483"/>
      <c r="IE9" s="483"/>
    </row>
    <row r="10" spans="1:239" ht="15">
      <c r="A10" s="22"/>
      <c r="B10" s="23"/>
      <c r="C10" s="23"/>
      <c r="D10" s="24"/>
      <c r="E10" s="24"/>
      <c r="F10" s="906"/>
      <c r="G10" s="906"/>
      <c r="H10" s="906"/>
      <c r="I10" s="906"/>
      <c r="J10" s="44"/>
      <c r="K10" s="906"/>
      <c r="L10" s="906"/>
      <c r="M10" s="410"/>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483"/>
      <c r="BS10" s="483"/>
      <c r="BT10" s="483"/>
      <c r="BU10" s="483"/>
      <c r="BV10" s="483"/>
      <c r="BW10" s="483"/>
      <c r="BX10" s="483"/>
      <c r="BY10" s="483"/>
      <c r="BZ10" s="483"/>
      <c r="CA10" s="483"/>
      <c r="CB10" s="483"/>
      <c r="CC10" s="483"/>
      <c r="CD10" s="483"/>
      <c r="CE10" s="483"/>
      <c r="CF10" s="483"/>
      <c r="CG10" s="483"/>
      <c r="CH10" s="483"/>
      <c r="CI10" s="483"/>
      <c r="CJ10" s="483"/>
      <c r="CK10" s="483"/>
      <c r="CL10" s="483"/>
      <c r="CM10" s="483"/>
      <c r="CN10" s="483"/>
      <c r="CO10" s="483"/>
      <c r="CP10" s="483"/>
      <c r="CQ10" s="483"/>
      <c r="CR10" s="483"/>
      <c r="CS10" s="483"/>
      <c r="CT10" s="483"/>
      <c r="CU10" s="483"/>
      <c r="CV10" s="483"/>
      <c r="CW10" s="483"/>
      <c r="CX10" s="483"/>
      <c r="CY10" s="483"/>
      <c r="CZ10" s="483"/>
      <c r="DA10" s="483"/>
      <c r="DB10" s="483"/>
      <c r="DC10" s="483"/>
      <c r="DD10" s="483"/>
      <c r="DE10" s="483"/>
      <c r="DF10" s="483"/>
      <c r="DG10" s="483"/>
      <c r="DH10" s="483"/>
      <c r="DI10" s="483"/>
      <c r="DJ10" s="483"/>
      <c r="DK10" s="483"/>
      <c r="DL10" s="483"/>
      <c r="DM10" s="483"/>
      <c r="DN10" s="483"/>
      <c r="DO10" s="483"/>
      <c r="DP10" s="483"/>
      <c r="DQ10" s="483"/>
      <c r="DR10" s="483"/>
      <c r="DS10" s="483"/>
      <c r="DT10" s="483"/>
      <c r="DU10" s="483"/>
      <c r="DV10" s="483"/>
      <c r="DW10" s="483"/>
      <c r="DX10" s="483"/>
      <c r="DY10" s="483"/>
      <c r="DZ10" s="483"/>
      <c r="EA10" s="483"/>
      <c r="EB10" s="483"/>
      <c r="EC10" s="483"/>
      <c r="ED10" s="483"/>
      <c r="EE10" s="483"/>
      <c r="EF10" s="483"/>
      <c r="EG10" s="483"/>
      <c r="EH10" s="483"/>
      <c r="EI10" s="483"/>
      <c r="EJ10" s="483"/>
      <c r="EK10" s="483"/>
      <c r="EL10" s="483"/>
      <c r="EM10" s="483"/>
      <c r="EN10" s="483"/>
      <c r="EO10" s="483"/>
      <c r="EP10" s="483"/>
      <c r="EQ10" s="483"/>
      <c r="ER10" s="483"/>
      <c r="ES10" s="483"/>
      <c r="ET10" s="483"/>
      <c r="EU10" s="483"/>
      <c r="EV10" s="483"/>
      <c r="EW10" s="483"/>
      <c r="EX10" s="483"/>
      <c r="EY10" s="483"/>
      <c r="EZ10" s="483"/>
      <c r="FA10" s="483"/>
      <c r="FB10" s="483"/>
      <c r="FC10" s="483"/>
      <c r="FD10" s="483"/>
      <c r="FE10" s="483"/>
      <c r="FF10" s="483"/>
      <c r="FG10" s="483"/>
      <c r="FH10" s="483"/>
      <c r="FI10" s="483"/>
      <c r="FJ10" s="483"/>
      <c r="FK10" s="483"/>
      <c r="FL10" s="483"/>
      <c r="FM10" s="483"/>
      <c r="FN10" s="483"/>
      <c r="FO10" s="483"/>
      <c r="FP10" s="483"/>
      <c r="FQ10" s="483"/>
      <c r="FR10" s="483"/>
      <c r="FS10" s="483"/>
      <c r="FT10" s="483"/>
      <c r="FU10" s="483"/>
      <c r="FV10" s="483"/>
      <c r="FW10" s="483"/>
      <c r="FX10" s="483"/>
      <c r="FY10" s="483"/>
      <c r="FZ10" s="483"/>
      <c r="GA10" s="483"/>
      <c r="GB10" s="483"/>
      <c r="GC10" s="483"/>
      <c r="GD10" s="483"/>
      <c r="GE10" s="483"/>
      <c r="GF10" s="483"/>
      <c r="GG10" s="483"/>
      <c r="GH10" s="483"/>
      <c r="GI10" s="483"/>
      <c r="GJ10" s="483"/>
      <c r="GK10" s="483"/>
      <c r="GL10" s="483"/>
      <c r="GM10" s="483"/>
      <c r="GN10" s="483"/>
      <c r="GO10" s="483"/>
      <c r="GP10" s="483"/>
      <c r="GQ10" s="483"/>
      <c r="GR10" s="483"/>
      <c r="GS10" s="483"/>
      <c r="GT10" s="483"/>
      <c r="GU10" s="483"/>
      <c r="GV10" s="483"/>
      <c r="GW10" s="483"/>
      <c r="GX10" s="483"/>
      <c r="GY10" s="483"/>
      <c r="GZ10" s="483"/>
      <c r="HA10" s="483"/>
      <c r="HB10" s="483"/>
      <c r="HC10" s="483"/>
      <c r="HD10" s="483"/>
      <c r="HE10" s="483"/>
      <c r="HF10" s="483"/>
      <c r="HG10" s="483"/>
      <c r="HH10" s="483"/>
      <c r="HI10" s="483"/>
      <c r="HJ10" s="483"/>
      <c r="HK10" s="483"/>
      <c r="HL10" s="483"/>
      <c r="HM10" s="483"/>
      <c r="HN10" s="483"/>
      <c r="HO10" s="483"/>
      <c r="HP10" s="483"/>
      <c r="HQ10" s="483"/>
      <c r="HR10" s="483"/>
      <c r="HS10" s="483"/>
      <c r="HT10" s="483"/>
      <c r="HU10" s="483"/>
      <c r="HV10" s="483"/>
      <c r="HW10" s="483"/>
      <c r="HX10" s="483"/>
      <c r="HY10" s="483"/>
      <c r="HZ10" s="483"/>
      <c r="IA10" s="483"/>
      <c r="IB10" s="483"/>
      <c r="IC10" s="483"/>
      <c r="ID10" s="483"/>
      <c r="IE10" s="483"/>
    </row>
    <row r="11" spans="1:239" ht="15">
      <c r="A11" s="22"/>
      <c r="B11" s="23"/>
      <c r="C11" s="23"/>
      <c r="D11" s="24"/>
      <c r="E11" s="24"/>
      <c r="F11" s="923"/>
      <c r="G11" s="924"/>
      <c r="H11" s="924"/>
      <c r="I11" s="925"/>
      <c r="J11" s="44"/>
      <c r="K11" s="923"/>
      <c r="L11" s="925"/>
      <c r="M11" s="410"/>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483"/>
      <c r="BS11" s="483"/>
      <c r="BT11" s="483"/>
      <c r="BU11" s="483"/>
      <c r="BV11" s="483"/>
      <c r="BW11" s="483"/>
      <c r="BX11" s="483"/>
      <c r="BY11" s="483"/>
      <c r="BZ11" s="483"/>
      <c r="CA11" s="483"/>
      <c r="CB11" s="483"/>
      <c r="CC11" s="483"/>
      <c r="CD11" s="483"/>
      <c r="CE11" s="483"/>
      <c r="CF11" s="483"/>
      <c r="CG11" s="483"/>
      <c r="CH11" s="483"/>
      <c r="CI11" s="483"/>
      <c r="CJ11" s="483"/>
      <c r="CK11" s="483"/>
      <c r="CL11" s="483"/>
      <c r="CM11" s="483"/>
      <c r="CN11" s="483"/>
      <c r="CO11" s="483"/>
      <c r="CP11" s="483"/>
      <c r="CQ11" s="483"/>
      <c r="CR11" s="483"/>
      <c r="CS11" s="483"/>
      <c r="CT11" s="483"/>
      <c r="CU11" s="483"/>
      <c r="CV11" s="483"/>
      <c r="CW11" s="483"/>
      <c r="CX11" s="483"/>
      <c r="CY11" s="483"/>
      <c r="CZ11" s="483"/>
      <c r="DA11" s="483"/>
      <c r="DB11" s="483"/>
      <c r="DC11" s="483"/>
      <c r="DD11" s="483"/>
      <c r="DE11" s="483"/>
      <c r="DF11" s="483"/>
      <c r="DG11" s="483"/>
      <c r="DH11" s="483"/>
      <c r="DI11" s="483"/>
      <c r="DJ11" s="483"/>
      <c r="DK11" s="483"/>
      <c r="DL11" s="483"/>
      <c r="DM11" s="483"/>
      <c r="DN11" s="483"/>
      <c r="DO11" s="483"/>
      <c r="DP11" s="483"/>
      <c r="DQ11" s="483"/>
      <c r="DR11" s="483"/>
      <c r="DS11" s="483"/>
      <c r="DT11" s="483"/>
      <c r="DU11" s="483"/>
      <c r="DV11" s="483"/>
      <c r="DW11" s="483"/>
      <c r="DX11" s="483"/>
      <c r="DY11" s="483"/>
      <c r="DZ11" s="483"/>
      <c r="EA11" s="483"/>
      <c r="EB11" s="483"/>
      <c r="EC11" s="483"/>
      <c r="ED11" s="483"/>
      <c r="EE11" s="483"/>
      <c r="EF11" s="483"/>
      <c r="EG11" s="483"/>
      <c r="EH11" s="483"/>
      <c r="EI11" s="483"/>
      <c r="EJ11" s="483"/>
      <c r="EK11" s="483"/>
      <c r="EL11" s="483"/>
      <c r="EM11" s="483"/>
      <c r="EN11" s="483"/>
      <c r="EO11" s="483"/>
      <c r="EP11" s="483"/>
      <c r="EQ11" s="483"/>
      <c r="ER11" s="483"/>
      <c r="ES11" s="483"/>
      <c r="ET11" s="483"/>
      <c r="EU11" s="483"/>
      <c r="EV11" s="483"/>
      <c r="EW11" s="483"/>
      <c r="EX11" s="483"/>
      <c r="EY11" s="483"/>
      <c r="EZ11" s="483"/>
      <c r="FA11" s="483"/>
      <c r="FB11" s="483"/>
      <c r="FC11" s="483"/>
      <c r="FD11" s="483"/>
      <c r="FE11" s="483"/>
      <c r="FF11" s="483"/>
      <c r="FG11" s="483"/>
      <c r="FH11" s="483"/>
      <c r="FI11" s="483"/>
      <c r="FJ11" s="483"/>
      <c r="FK11" s="483"/>
      <c r="FL11" s="483"/>
      <c r="FM11" s="483"/>
      <c r="FN11" s="483"/>
      <c r="FO11" s="483"/>
      <c r="FP11" s="483"/>
      <c r="FQ11" s="483"/>
      <c r="FR11" s="483"/>
      <c r="FS11" s="483"/>
      <c r="FT11" s="483"/>
      <c r="FU11" s="483"/>
      <c r="FV11" s="483"/>
      <c r="FW11" s="483"/>
      <c r="FX11" s="483"/>
      <c r="FY11" s="483"/>
      <c r="FZ11" s="483"/>
      <c r="GA11" s="483"/>
      <c r="GB11" s="483"/>
      <c r="GC11" s="483"/>
      <c r="GD11" s="483"/>
      <c r="GE11" s="483"/>
      <c r="GF11" s="483"/>
      <c r="GG11" s="483"/>
      <c r="GH11" s="483"/>
      <c r="GI11" s="483"/>
      <c r="GJ11" s="483"/>
      <c r="GK11" s="483"/>
      <c r="GL11" s="483"/>
      <c r="GM11" s="483"/>
      <c r="GN11" s="483"/>
      <c r="GO11" s="483"/>
      <c r="GP11" s="483"/>
      <c r="GQ11" s="483"/>
      <c r="GR11" s="483"/>
      <c r="GS11" s="483"/>
      <c r="GT11" s="483"/>
      <c r="GU11" s="483"/>
      <c r="GV11" s="483"/>
      <c r="GW11" s="483"/>
      <c r="GX11" s="483"/>
      <c r="GY11" s="483"/>
      <c r="GZ11" s="483"/>
      <c r="HA11" s="483"/>
      <c r="HB11" s="483"/>
      <c r="HC11" s="483"/>
      <c r="HD11" s="483"/>
      <c r="HE11" s="483"/>
      <c r="HF11" s="483"/>
      <c r="HG11" s="483"/>
      <c r="HH11" s="483"/>
      <c r="HI11" s="483"/>
      <c r="HJ11" s="483"/>
      <c r="HK11" s="483"/>
      <c r="HL11" s="483"/>
      <c r="HM11" s="483"/>
      <c r="HN11" s="483"/>
      <c r="HO11" s="483"/>
      <c r="HP11" s="483"/>
      <c r="HQ11" s="483"/>
      <c r="HR11" s="483"/>
      <c r="HS11" s="483"/>
      <c r="HT11" s="483"/>
      <c r="HU11" s="483"/>
      <c r="HV11" s="483"/>
      <c r="HW11" s="483"/>
      <c r="HX11" s="483"/>
      <c r="HY11" s="483"/>
      <c r="HZ11" s="483"/>
      <c r="IA11" s="483"/>
      <c r="IB11" s="483"/>
      <c r="IC11" s="483"/>
      <c r="ID11" s="483"/>
      <c r="IE11" s="483"/>
    </row>
    <row r="12" spans="1:239" ht="99.75">
      <c r="A12" s="485" t="s">
        <v>11</v>
      </c>
      <c r="B12" s="486" t="s">
        <v>67</v>
      </c>
      <c r="C12" s="486" t="s">
        <v>68</v>
      </c>
      <c r="D12" s="487" t="s">
        <v>585</v>
      </c>
      <c r="E12" s="487" t="s">
        <v>466</v>
      </c>
      <c r="F12" s="487" t="s">
        <v>471</v>
      </c>
      <c r="G12" s="487" t="s">
        <v>472</v>
      </c>
      <c r="H12" s="487" t="s">
        <v>465</v>
      </c>
      <c r="I12" s="487" t="s">
        <v>474</v>
      </c>
      <c r="J12" s="487" t="s">
        <v>69</v>
      </c>
      <c r="K12" s="25" t="s">
        <v>70</v>
      </c>
      <c r="L12" s="25" t="s">
        <v>946</v>
      </c>
      <c r="M12" s="488" t="s">
        <v>71</v>
      </c>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483"/>
      <c r="BS12" s="483"/>
      <c r="BT12" s="483"/>
      <c r="BU12" s="483"/>
      <c r="BV12" s="483"/>
      <c r="BW12" s="483"/>
      <c r="BX12" s="483"/>
      <c r="BY12" s="483"/>
      <c r="BZ12" s="483"/>
      <c r="CA12" s="483"/>
      <c r="CB12" s="483"/>
      <c r="CC12" s="483"/>
      <c r="CD12" s="483"/>
      <c r="CE12" s="483"/>
      <c r="CF12" s="483"/>
      <c r="CG12" s="483"/>
      <c r="CH12" s="483"/>
      <c r="CI12" s="483"/>
      <c r="CJ12" s="483"/>
      <c r="CK12" s="483"/>
      <c r="CL12" s="483"/>
      <c r="CM12" s="483"/>
      <c r="CN12" s="483"/>
      <c r="CO12" s="483"/>
      <c r="CP12" s="483"/>
      <c r="CQ12" s="483"/>
      <c r="CR12" s="483"/>
      <c r="CS12" s="483"/>
      <c r="CT12" s="483"/>
      <c r="CU12" s="483"/>
      <c r="CV12" s="483"/>
      <c r="CW12" s="483"/>
      <c r="CX12" s="483"/>
      <c r="CY12" s="483"/>
      <c r="CZ12" s="483"/>
      <c r="DA12" s="483"/>
      <c r="DB12" s="483"/>
      <c r="DC12" s="483"/>
      <c r="DD12" s="483"/>
      <c r="DE12" s="483"/>
      <c r="DF12" s="483"/>
      <c r="DG12" s="483"/>
      <c r="DH12" s="483"/>
      <c r="DI12" s="483"/>
      <c r="DJ12" s="483"/>
      <c r="DK12" s="483"/>
      <c r="DL12" s="483"/>
      <c r="DM12" s="483"/>
      <c r="DN12" s="483"/>
      <c r="DO12" s="483"/>
      <c r="DP12" s="483"/>
      <c r="DQ12" s="483"/>
      <c r="DR12" s="483"/>
      <c r="DS12" s="483"/>
      <c r="DT12" s="483"/>
      <c r="DU12" s="483"/>
      <c r="DV12" s="483"/>
      <c r="DW12" s="483"/>
      <c r="DX12" s="483"/>
      <c r="DY12" s="483"/>
      <c r="DZ12" s="483"/>
      <c r="EA12" s="483"/>
      <c r="EB12" s="483"/>
      <c r="EC12" s="483"/>
      <c r="ED12" s="483"/>
      <c r="EE12" s="483"/>
      <c r="EF12" s="483"/>
      <c r="EG12" s="483"/>
      <c r="EH12" s="483"/>
      <c r="EI12" s="483"/>
      <c r="EJ12" s="483"/>
      <c r="EK12" s="483"/>
      <c r="EL12" s="483"/>
      <c r="EM12" s="483"/>
      <c r="EN12" s="483"/>
      <c r="EO12" s="483"/>
      <c r="EP12" s="483"/>
      <c r="EQ12" s="483"/>
      <c r="ER12" s="483"/>
      <c r="ES12" s="483"/>
      <c r="ET12" s="483"/>
      <c r="EU12" s="483"/>
      <c r="EV12" s="483"/>
      <c r="EW12" s="483"/>
      <c r="EX12" s="483"/>
      <c r="EY12" s="483"/>
      <c r="EZ12" s="483"/>
      <c r="FA12" s="483"/>
      <c r="FB12" s="483"/>
      <c r="FC12" s="483"/>
      <c r="FD12" s="483"/>
      <c r="FE12" s="483"/>
      <c r="FF12" s="483"/>
      <c r="FG12" s="483"/>
      <c r="FH12" s="483"/>
      <c r="FI12" s="483"/>
      <c r="FJ12" s="483"/>
      <c r="FK12" s="483"/>
      <c r="FL12" s="483"/>
      <c r="FM12" s="483"/>
      <c r="FN12" s="483"/>
      <c r="FO12" s="483"/>
      <c r="FP12" s="483"/>
      <c r="FQ12" s="483"/>
      <c r="FR12" s="483"/>
      <c r="FS12" s="483"/>
      <c r="FT12" s="483"/>
      <c r="FU12" s="483"/>
      <c r="FV12" s="483"/>
      <c r="FW12" s="483"/>
      <c r="FX12" s="483"/>
      <c r="FY12" s="483"/>
      <c r="FZ12" s="483"/>
      <c r="GA12" s="483"/>
      <c r="GB12" s="483"/>
      <c r="GC12" s="483"/>
      <c r="GD12" s="483"/>
      <c r="GE12" s="483"/>
      <c r="GF12" s="483"/>
      <c r="GG12" s="483"/>
      <c r="GH12" s="483"/>
      <c r="GI12" s="483"/>
      <c r="GJ12" s="483"/>
      <c r="GK12" s="483"/>
      <c r="GL12" s="483"/>
      <c r="GM12" s="483"/>
      <c r="GN12" s="483"/>
      <c r="GO12" s="483"/>
      <c r="GP12" s="483"/>
      <c r="GQ12" s="483"/>
      <c r="GR12" s="483"/>
      <c r="GS12" s="483"/>
      <c r="GT12" s="483"/>
      <c r="GU12" s="483"/>
      <c r="GV12" s="483"/>
      <c r="GW12" s="483"/>
      <c r="GX12" s="483"/>
      <c r="GY12" s="483"/>
      <c r="GZ12" s="483"/>
      <c r="HA12" s="483"/>
      <c r="HB12" s="483"/>
      <c r="HC12" s="483"/>
      <c r="HD12" s="483"/>
      <c r="HE12" s="483"/>
      <c r="HF12" s="483"/>
      <c r="HG12" s="483"/>
      <c r="HH12" s="483"/>
      <c r="HI12" s="483"/>
      <c r="HJ12" s="483"/>
      <c r="HK12" s="483"/>
      <c r="HL12" s="483"/>
      <c r="HM12" s="483"/>
      <c r="HN12" s="483"/>
      <c r="HO12" s="483"/>
      <c r="HP12" s="483"/>
      <c r="HQ12" s="483"/>
      <c r="HR12" s="483"/>
      <c r="HS12" s="483"/>
      <c r="HT12" s="483"/>
      <c r="HU12" s="483"/>
      <c r="HV12" s="483"/>
      <c r="HW12" s="483"/>
      <c r="HX12" s="483"/>
      <c r="HY12" s="483"/>
      <c r="HZ12" s="483"/>
      <c r="IA12" s="483"/>
      <c r="IB12" s="483"/>
      <c r="IC12" s="483"/>
      <c r="ID12" s="483"/>
      <c r="IE12" s="483"/>
    </row>
    <row r="13" spans="1:239" ht="14.25">
      <c r="A13" s="26" t="s">
        <v>457</v>
      </c>
      <c r="B13" s="917" t="s">
        <v>462</v>
      </c>
      <c r="C13" s="918"/>
      <c r="D13" s="918"/>
      <c r="E13" s="918"/>
      <c r="F13" s="918"/>
      <c r="G13" s="918"/>
      <c r="H13" s="918"/>
      <c r="I13" s="919"/>
      <c r="J13" s="264"/>
      <c r="K13" s="27"/>
      <c r="L13" s="27"/>
      <c r="M13" s="411">
        <f>SUM(M14:M19)</f>
        <v>1218.038</v>
      </c>
      <c r="O13" s="489"/>
    </row>
    <row r="14" spans="1:239" ht="15.75">
      <c r="A14" s="74">
        <v>1</v>
      </c>
      <c r="B14" s="245" t="s">
        <v>869</v>
      </c>
      <c r="C14" s="74" t="s">
        <v>542</v>
      </c>
      <c r="D14" s="21">
        <f>J8</f>
        <v>3.4</v>
      </c>
      <c r="E14" s="21">
        <f>J6-M6</f>
        <v>0.85000000000000053</v>
      </c>
      <c r="F14" s="490">
        <f>1.123*3+4.8+2.985*2+1.815+1.609*3+(0.7+0.687+1.328)*3+4.315+4.956*2+0.425+0.709+3.745+0.676+1.175*3+2.197+2.603*2+4.8+1.557*3+1.557+2.953*3+3.13+2.025+2.268*2+4.8+1.549*2</f>
        <v>97.111999999999995</v>
      </c>
      <c r="G14" s="490">
        <v>12</v>
      </c>
      <c r="H14" s="490">
        <v>0.5</v>
      </c>
      <c r="I14" s="490">
        <f>(2.903+1.309+0.824+1.191)*2+15.992</f>
        <v>28.445999999999998</v>
      </c>
      <c r="J14" s="21">
        <v>3</v>
      </c>
      <c r="K14" s="21">
        <f>(D14+F14+I14)*J14+(G14*(E14+0.3*2))*J14</f>
        <v>439.07400000000007</v>
      </c>
      <c r="L14" s="27"/>
      <c r="M14" s="488">
        <f>K14</f>
        <v>439.07400000000007</v>
      </c>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483"/>
      <c r="BS14" s="483"/>
      <c r="BT14" s="483"/>
      <c r="BU14" s="483"/>
      <c r="BV14" s="483"/>
      <c r="BW14" s="483"/>
      <c r="BX14" s="483"/>
      <c r="BY14" s="483"/>
      <c r="BZ14" s="483"/>
      <c r="CA14" s="483"/>
      <c r="CB14" s="483"/>
      <c r="CC14" s="483"/>
      <c r="CD14" s="483"/>
      <c r="CE14" s="483"/>
      <c r="CF14" s="483"/>
      <c r="CG14" s="483"/>
      <c r="CH14" s="483"/>
      <c r="CI14" s="483"/>
      <c r="CJ14" s="483"/>
      <c r="CK14" s="483"/>
      <c r="CL14" s="483"/>
      <c r="CM14" s="483"/>
      <c r="CN14" s="483"/>
      <c r="CO14" s="483"/>
      <c r="CP14" s="483"/>
      <c r="CQ14" s="483"/>
      <c r="CR14" s="483"/>
      <c r="CS14" s="483"/>
      <c r="CT14" s="483"/>
      <c r="CU14" s="483"/>
      <c r="CV14" s="483"/>
      <c r="CW14" s="483"/>
      <c r="CX14" s="483"/>
      <c r="CY14" s="483"/>
      <c r="CZ14" s="483"/>
      <c r="DA14" s="483"/>
      <c r="DB14" s="483"/>
      <c r="DC14" s="483"/>
      <c r="DD14" s="483"/>
      <c r="DE14" s="483"/>
      <c r="DF14" s="483"/>
      <c r="DG14" s="483"/>
      <c r="DH14" s="483"/>
      <c r="DI14" s="483"/>
      <c r="DJ14" s="483"/>
      <c r="DK14" s="483"/>
      <c r="DL14" s="483"/>
      <c r="DM14" s="483"/>
      <c r="DN14" s="483"/>
      <c r="DO14" s="483"/>
      <c r="DP14" s="483"/>
      <c r="DQ14" s="483"/>
      <c r="DR14" s="483"/>
      <c r="DS14" s="483"/>
      <c r="DT14" s="483"/>
      <c r="DU14" s="483"/>
      <c r="DV14" s="483"/>
      <c r="DW14" s="483"/>
      <c r="DX14" s="483"/>
      <c r="DY14" s="483"/>
      <c r="DZ14" s="483"/>
      <c r="EA14" s="483"/>
      <c r="EB14" s="483"/>
      <c r="EC14" s="483"/>
      <c r="ED14" s="483"/>
      <c r="EE14" s="483"/>
      <c r="EF14" s="483"/>
      <c r="EG14" s="483"/>
      <c r="EH14" s="483"/>
      <c r="EI14" s="483"/>
      <c r="EJ14" s="483"/>
      <c r="EK14" s="483"/>
      <c r="EL14" s="483"/>
      <c r="EM14" s="483"/>
      <c r="EN14" s="483"/>
      <c r="EO14" s="483"/>
      <c r="EP14" s="483"/>
      <c r="EQ14" s="483"/>
      <c r="ER14" s="483"/>
      <c r="ES14" s="483"/>
      <c r="ET14" s="483"/>
      <c r="EU14" s="483"/>
      <c r="EV14" s="483"/>
      <c r="EW14" s="483"/>
      <c r="EX14" s="483"/>
      <c r="EY14" s="483"/>
      <c r="EZ14" s="483"/>
      <c r="FA14" s="483"/>
      <c r="FB14" s="483"/>
      <c r="FC14" s="483"/>
      <c r="FD14" s="483"/>
      <c r="FE14" s="483"/>
      <c r="FF14" s="483"/>
      <c r="FG14" s="483"/>
      <c r="FH14" s="483"/>
      <c r="FI14" s="483"/>
      <c r="FJ14" s="483"/>
      <c r="FK14" s="483"/>
      <c r="FL14" s="483"/>
      <c r="FM14" s="483"/>
      <c r="FN14" s="483"/>
      <c r="FO14" s="483"/>
      <c r="FP14" s="483"/>
      <c r="FQ14" s="483"/>
      <c r="FR14" s="483"/>
      <c r="FS14" s="483"/>
      <c r="FT14" s="483"/>
      <c r="FU14" s="483"/>
      <c r="FV14" s="483"/>
      <c r="FW14" s="483"/>
      <c r="FX14" s="483"/>
      <c r="FY14" s="483"/>
      <c r="FZ14" s="483"/>
      <c r="GA14" s="483"/>
      <c r="GB14" s="483"/>
      <c r="GC14" s="483"/>
      <c r="GD14" s="483"/>
      <c r="GE14" s="483"/>
      <c r="GF14" s="483"/>
      <c r="GG14" s="483"/>
      <c r="GH14" s="483"/>
      <c r="GI14" s="483"/>
      <c r="GJ14" s="483"/>
      <c r="GK14" s="483"/>
      <c r="GL14" s="483"/>
      <c r="GM14" s="483"/>
      <c r="GN14" s="483"/>
      <c r="GO14" s="483"/>
      <c r="GP14" s="483"/>
      <c r="GQ14" s="483"/>
      <c r="GR14" s="483"/>
      <c r="GS14" s="483"/>
      <c r="GT14" s="483"/>
      <c r="GU14" s="483"/>
      <c r="GV14" s="483"/>
      <c r="GW14" s="483"/>
      <c r="GX14" s="483"/>
      <c r="GY14" s="483"/>
      <c r="GZ14" s="483"/>
      <c r="HA14" s="483"/>
      <c r="HB14" s="483"/>
      <c r="HC14" s="483"/>
      <c r="HD14" s="483"/>
      <c r="HE14" s="483"/>
      <c r="HF14" s="483"/>
      <c r="HG14" s="483"/>
      <c r="HH14" s="483"/>
      <c r="HI14" s="483"/>
      <c r="HJ14" s="483"/>
      <c r="HK14" s="483"/>
      <c r="HL14" s="483"/>
      <c r="HM14" s="483"/>
      <c r="HN14" s="483"/>
      <c r="HO14" s="483"/>
      <c r="HP14" s="483"/>
      <c r="HQ14" s="483"/>
      <c r="HR14" s="483"/>
      <c r="HS14" s="483"/>
      <c r="HT14" s="483"/>
      <c r="HU14" s="483"/>
      <c r="HV14" s="483"/>
      <c r="HW14" s="483"/>
      <c r="HX14" s="483"/>
      <c r="HY14" s="483"/>
      <c r="HZ14" s="483"/>
      <c r="IA14" s="483"/>
      <c r="IB14" s="483"/>
      <c r="IC14" s="483"/>
      <c r="ID14" s="483"/>
      <c r="IE14" s="483"/>
    </row>
    <row r="15" spans="1:239" ht="15.75">
      <c r="A15" s="74">
        <v>2</v>
      </c>
      <c r="B15" s="245" t="s">
        <v>467</v>
      </c>
      <c r="C15" s="74" t="s">
        <v>543</v>
      </c>
      <c r="D15" s="21">
        <f>J9</f>
        <v>3.3</v>
      </c>
      <c r="E15" s="21">
        <f>J7-M7</f>
        <v>0.44999999999999973</v>
      </c>
      <c r="F15" s="490">
        <f>0.975*3+4.751+2.768*2+2.029*2+5.783+1.797+1.609*4+1.548+2.068+4.951+1.026*3+2.588+2.21*2+4.8+1.557*3+2.593*3+2.137*3+3.041+1.871*2+4.8</f>
        <v>85.183000000000007</v>
      </c>
      <c r="G15" s="490">
        <v>11</v>
      </c>
      <c r="H15" s="490">
        <v>0.5</v>
      </c>
      <c r="I15" s="491">
        <f>(2.903+1.309+0.824+1.191)*2+15.992</f>
        <v>28.445999999999998</v>
      </c>
      <c r="J15" s="21">
        <v>3</v>
      </c>
      <c r="K15" s="21">
        <f>(D15+F15+I15)*J15+(G15*(E15+0.3*2))*J15</f>
        <v>385.43700000000001</v>
      </c>
      <c r="L15" s="27"/>
      <c r="M15" s="488">
        <f>K15</f>
        <v>385.43700000000001</v>
      </c>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483"/>
      <c r="BS15" s="483"/>
      <c r="BT15" s="483"/>
      <c r="BU15" s="483"/>
      <c r="BV15" s="483"/>
      <c r="BW15" s="483"/>
      <c r="BX15" s="483"/>
      <c r="BY15" s="483"/>
      <c r="BZ15" s="483"/>
      <c r="CA15" s="483"/>
      <c r="CB15" s="483"/>
      <c r="CC15" s="483"/>
      <c r="CD15" s="483"/>
      <c r="CE15" s="483"/>
      <c r="CF15" s="483"/>
      <c r="CG15" s="483"/>
      <c r="CH15" s="483"/>
      <c r="CI15" s="483"/>
      <c r="CJ15" s="483"/>
      <c r="CK15" s="483"/>
      <c r="CL15" s="483"/>
      <c r="CM15" s="483"/>
      <c r="CN15" s="483"/>
      <c r="CO15" s="483"/>
      <c r="CP15" s="483"/>
      <c r="CQ15" s="483"/>
      <c r="CR15" s="483"/>
      <c r="CS15" s="483"/>
      <c r="CT15" s="483"/>
      <c r="CU15" s="483"/>
      <c r="CV15" s="483"/>
      <c r="CW15" s="483"/>
      <c r="CX15" s="483"/>
      <c r="CY15" s="483"/>
      <c r="CZ15" s="483"/>
      <c r="DA15" s="483"/>
      <c r="DB15" s="483"/>
      <c r="DC15" s="483"/>
      <c r="DD15" s="483"/>
      <c r="DE15" s="483"/>
      <c r="DF15" s="483"/>
      <c r="DG15" s="483"/>
      <c r="DH15" s="483"/>
      <c r="DI15" s="483"/>
      <c r="DJ15" s="483"/>
      <c r="DK15" s="483"/>
      <c r="DL15" s="483"/>
      <c r="DM15" s="483"/>
      <c r="DN15" s="483"/>
      <c r="DO15" s="483"/>
      <c r="DP15" s="483"/>
      <c r="DQ15" s="483"/>
      <c r="DR15" s="483"/>
      <c r="DS15" s="483"/>
      <c r="DT15" s="483"/>
      <c r="DU15" s="483"/>
      <c r="DV15" s="483"/>
      <c r="DW15" s="483"/>
      <c r="DX15" s="483"/>
      <c r="DY15" s="483"/>
      <c r="DZ15" s="483"/>
      <c r="EA15" s="483"/>
      <c r="EB15" s="483"/>
      <c r="EC15" s="483"/>
      <c r="ED15" s="483"/>
      <c r="EE15" s="483"/>
      <c r="EF15" s="483"/>
      <c r="EG15" s="483"/>
      <c r="EH15" s="483"/>
      <c r="EI15" s="483"/>
      <c r="EJ15" s="483"/>
      <c r="EK15" s="483"/>
      <c r="EL15" s="483"/>
      <c r="EM15" s="483"/>
      <c r="EN15" s="483"/>
      <c r="EO15" s="483"/>
      <c r="EP15" s="483"/>
      <c r="EQ15" s="483"/>
      <c r="ER15" s="483"/>
      <c r="ES15" s="483"/>
      <c r="ET15" s="483"/>
      <c r="EU15" s="483"/>
      <c r="EV15" s="483"/>
      <c r="EW15" s="483"/>
      <c r="EX15" s="483"/>
      <c r="EY15" s="483"/>
      <c r="EZ15" s="483"/>
      <c r="FA15" s="483"/>
      <c r="FB15" s="483"/>
      <c r="FC15" s="483"/>
      <c r="FD15" s="483"/>
      <c r="FE15" s="483"/>
      <c r="FF15" s="483"/>
      <c r="FG15" s="483"/>
      <c r="FH15" s="483"/>
      <c r="FI15" s="483"/>
      <c r="FJ15" s="483"/>
      <c r="FK15" s="483"/>
      <c r="FL15" s="483"/>
      <c r="FM15" s="483"/>
      <c r="FN15" s="483"/>
      <c r="FO15" s="483"/>
      <c r="FP15" s="483"/>
      <c r="FQ15" s="483"/>
      <c r="FR15" s="483"/>
      <c r="FS15" s="483"/>
      <c r="FT15" s="483"/>
      <c r="FU15" s="483"/>
      <c r="FV15" s="483"/>
      <c r="FW15" s="483"/>
      <c r="FX15" s="483"/>
      <c r="FY15" s="483"/>
      <c r="FZ15" s="483"/>
      <c r="GA15" s="483"/>
      <c r="GB15" s="483"/>
      <c r="GC15" s="483"/>
      <c r="GD15" s="483"/>
      <c r="GE15" s="483"/>
      <c r="GF15" s="483"/>
      <c r="GG15" s="483"/>
      <c r="GH15" s="483"/>
      <c r="GI15" s="483"/>
      <c r="GJ15" s="483"/>
      <c r="GK15" s="483"/>
      <c r="GL15" s="483"/>
      <c r="GM15" s="483"/>
      <c r="GN15" s="483"/>
      <c r="GO15" s="483"/>
      <c r="GP15" s="483"/>
      <c r="GQ15" s="483"/>
      <c r="GR15" s="483"/>
      <c r="GS15" s="483"/>
      <c r="GT15" s="483"/>
      <c r="GU15" s="483"/>
      <c r="GV15" s="483"/>
      <c r="GW15" s="483"/>
      <c r="GX15" s="483"/>
      <c r="GY15" s="483"/>
      <c r="GZ15" s="483"/>
      <c r="HA15" s="483"/>
      <c r="HB15" s="483"/>
      <c r="HC15" s="483"/>
      <c r="HD15" s="483"/>
      <c r="HE15" s="483"/>
      <c r="HF15" s="483"/>
      <c r="HG15" s="483"/>
      <c r="HH15" s="483"/>
      <c r="HI15" s="483"/>
      <c r="HJ15" s="483"/>
      <c r="HK15" s="483"/>
      <c r="HL15" s="483"/>
      <c r="HM15" s="483"/>
      <c r="HN15" s="483"/>
      <c r="HO15" s="483"/>
      <c r="HP15" s="483"/>
      <c r="HQ15" s="483"/>
      <c r="HR15" s="483"/>
      <c r="HS15" s="483"/>
      <c r="HT15" s="483"/>
      <c r="HU15" s="483"/>
      <c r="HV15" s="483"/>
      <c r="HW15" s="483"/>
      <c r="HX15" s="483"/>
      <c r="HY15" s="483"/>
      <c r="HZ15" s="483"/>
      <c r="IA15" s="483"/>
      <c r="IB15" s="483"/>
      <c r="IC15" s="483"/>
      <c r="ID15" s="483"/>
      <c r="IE15" s="483"/>
    </row>
    <row r="16" spans="1:239" ht="15.75">
      <c r="A16" s="74">
        <v>3</v>
      </c>
      <c r="B16" s="245" t="s">
        <v>468</v>
      </c>
      <c r="C16" s="74" t="s">
        <v>544</v>
      </c>
      <c r="D16" s="21"/>
      <c r="E16" s="21"/>
      <c r="F16" s="490"/>
      <c r="G16" s="490"/>
      <c r="H16" s="490"/>
      <c r="I16" s="491"/>
      <c r="J16" s="21"/>
      <c r="K16" s="21"/>
      <c r="L16" s="27"/>
      <c r="M16" s="488">
        <f>SUM(K17:K19)</f>
        <v>393.52700000000004</v>
      </c>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483"/>
      <c r="BS16" s="483"/>
      <c r="BT16" s="483"/>
      <c r="BU16" s="483"/>
      <c r="BV16" s="483"/>
      <c r="BW16" s="483"/>
      <c r="BX16" s="483"/>
      <c r="BY16" s="483"/>
      <c r="BZ16" s="483"/>
      <c r="CA16" s="483"/>
      <c r="CB16" s="483"/>
      <c r="CC16" s="483"/>
      <c r="CD16" s="483"/>
      <c r="CE16" s="483"/>
      <c r="CF16" s="483"/>
      <c r="CG16" s="483"/>
      <c r="CH16" s="483"/>
      <c r="CI16" s="483"/>
      <c r="CJ16" s="483"/>
      <c r="CK16" s="483"/>
      <c r="CL16" s="483"/>
      <c r="CM16" s="483"/>
      <c r="CN16" s="483"/>
      <c r="CO16" s="483"/>
      <c r="CP16" s="483"/>
      <c r="CQ16" s="483"/>
      <c r="CR16" s="483"/>
      <c r="CS16" s="483"/>
      <c r="CT16" s="483"/>
      <c r="CU16" s="483"/>
      <c r="CV16" s="483"/>
      <c r="CW16" s="483"/>
      <c r="CX16" s="483"/>
      <c r="CY16" s="483"/>
      <c r="CZ16" s="483"/>
      <c r="DA16" s="483"/>
      <c r="DB16" s="483"/>
      <c r="DC16" s="483"/>
      <c r="DD16" s="483"/>
      <c r="DE16" s="483"/>
      <c r="DF16" s="483"/>
      <c r="DG16" s="483"/>
      <c r="DH16" s="483"/>
      <c r="DI16" s="483"/>
      <c r="DJ16" s="483"/>
      <c r="DK16" s="483"/>
      <c r="DL16" s="483"/>
      <c r="DM16" s="483"/>
      <c r="DN16" s="483"/>
      <c r="DO16" s="483"/>
      <c r="DP16" s="483"/>
      <c r="DQ16" s="483"/>
      <c r="DR16" s="483"/>
      <c r="DS16" s="483"/>
      <c r="DT16" s="483"/>
      <c r="DU16" s="483"/>
      <c r="DV16" s="483"/>
      <c r="DW16" s="483"/>
      <c r="DX16" s="483"/>
      <c r="DY16" s="483"/>
      <c r="DZ16" s="483"/>
      <c r="EA16" s="483"/>
      <c r="EB16" s="483"/>
      <c r="EC16" s="483"/>
      <c r="ED16" s="483"/>
      <c r="EE16" s="483"/>
      <c r="EF16" s="483"/>
      <c r="EG16" s="483"/>
      <c r="EH16" s="483"/>
      <c r="EI16" s="483"/>
      <c r="EJ16" s="483"/>
      <c r="EK16" s="483"/>
      <c r="EL16" s="483"/>
      <c r="EM16" s="483"/>
      <c r="EN16" s="483"/>
      <c r="EO16" s="483"/>
      <c r="EP16" s="483"/>
      <c r="EQ16" s="483"/>
      <c r="ER16" s="483"/>
      <c r="ES16" s="483"/>
      <c r="ET16" s="483"/>
      <c r="EU16" s="483"/>
      <c r="EV16" s="483"/>
      <c r="EW16" s="483"/>
      <c r="EX16" s="483"/>
      <c r="EY16" s="483"/>
      <c r="EZ16" s="483"/>
      <c r="FA16" s="483"/>
      <c r="FB16" s="483"/>
      <c r="FC16" s="483"/>
      <c r="FD16" s="483"/>
      <c r="FE16" s="483"/>
      <c r="FF16" s="483"/>
      <c r="FG16" s="483"/>
      <c r="FH16" s="483"/>
      <c r="FI16" s="483"/>
      <c r="FJ16" s="483"/>
      <c r="FK16" s="483"/>
      <c r="FL16" s="483"/>
      <c r="FM16" s="483"/>
      <c r="FN16" s="483"/>
      <c r="FO16" s="483"/>
      <c r="FP16" s="483"/>
      <c r="FQ16" s="483"/>
      <c r="FR16" s="483"/>
      <c r="FS16" s="483"/>
      <c r="FT16" s="483"/>
      <c r="FU16" s="483"/>
      <c r="FV16" s="483"/>
      <c r="FW16" s="483"/>
      <c r="FX16" s="483"/>
      <c r="FY16" s="483"/>
      <c r="FZ16" s="483"/>
      <c r="GA16" s="483"/>
      <c r="GB16" s="483"/>
      <c r="GC16" s="483"/>
      <c r="GD16" s="483"/>
      <c r="GE16" s="483"/>
      <c r="GF16" s="483"/>
      <c r="GG16" s="483"/>
      <c r="GH16" s="483"/>
      <c r="GI16" s="483"/>
      <c r="GJ16" s="483"/>
      <c r="GK16" s="483"/>
      <c r="GL16" s="483"/>
      <c r="GM16" s="483"/>
      <c r="GN16" s="483"/>
      <c r="GO16" s="483"/>
      <c r="GP16" s="483"/>
      <c r="GQ16" s="483"/>
      <c r="GR16" s="483"/>
      <c r="GS16" s="483"/>
      <c r="GT16" s="483"/>
      <c r="GU16" s="483"/>
      <c r="GV16" s="483"/>
      <c r="GW16" s="483"/>
      <c r="GX16" s="483"/>
      <c r="GY16" s="483"/>
      <c r="GZ16" s="483"/>
      <c r="HA16" s="483"/>
      <c r="HB16" s="483"/>
      <c r="HC16" s="483"/>
      <c r="HD16" s="483"/>
      <c r="HE16" s="483"/>
      <c r="HF16" s="483"/>
      <c r="HG16" s="483"/>
      <c r="HH16" s="483"/>
      <c r="HI16" s="483"/>
      <c r="HJ16" s="483"/>
      <c r="HK16" s="483"/>
      <c r="HL16" s="483"/>
      <c r="HM16" s="483"/>
      <c r="HN16" s="483"/>
      <c r="HO16" s="483"/>
      <c r="HP16" s="483"/>
      <c r="HQ16" s="483"/>
      <c r="HR16" s="483"/>
      <c r="HS16" s="483"/>
      <c r="HT16" s="483"/>
      <c r="HU16" s="483"/>
      <c r="HV16" s="483"/>
      <c r="HW16" s="483"/>
      <c r="HX16" s="483"/>
      <c r="HY16" s="483"/>
      <c r="HZ16" s="483"/>
      <c r="IA16" s="483"/>
      <c r="IB16" s="483"/>
      <c r="IC16" s="483"/>
      <c r="ID16" s="483"/>
      <c r="IE16" s="483"/>
    </row>
    <row r="17" spans="1:239" ht="15.75">
      <c r="A17" s="74"/>
      <c r="B17" s="252" t="s">
        <v>473</v>
      </c>
      <c r="C17" s="74"/>
      <c r="D17" s="21">
        <f>J9</f>
        <v>3.3</v>
      </c>
      <c r="E17" s="21">
        <f>J7-M7</f>
        <v>0.44999999999999973</v>
      </c>
      <c r="F17" s="490">
        <f>(0.941*3+4.787+3.013*2+1.791+1.609*3+0.687+1.84+1.012*2+2.608+2.057+1.828)+(0.992*3+2.238+2.564*2+4.8+1.557*3+2.953*3+1.723+3.139+2.19*2+4.8+1.84+16.679)</f>
        <v>92.531000000000006</v>
      </c>
      <c r="G17" s="490">
        <v>9</v>
      </c>
      <c r="H17" s="490">
        <v>0.5</v>
      </c>
      <c r="I17" s="491">
        <f>1.456*2+1.191*2</f>
        <v>5.2940000000000005</v>
      </c>
      <c r="J17" s="21">
        <v>3</v>
      </c>
      <c r="K17" s="21">
        <f>(D17+F17+I17)*J17+(G17*(E17+0.3))*J17</f>
        <v>323.625</v>
      </c>
      <c r="L17" s="27"/>
      <c r="M17" s="492"/>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483"/>
      <c r="BS17" s="483"/>
      <c r="BT17" s="483"/>
      <c r="BU17" s="483"/>
      <c r="BV17" s="483"/>
      <c r="BW17" s="483"/>
      <c r="BX17" s="483"/>
      <c r="BY17" s="483"/>
      <c r="BZ17" s="483"/>
      <c r="CA17" s="483"/>
      <c r="CB17" s="483"/>
      <c r="CC17" s="483"/>
      <c r="CD17" s="483"/>
      <c r="CE17" s="483"/>
      <c r="CF17" s="483"/>
      <c r="CG17" s="483"/>
      <c r="CH17" s="483"/>
      <c r="CI17" s="483"/>
      <c r="CJ17" s="483"/>
      <c r="CK17" s="483"/>
      <c r="CL17" s="483"/>
      <c r="CM17" s="483"/>
      <c r="CN17" s="483"/>
      <c r="CO17" s="483"/>
      <c r="CP17" s="483"/>
      <c r="CQ17" s="483"/>
      <c r="CR17" s="483"/>
      <c r="CS17" s="483"/>
      <c r="CT17" s="483"/>
      <c r="CU17" s="483"/>
      <c r="CV17" s="483"/>
      <c r="CW17" s="483"/>
      <c r="CX17" s="483"/>
      <c r="CY17" s="483"/>
      <c r="CZ17" s="483"/>
      <c r="DA17" s="483"/>
      <c r="DB17" s="483"/>
      <c r="DC17" s="483"/>
      <c r="DD17" s="483"/>
      <c r="DE17" s="483"/>
      <c r="DF17" s="483"/>
      <c r="DG17" s="483"/>
      <c r="DH17" s="483"/>
      <c r="DI17" s="483"/>
      <c r="DJ17" s="483"/>
      <c r="DK17" s="483"/>
      <c r="DL17" s="483"/>
      <c r="DM17" s="483"/>
      <c r="DN17" s="483"/>
      <c r="DO17" s="483"/>
      <c r="DP17" s="483"/>
      <c r="DQ17" s="483"/>
      <c r="DR17" s="483"/>
      <c r="DS17" s="483"/>
      <c r="DT17" s="483"/>
      <c r="DU17" s="483"/>
      <c r="DV17" s="483"/>
      <c r="DW17" s="483"/>
      <c r="DX17" s="483"/>
      <c r="DY17" s="483"/>
      <c r="DZ17" s="483"/>
      <c r="EA17" s="483"/>
      <c r="EB17" s="483"/>
      <c r="EC17" s="483"/>
      <c r="ED17" s="483"/>
      <c r="EE17" s="483"/>
      <c r="EF17" s="483"/>
      <c r="EG17" s="483"/>
      <c r="EH17" s="483"/>
      <c r="EI17" s="483"/>
      <c r="EJ17" s="483"/>
      <c r="EK17" s="483"/>
      <c r="EL17" s="483"/>
      <c r="EM17" s="483"/>
      <c r="EN17" s="483"/>
      <c r="EO17" s="483"/>
      <c r="EP17" s="483"/>
      <c r="EQ17" s="483"/>
      <c r="ER17" s="483"/>
      <c r="ES17" s="483"/>
      <c r="ET17" s="483"/>
      <c r="EU17" s="483"/>
      <c r="EV17" s="483"/>
      <c r="EW17" s="483"/>
      <c r="EX17" s="483"/>
      <c r="EY17" s="483"/>
      <c r="EZ17" s="483"/>
      <c r="FA17" s="483"/>
      <c r="FB17" s="483"/>
      <c r="FC17" s="483"/>
      <c r="FD17" s="483"/>
      <c r="FE17" s="483"/>
      <c r="FF17" s="483"/>
      <c r="FG17" s="483"/>
      <c r="FH17" s="483"/>
      <c r="FI17" s="483"/>
      <c r="FJ17" s="483"/>
      <c r="FK17" s="483"/>
      <c r="FL17" s="483"/>
      <c r="FM17" s="483"/>
      <c r="FN17" s="483"/>
      <c r="FO17" s="483"/>
      <c r="FP17" s="483"/>
      <c r="FQ17" s="483"/>
      <c r="FR17" s="483"/>
      <c r="FS17" s="483"/>
      <c r="FT17" s="483"/>
      <c r="FU17" s="483"/>
      <c r="FV17" s="483"/>
      <c r="FW17" s="483"/>
      <c r="FX17" s="483"/>
      <c r="FY17" s="483"/>
      <c r="FZ17" s="483"/>
      <c r="GA17" s="483"/>
      <c r="GB17" s="483"/>
      <c r="GC17" s="483"/>
      <c r="GD17" s="483"/>
      <c r="GE17" s="483"/>
      <c r="GF17" s="483"/>
      <c r="GG17" s="483"/>
      <c r="GH17" s="483"/>
      <c r="GI17" s="483"/>
      <c r="GJ17" s="483"/>
      <c r="GK17" s="483"/>
      <c r="GL17" s="483"/>
      <c r="GM17" s="483"/>
      <c r="GN17" s="483"/>
      <c r="GO17" s="483"/>
      <c r="GP17" s="483"/>
      <c r="GQ17" s="483"/>
      <c r="GR17" s="483"/>
      <c r="GS17" s="483"/>
      <c r="GT17" s="483"/>
      <c r="GU17" s="483"/>
      <c r="GV17" s="483"/>
      <c r="GW17" s="483"/>
      <c r="GX17" s="483"/>
      <c r="GY17" s="483"/>
      <c r="GZ17" s="483"/>
      <c r="HA17" s="483"/>
      <c r="HB17" s="483"/>
      <c r="HC17" s="483"/>
      <c r="HD17" s="483"/>
      <c r="HE17" s="483"/>
      <c r="HF17" s="483"/>
      <c r="HG17" s="483"/>
      <c r="HH17" s="483"/>
      <c r="HI17" s="483"/>
      <c r="HJ17" s="483"/>
      <c r="HK17" s="483"/>
      <c r="HL17" s="483"/>
      <c r="HM17" s="483"/>
      <c r="HN17" s="483"/>
      <c r="HO17" s="483"/>
      <c r="HP17" s="483"/>
      <c r="HQ17" s="483"/>
      <c r="HR17" s="483"/>
      <c r="HS17" s="483"/>
      <c r="HT17" s="483"/>
      <c r="HU17" s="483"/>
      <c r="HV17" s="483"/>
      <c r="HW17" s="483"/>
      <c r="HX17" s="483"/>
      <c r="HY17" s="483"/>
      <c r="HZ17" s="483"/>
      <c r="IA17" s="483"/>
      <c r="IB17" s="483"/>
      <c r="IC17" s="483"/>
      <c r="ID17" s="483"/>
      <c r="IE17" s="483"/>
    </row>
    <row r="18" spans="1:239" ht="15.75">
      <c r="A18" s="74"/>
      <c r="B18" s="252" t="s">
        <v>487</v>
      </c>
      <c r="C18" s="74"/>
      <c r="D18" s="21">
        <f>1.58+0.6</f>
        <v>2.1800000000000002</v>
      </c>
      <c r="E18" s="493">
        <f>M7-2.75</f>
        <v>0.45000000000000018</v>
      </c>
      <c r="F18" s="490">
        <f>+((1.225+1.73+2.329)*2+1.384)</f>
        <v>11.952000000000002</v>
      </c>
      <c r="G18" s="490">
        <v>3</v>
      </c>
      <c r="H18" s="490">
        <v>0.3</v>
      </c>
      <c r="I18" s="491"/>
      <c r="J18" s="21">
        <v>3</v>
      </c>
      <c r="K18" s="21">
        <f>(D18+F18+I18)*J18+(G18*(E18+H18))*J18</f>
        <v>49.146000000000001</v>
      </c>
      <c r="L18" s="27"/>
      <c r="M18" s="492"/>
      <c r="N18" s="483"/>
      <c r="O18" s="483"/>
      <c r="P18" s="483"/>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3"/>
      <c r="BS18" s="483"/>
      <c r="BT18" s="483"/>
      <c r="BU18" s="483"/>
      <c r="BV18" s="483"/>
      <c r="BW18" s="483"/>
      <c r="BX18" s="483"/>
      <c r="BY18" s="483"/>
      <c r="BZ18" s="483"/>
      <c r="CA18" s="483"/>
      <c r="CB18" s="483"/>
      <c r="CC18" s="483"/>
      <c r="CD18" s="483"/>
      <c r="CE18" s="483"/>
      <c r="CF18" s="483"/>
      <c r="CG18" s="483"/>
      <c r="CH18" s="483"/>
      <c r="CI18" s="483"/>
      <c r="CJ18" s="483"/>
      <c r="CK18" s="483"/>
      <c r="CL18" s="483"/>
      <c r="CM18" s="483"/>
      <c r="CN18" s="483"/>
      <c r="CO18" s="483"/>
      <c r="CP18" s="483"/>
      <c r="CQ18" s="483"/>
      <c r="CR18" s="483"/>
      <c r="CS18" s="483"/>
      <c r="CT18" s="483"/>
      <c r="CU18" s="483"/>
      <c r="CV18" s="483"/>
      <c r="CW18" s="483"/>
      <c r="CX18" s="483"/>
      <c r="CY18" s="483"/>
      <c r="CZ18" s="483"/>
      <c r="DA18" s="483"/>
      <c r="DB18" s="483"/>
      <c r="DC18" s="483"/>
      <c r="DD18" s="483"/>
      <c r="DE18" s="483"/>
      <c r="DF18" s="483"/>
      <c r="DG18" s="483"/>
      <c r="DH18" s="483"/>
      <c r="DI18" s="483"/>
      <c r="DJ18" s="483"/>
      <c r="DK18" s="483"/>
      <c r="DL18" s="483"/>
      <c r="DM18" s="483"/>
      <c r="DN18" s="483"/>
      <c r="DO18" s="483"/>
      <c r="DP18" s="483"/>
      <c r="DQ18" s="483"/>
      <c r="DR18" s="483"/>
      <c r="DS18" s="483"/>
      <c r="DT18" s="483"/>
      <c r="DU18" s="483"/>
      <c r="DV18" s="483"/>
      <c r="DW18" s="483"/>
      <c r="DX18" s="483"/>
      <c r="DY18" s="483"/>
      <c r="DZ18" s="483"/>
      <c r="EA18" s="483"/>
      <c r="EB18" s="483"/>
      <c r="EC18" s="483"/>
      <c r="ED18" s="483"/>
      <c r="EE18" s="483"/>
      <c r="EF18" s="483"/>
      <c r="EG18" s="483"/>
      <c r="EH18" s="483"/>
      <c r="EI18" s="483"/>
      <c r="EJ18" s="483"/>
      <c r="EK18" s="483"/>
      <c r="EL18" s="483"/>
      <c r="EM18" s="483"/>
      <c r="EN18" s="483"/>
      <c r="EO18" s="483"/>
      <c r="EP18" s="483"/>
      <c r="EQ18" s="483"/>
      <c r="ER18" s="483"/>
      <c r="ES18" s="483"/>
      <c r="ET18" s="483"/>
      <c r="EU18" s="483"/>
      <c r="EV18" s="483"/>
      <c r="EW18" s="483"/>
      <c r="EX18" s="483"/>
      <c r="EY18" s="483"/>
      <c r="EZ18" s="483"/>
      <c r="FA18" s="483"/>
      <c r="FB18" s="483"/>
      <c r="FC18" s="483"/>
      <c r="FD18" s="483"/>
      <c r="FE18" s="483"/>
      <c r="FF18" s="483"/>
      <c r="FG18" s="483"/>
      <c r="FH18" s="483"/>
      <c r="FI18" s="483"/>
      <c r="FJ18" s="483"/>
      <c r="FK18" s="483"/>
      <c r="FL18" s="483"/>
      <c r="FM18" s="483"/>
      <c r="FN18" s="483"/>
      <c r="FO18" s="483"/>
      <c r="FP18" s="483"/>
      <c r="FQ18" s="483"/>
      <c r="FR18" s="483"/>
      <c r="FS18" s="483"/>
      <c r="FT18" s="483"/>
      <c r="FU18" s="483"/>
      <c r="FV18" s="483"/>
      <c r="FW18" s="483"/>
      <c r="FX18" s="483"/>
      <c r="FY18" s="483"/>
      <c r="FZ18" s="483"/>
      <c r="GA18" s="483"/>
      <c r="GB18" s="483"/>
      <c r="GC18" s="483"/>
      <c r="GD18" s="483"/>
      <c r="GE18" s="483"/>
      <c r="GF18" s="483"/>
      <c r="GG18" s="483"/>
      <c r="GH18" s="483"/>
      <c r="GI18" s="483"/>
      <c r="GJ18" s="483"/>
      <c r="GK18" s="483"/>
      <c r="GL18" s="483"/>
      <c r="GM18" s="483"/>
      <c r="GN18" s="483"/>
      <c r="GO18" s="483"/>
      <c r="GP18" s="483"/>
      <c r="GQ18" s="483"/>
      <c r="GR18" s="483"/>
      <c r="GS18" s="483"/>
      <c r="GT18" s="483"/>
      <c r="GU18" s="483"/>
      <c r="GV18" s="483"/>
      <c r="GW18" s="483"/>
      <c r="GX18" s="483"/>
      <c r="GY18" s="483"/>
      <c r="GZ18" s="483"/>
      <c r="HA18" s="483"/>
      <c r="HB18" s="483"/>
      <c r="HC18" s="483"/>
      <c r="HD18" s="483"/>
      <c r="HE18" s="483"/>
      <c r="HF18" s="483"/>
      <c r="HG18" s="483"/>
      <c r="HH18" s="483"/>
      <c r="HI18" s="483"/>
      <c r="HJ18" s="483"/>
      <c r="HK18" s="483"/>
      <c r="HL18" s="483"/>
      <c r="HM18" s="483"/>
      <c r="HN18" s="483"/>
      <c r="HO18" s="483"/>
      <c r="HP18" s="483"/>
      <c r="HQ18" s="483"/>
      <c r="HR18" s="483"/>
      <c r="HS18" s="483"/>
      <c r="HT18" s="483"/>
      <c r="HU18" s="483"/>
      <c r="HV18" s="483"/>
      <c r="HW18" s="483"/>
      <c r="HX18" s="483"/>
      <c r="HY18" s="483"/>
      <c r="HZ18" s="483"/>
      <c r="IA18" s="483"/>
      <c r="IB18" s="483"/>
      <c r="IC18" s="483"/>
      <c r="ID18" s="483"/>
      <c r="IE18" s="483"/>
    </row>
    <row r="19" spans="1:239" ht="15.75">
      <c r="A19" s="74"/>
      <c r="B19" s="252" t="s">
        <v>476</v>
      </c>
      <c r="C19" s="74"/>
      <c r="D19" s="21">
        <f>1.58+0.6</f>
        <v>2.1800000000000002</v>
      </c>
      <c r="E19" s="21">
        <f>M7-1.3</f>
        <v>1.9000000000000001</v>
      </c>
      <c r="F19" s="490">
        <f>1.225+1.73+2.329+0.2+0.514</f>
        <v>5.9980000000000011</v>
      </c>
      <c r="G19" s="490">
        <v>1</v>
      </c>
      <c r="H19" s="490">
        <v>0.3</v>
      </c>
      <c r="I19" s="491"/>
      <c r="J19" s="21">
        <v>2</v>
      </c>
      <c r="K19" s="21">
        <f>(D19+F19+I19)*J19+(G19*(E19+H19))*J19</f>
        <v>20.756</v>
      </c>
      <c r="L19" s="27"/>
      <c r="M19" s="492"/>
      <c r="N19" s="483"/>
      <c r="O19" s="483"/>
      <c r="P19" s="483"/>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483"/>
      <c r="BS19" s="483"/>
      <c r="BT19" s="483"/>
      <c r="BU19" s="483"/>
      <c r="BV19" s="483"/>
      <c r="BW19" s="483"/>
      <c r="BX19" s="483"/>
      <c r="BY19" s="483"/>
      <c r="BZ19" s="483"/>
      <c r="CA19" s="483"/>
      <c r="CB19" s="483"/>
      <c r="CC19" s="483"/>
      <c r="CD19" s="483"/>
      <c r="CE19" s="483"/>
      <c r="CF19" s="483"/>
      <c r="CG19" s="483"/>
      <c r="CH19" s="483"/>
      <c r="CI19" s="483"/>
      <c r="CJ19" s="483"/>
      <c r="CK19" s="483"/>
      <c r="CL19" s="483"/>
      <c r="CM19" s="483"/>
      <c r="CN19" s="483"/>
      <c r="CO19" s="483"/>
      <c r="CP19" s="483"/>
      <c r="CQ19" s="483"/>
      <c r="CR19" s="483"/>
      <c r="CS19" s="483"/>
      <c r="CT19" s="483"/>
      <c r="CU19" s="483"/>
      <c r="CV19" s="483"/>
      <c r="CW19" s="483"/>
      <c r="CX19" s="483"/>
      <c r="CY19" s="483"/>
      <c r="CZ19" s="483"/>
      <c r="DA19" s="483"/>
      <c r="DB19" s="483"/>
      <c r="DC19" s="483"/>
      <c r="DD19" s="483"/>
      <c r="DE19" s="483"/>
      <c r="DF19" s="483"/>
      <c r="DG19" s="483"/>
      <c r="DH19" s="483"/>
      <c r="DI19" s="483"/>
      <c r="DJ19" s="483"/>
      <c r="DK19" s="483"/>
      <c r="DL19" s="483"/>
      <c r="DM19" s="483"/>
      <c r="DN19" s="483"/>
      <c r="DO19" s="483"/>
      <c r="DP19" s="483"/>
      <c r="DQ19" s="483"/>
      <c r="DR19" s="483"/>
      <c r="DS19" s="483"/>
      <c r="DT19" s="483"/>
      <c r="DU19" s="483"/>
      <c r="DV19" s="483"/>
      <c r="DW19" s="483"/>
      <c r="DX19" s="483"/>
      <c r="DY19" s="483"/>
      <c r="DZ19" s="483"/>
      <c r="EA19" s="483"/>
      <c r="EB19" s="483"/>
      <c r="EC19" s="483"/>
      <c r="ED19" s="483"/>
      <c r="EE19" s="483"/>
      <c r="EF19" s="483"/>
      <c r="EG19" s="483"/>
      <c r="EH19" s="483"/>
      <c r="EI19" s="483"/>
      <c r="EJ19" s="483"/>
      <c r="EK19" s="483"/>
      <c r="EL19" s="483"/>
      <c r="EM19" s="483"/>
      <c r="EN19" s="483"/>
      <c r="EO19" s="483"/>
      <c r="EP19" s="483"/>
      <c r="EQ19" s="483"/>
      <c r="ER19" s="483"/>
      <c r="ES19" s="483"/>
      <c r="ET19" s="483"/>
      <c r="EU19" s="483"/>
      <c r="EV19" s="483"/>
      <c r="EW19" s="483"/>
      <c r="EX19" s="483"/>
      <c r="EY19" s="483"/>
      <c r="EZ19" s="483"/>
      <c r="FA19" s="483"/>
      <c r="FB19" s="483"/>
      <c r="FC19" s="483"/>
      <c r="FD19" s="483"/>
      <c r="FE19" s="483"/>
      <c r="FF19" s="483"/>
      <c r="FG19" s="483"/>
      <c r="FH19" s="483"/>
      <c r="FI19" s="483"/>
      <c r="FJ19" s="483"/>
      <c r="FK19" s="483"/>
      <c r="FL19" s="483"/>
      <c r="FM19" s="483"/>
      <c r="FN19" s="483"/>
      <c r="FO19" s="483"/>
      <c r="FP19" s="483"/>
      <c r="FQ19" s="483"/>
      <c r="FR19" s="483"/>
      <c r="FS19" s="483"/>
      <c r="FT19" s="483"/>
      <c r="FU19" s="483"/>
      <c r="FV19" s="483"/>
      <c r="FW19" s="483"/>
      <c r="FX19" s="483"/>
      <c r="FY19" s="483"/>
      <c r="FZ19" s="483"/>
      <c r="GA19" s="483"/>
      <c r="GB19" s="483"/>
      <c r="GC19" s="483"/>
      <c r="GD19" s="483"/>
      <c r="GE19" s="483"/>
      <c r="GF19" s="483"/>
      <c r="GG19" s="483"/>
      <c r="GH19" s="483"/>
      <c r="GI19" s="483"/>
      <c r="GJ19" s="483"/>
      <c r="GK19" s="483"/>
      <c r="GL19" s="483"/>
      <c r="GM19" s="483"/>
      <c r="GN19" s="483"/>
      <c r="GO19" s="483"/>
      <c r="GP19" s="483"/>
      <c r="GQ19" s="483"/>
      <c r="GR19" s="483"/>
      <c r="GS19" s="483"/>
      <c r="GT19" s="483"/>
      <c r="GU19" s="483"/>
      <c r="GV19" s="483"/>
      <c r="GW19" s="483"/>
      <c r="GX19" s="483"/>
      <c r="GY19" s="483"/>
      <c r="GZ19" s="483"/>
      <c r="HA19" s="483"/>
      <c r="HB19" s="483"/>
      <c r="HC19" s="483"/>
      <c r="HD19" s="483"/>
      <c r="HE19" s="483"/>
      <c r="HF19" s="483"/>
      <c r="HG19" s="483"/>
      <c r="HH19" s="483"/>
      <c r="HI19" s="483"/>
      <c r="HJ19" s="483"/>
      <c r="HK19" s="483"/>
      <c r="HL19" s="483"/>
      <c r="HM19" s="483"/>
      <c r="HN19" s="483"/>
      <c r="HO19" s="483"/>
      <c r="HP19" s="483"/>
      <c r="HQ19" s="483"/>
      <c r="HR19" s="483"/>
      <c r="HS19" s="483"/>
      <c r="HT19" s="483"/>
      <c r="HU19" s="483"/>
      <c r="HV19" s="483"/>
      <c r="HW19" s="483"/>
      <c r="HX19" s="483"/>
      <c r="HY19" s="483"/>
      <c r="HZ19" s="483"/>
      <c r="IA19" s="483"/>
      <c r="IB19" s="483"/>
      <c r="IC19" s="483"/>
      <c r="ID19" s="483"/>
      <c r="IE19" s="483"/>
    </row>
    <row r="20" spans="1:239" ht="15">
      <c r="A20" s="74"/>
      <c r="B20" s="239"/>
      <c r="C20" s="240"/>
      <c r="D20" s="240"/>
      <c r="E20" s="240"/>
      <c r="F20" s="240"/>
      <c r="G20" s="240"/>
      <c r="H20" s="240"/>
      <c r="I20" s="21"/>
      <c r="J20" s="264"/>
      <c r="K20" s="21"/>
      <c r="L20" s="27"/>
      <c r="M20" s="492"/>
      <c r="N20" s="483"/>
      <c r="O20" s="483"/>
      <c r="P20" s="483"/>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483"/>
      <c r="BS20" s="483"/>
      <c r="BT20" s="483"/>
      <c r="BU20" s="483"/>
      <c r="BV20" s="483"/>
      <c r="BW20" s="483"/>
      <c r="BX20" s="483"/>
      <c r="BY20" s="483"/>
      <c r="BZ20" s="483"/>
      <c r="CA20" s="483"/>
      <c r="CB20" s="483"/>
      <c r="CC20" s="483"/>
      <c r="CD20" s="483"/>
      <c r="CE20" s="483"/>
      <c r="CF20" s="483"/>
      <c r="CG20" s="483"/>
      <c r="CH20" s="483"/>
      <c r="CI20" s="483"/>
      <c r="CJ20" s="483"/>
      <c r="CK20" s="483"/>
      <c r="CL20" s="483"/>
      <c r="CM20" s="483"/>
      <c r="CN20" s="483"/>
      <c r="CO20" s="483"/>
      <c r="CP20" s="483"/>
      <c r="CQ20" s="483"/>
      <c r="CR20" s="483"/>
      <c r="CS20" s="483"/>
      <c r="CT20" s="483"/>
      <c r="CU20" s="483"/>
      <c r="CV20" s="483"/>
      <c r="CW20" s="483"/>
      <c r="CX20" s="483"/>
      <c r="CY20" s="483"/>
      <c r="CZ20" s="483"/>
      <c r="DA20" s="483"/>
      <c r="DB20" s="483"/>
      <c r="DC20" s="483"/>
      <c r="DD20" s="483"/>
      <c r="DE20" s="483"/>
      <c r="DF20" s="483"/>
      <c r="DG20" s="483"/>
      <c r="DH20" s="483"/>
      <c r="DI20" s="483"/>
      <c r="DJ20" s="483"/>
      <c r="DK20" s="483"/>
      <c r="DL20" s="483"/>
      <c r="DM20" s="483"/>
      <c r="DN20" s="483"/>
      <c r="DO20" s="483"/>
      <c r="DP20" s="483"/>
      <c r="DQ20" s="483"/>
      <c r="DR20" s="483"/>
      <c r="DS20" s="483"/>
      <c r="DT20" s="483"/>
      <c r="DU20" s="483"/>
      <c r="DV20" s="483"/>
      <c r="DW20" s="483"/>
      <c r="DX20" s="483"/>
      <c r="DY20" s="483"/>
      <c r="DZ20" s="483"/>
      <c r="EA20" s="483"/>
      <c r="EB20" s="483"/>
      <c r="EC20" s="483"/>
      <c r="ED20" s="483"/>
      <c r="EE20" s="483"/>
      <c r="EF20" s="483"/>
      <c r="EG20" s="483"/>
      <c r="EH20" s="483"/>
      <c r="EI20" s="483"/>
      <c r="EJ20" s="483"/>
      <c r="EK20" s="483"/>
      <c r="EL20" s="483"/>
      <c r="EM20" s="483"/>
      <c r="EN20" s="483"/>
      <c r="EO20" s="483"/>
      <c r="EP20" s="483"/>
      <c r="EQ20" s="483"/>
      <c r="ER20" s="483"/>
      <c r="ES20" s="483"/>
      <c r="ET20" s="483"/>
      <c r="EU20" s="483"/>
      <c r="EV20" s="483"/>
      <c r="EW20" s="483"/>
      <c r="EX20" s="483"/>
      <c r="EY20" s="483"/>
      <c r="EZ20" s="483"/>
      <c r="FA20" s="483"/>
      <c r="FB20" s="483"/>
      <c r="FC20" s="483"/>
      <c r="FD20" s="483"/>
      <c r="FE20" s="483"/>
      <c r="FF20" s="483"/>
      <c r="FG20" s="483"/>
      <c r="FH20" s="483"/>
      <c r="FI20" s="483"/>
      <c r="FJ20" s="483"/>
      <c r="FK20" s="483"/>
      <c r="FL20" s="483"/>
      <c r="FM20" s="483"/>
      <c r="FN20" s="483"/>
      <c r="FO20" s="483"/>
      <c r="FP20" s="483"/>
      <c r="FQ20" s="483"/>
      <c r="FR20" s="483"/>
      <c r="FS20" s="483"/>
      <c r="FT20" s="483"/>
      <c r="FU20" s="483"/>
      <c r="FV20" s="483"/>
      <c r="FW20" s="483"/>
      <c r="FX20" s="483"/>
      <c r="FY20" s="483"/>
      <c r="FZ20" s="483"/>
      <c r="GA20" s="483"/>
      <c r="GB20" s="483"/>
      <c r="GC20" s="483"/>
      <c r="GD20" s="483"/>
      <c r="GE20" s="483"/>
      <c r="GF20" s="483"/>
      <c r="GG20" s="483"/>
      <c r="GH20" s="483"/>
      <c r="GI20" s="483"/>
      <c r="GJ20" s="483"/>
      <c r="GK20" s="483"/>
      <c r="GL20" s="483"/>
      <c r="GM20" s="483"/>
      <c r="GN20" s="483"/>
      <c r="GO20" s="483"/>
      <c r="GP20" s="483"/>
      <c r="GQ20" s="483"/>
      <c r="GR20" s="483"/>
      <c r="GS20" s="483"/>
      <c r="GT20" s="483"/>
      <c r="GU20" s="483"/>
      <c r="GV20" s="483"/>
      <c r="GW20" s="483"/>
      <c r="GX20" s="483"/>
      <c r="GY20" s="483"/>
      <c r="GZ20" s="483"/>
      <c r="HA20" s="483"/>
      <c r="HB20" s="483"/>
      <c r="HC20" s="483"/>
      <c r="HD20" s="483"/>
      <c r="HE20" s="483"/>
      <c r="HF20" s="483"/>
      <c r="HG20" s="483"/>
      <c r="HH20" s="483"/>
      <c r="HI20" s="483"/>
      <c r="HJ20" s="483"/>
      <c r="HK20" s="483"/>
      <c r="HL20" s="483"/>
      <c r="HM20" s="483"/>
      <c r="HN20" s="483"/>
      <c r="HO20" s="483"/>
      <c r="HP20" s="483"/>
      <c r="HQ20" s="483"/>
      <c r="HR20" s="483"/>
      <c r="HS20" s="483"/>
      <c r="HT20" s="483"/>
      <c r="HU20" s="483"/>
      <c r="HV20" s="483"/>
      <c r="HW20" s="483"/>
      <c r="HX20" s="483"/>
      <c r="HY20" s="483"/>
      <c r="HZ20" s="483"/>
      <c r="IA20" s="483"/>
      <c r="IB20" s="483"/>
      <c r="IC20" s="483"/>
      <c r="ID20" s="483"/>
      <c r="IE20" s="483"/>
    </row>
    <row r="21" spans="1:239" ht="15">
      <c r="A21" s="74">
        <v>4</v>
      </c>
      <c r="B21" s="920" t="s">
        <v>597</v>
      </c>
      <c r="C21" s="921"/>
      <c r="D21" s="921"/>
      <c r="E21" s="921"/>
      <c r="F21" s="921"/>
      <c r="G21" s="921"/>
      <c r="H21" s="921"/>
      <c r="I21" s="922"/>
      <c r="J21" s="450"/>
      <c r="K21" s="253">
        <f>SUM(K14:K19)/3-(SUM(I14:I19)+SUM(H14:H19))</f>
        <v>341.72666666666669</v>
      </c>
      <c r="L21" s="44"/>
      <c r="M21" s="488">
        <f>K21</f>
        <v>341.72666666666669</v>
      </c>
      <c r="N21" s="483"/>
      <c r="O21" s="483"/>
      <c r="P21" s="483"/>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483"/>
      <c r="BS21" s="483"/>
      <c r="BT21" s="483"/>
      <c r="BU21" s="483"/>
      <c r="BV21" s="483"/>
      <c r="BW21" s="483"/>
      <c r="BX21" s="483"/>
      <c r="BY21" s="483"/>
      <c r="BZ21" s="483"/>
      <c r="CA21" s="483"/>
      <c r="CB21" s="483"/>
      <c r="CC21" s="483"/>
      <c r="CD21" s="483"/>
      <c r="CE21" s="483"/>
      <c r="CF21" s="483"/>
      <c r="CG21" s="483"/>
      <c r="CH21" s="483"/>
      <c r="CI21" s="483"/>
      <c r="CJ21" s="483"/>
      <c r="CK21" s="483"/>
      <c r="CL21" s="483"/>
      <c r="CM21" s="483"/>
      <c r="CN21" s="483"/>
      <c r="CO21" s="483"/>
      <c r="CP21" s="483"/>
      <c r="CQ21" s="483"/>
      <c r="CR21" s="483"/>
      <c r="CS21" s="483"/>
      <c r="CT21" s="483"/>
      <c r="CU21" s="483"/>
      <c r="CV21" s="483"/>
      <c r="CW21" s="483"/>
      <c r="CX21" s="483"/>
      <c r="CY21" s="483"/>
      <c r="CZ21" s="483"/>
      <c r="DA21" s="483"/>
      <c r="DB21" s="483"/>
      <c r="DC21" s="483"/>
      <c r="DD21" s="483"/>
      <c r="DE21" s="483"/>
      <c r="DF21" s="483"/>
      <c r="DG21" s="483"/>
      <c r="DH21" s="483"/>
      <c r="DI21" s="483"/>
      <c r="DJ21" s="483"/>
      <c r="DK21" s="483"/>
      <c r="DL21" s="483"/>
      <c r="DM21" s="483"/>
      <c r="DN21" s="483"/>
      <c r="DO21" s="483"/>
      <c r="DP21" s="483"/>
      <c r="DQ21" s="483"/>
      <c r="DR21" s="483"/>
      <c r="DS21" s="483"/>
      <c r="DT21" s="483"/>
      <c r="DU21" s="483"/>
      <c r="DV21" s="483"/>
      <c r="DW21" s="483"/>
      <c r="DX21" s="483"/>
      <c r="DY21" s="483"/>
      <c r="DZ21" s="483"/>
      <c r="EA21" s="483"/>
      <c r="EB21" s="483"/>
      <c r="EC21" s="483"/>
      <c r="ED21" s="483"/>
      <c r="EE21" s="483"/>
      <c r="EF21" s="483"/>
      <c r="EG21" s="483"/>
      <c r="EH21" s="483"/>
      <c r="EI21" s="483"/>
      <c r="EJ21" s="483"/>
      <c r="EK21" s="483"/>
      <c r="EL21" s="483"/>
      <c r="EM21" s="483"/>
      <c r="EN21" s="483"/>
      <c r="EO21" s="483"/>
      <c r="EP21" s="483"/>
      <c r="EQ21" s="483"/>
      <c r="ER21" s="483"/>
      <c r="ES21" s="483"/>
      <c r="ET21" s="483"/>
      <c r="EU21" s="483"/>
      <c r="EV21" s="483"/>
      <c r="EW21" s="483"/>
      <c r="EX21" s="483"/>
      <c r="EY21" s="483"/>
      <c r="EZ21" s="483"/>
      <c r="FA21" s="483"/>
      <c r="FB21" s="483"/>
      <c r="FC21" s="483"/>
      <c r="FD21" s="483"/>
      <c r="FE21" s="483"/>
      <c r="FF21" s="483"/>
      <c r="FG21" s="483"/>
      <c r="FH21" s="483"/>
      <c r="FI21" s="483"/>
      <c r="FJ21" s="483"/>
      <c r="FK21" s="483"/>
      <c r="FL21" s="483"/>
      <c r="FM21" s="483"/>
      <c r="FN21" s="483"/>
      <c r="FO21" s="483"/>
      <c r="FP21" s="483"/>
      <c r="FQ21" s="483"/>
      <c r="FR21" s="483"/>
      <c r="FS21" s="483"/>
      <c r="FT21" s="483"/>
      <c r="FU21" s="483"/>
      <c r="FV21" s="483"/>
      <c r="FW21" s="483"/>
      <c r="FX21" s="483"/>
      <c r="FY21" s="483"/>
      <c r="FZ21" s="483"/>
      <c r="GA21" s="483"/>
      <c r="GB21" s="483"/>
      <c r="GC21" s="483"/>
      <c r="GD21" s="483"/>
      <c r="GE21" s="483"/>
      <c r="GF21" s="483"/>
      <c r="GG21" s="483"/>
      <c r="GH21" s="483"/>
      <c r="GI21" s="483"/>
      <c r="GJ21" s="483"/>
      <c r="GK21" s="483"/>
      <c r="GL21" s="483"/>
      <c r="GM21" s="483"/>
      <c r="GN21" s="483"/>
      <c r="GO21" s="483"/>
      <c r="GP21" s="483"/>
      <c r="GQ21" s="483"/>
      <c r="GR21" s="483"/>
      <c r="GS21" s="483"/>
      <c r="GT21" s="483"/>
      <c r="GU21" s="483"/>
      <c r="GV21" s="483"/>
      <c r="GW21" s="483"/>
      <c r="GX21" s="483"/>
      <c r="GY21" s="483"/>
      <c r="GZ21" s="483"/>
      <c r="HA21" s="483"/>
      <c r="HB21" s="483"/>
      <c r="HC21" s="483"/>
      <c r="HD21" s="483"/>
      <c r="HE21" s="483"/>
      <c r="HF21" s="483"/>
      <c r="HG21" s="483"/>
      <c r="HH21" s="483"/>
      <c r="HI21" s="483"/>
      <c r="HJ21" s="483"/>
      <c r="HK21" s="483"/>
      <c r="HL21" s="483"/>
      <c r="HM21" s="483"/>
      <c r="HN21" s="483"/>
      <c r="HO21" s="483"/>
      <c r="HP21" s="483"/>
      <c r="HQ21" s="483"/>
      <c r="HR21" s="483"/>
      <c r="HS21" s="483"/>
      <c r="HT21" s="483"/>
      <c r="HU21" s="483"/>
      <c r="HV21" s="483"/>
      <c r="HW21" s="483"/>
      <c r="HX21" s="483"/>
      <c r="HY21" s="483"/>
      <c r="HZ21" s="483"/>
      <c r="IA21" s="483"/>
      <c r="IB21" s="483"/>
      <c r="IC21" s="483"/>
      <c r="ID21" s="483"/>
      <c r="IE21" s="483"/>
    </row>
    <row r="22" spans="1:239" ht="14.25">
      <c r="A22" s="26" t="s">
        <v>82</v>
      </c>
      <c r="B22" s="917" t="s">
        <v>532</v>
      </c>
      <c r="C22" s="918"/>
      <c r="D22" s="918"/>
      <c r="E22" s="918"/>
      <c r="F22" s="918"/>
      <c r="G22" s="918"/>
      <c r="H22" s="918"/>
      <c r="I22" s="919"/>
      <c r="J22" s="264"/>
      <c r="K22" s="27"/>
      <c r="L22" s="27"/>
      <c r="M22" s="411">
        <f>SUM(M23:M31)</f>
        <v>716.7199999999998</v>
      </c>
    </row>
    <row r="23" spans="1:239" ht="15.75">
      <c r="A23" s="74"/>
      <c r="B23" s="245" t="s">
        <v>522</v>
      </c>
      <c r="C23" s="74"/>
      <c r="D23" s="21"/>
      <c r="E23" s="21"/>
      <c r="F23" s="490"/>
      <c r="G23" s="490"/>
      <c r="H23" s="490"/>
      <c r="I23" s="491"/>
      <c r="J23" s="21"/>
      <c r="K23" s="21"/>
      <c r="L23" s="27"/>
      <c r="M23" s="488">
        <f>SUM(K24:K31)</f>
        <v>716.7199999999998</v>
      </c>
      <c r="N23" s="483"/>
      <c r="O23" s="483"/>
      <c r="P23" s="494"/>
      <c r="Q23" s="483"/>
      <c r="R23" s="483"/>
      <c r="S23" s="483"/>
      <c r="T23" s="483"/>
      <c r="U23" s="483"/>
      <c r="V23" s="483"/>
      <c r="W23" s="483"/>
      <c r="X23" s="483"/>
      <c r="Y23" s="483"/>
      <c r="Z23" s="483"/>
      <c r="AA23" s="483"/>
      <c r="AB23" s="483"/>
      <c r="AC23" s="483"/>
      <c r="AD23" s="483"/>
      <c r="AE23" s="483"/>
      <c r="AF23" s="483"/>
      <c r="AG23" s="483"/>
      <c r="AH23" s="483"/>
      <c r="AI23" s="483"/>
      <c r="AJ23" s="483"/>
      <c r="AK23" s="483"/>
      <c r="AL23" s="483"/>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483"/>
      <c r="BS23" s="483"/>
      <c r="BT23" s="483"/>
      <c r="BU23" s="483"/>
      <c r="BV23" s="483"/>
      <c r="BW23" s="483"/>
      <c r="BX23" s="483"/>
      <c r="BY23" s="483"/>
      <c r="BZ23" s="483"/>
      <c r="CA23" s="483"/>
      <c r="CB23" s="483"/>
      <c r="CC23" s="483"/>
      <c r="CD23" s="483"/>
      <c r="CE23" s="483"/>
      <c r="CF23" s="483"/>
      <c r="CG23" s="483"/>
      <c r="CH23" s="483"/>
      <c r="CI23" s="483"/>
      <c r="CJ23" s="483"/>
      <c r="CK23" s="483"/>
      <c r="CL23" s="483"/>
      <c r="CM23" s="483"/>
      <c r="CN23" s="483"/>
      <c r="CO23" s="483"/>
      <c r="CP23" s="483"/>
      <c r="CQ23" s="483"/>
      <c r="CR23" s="483"/>
      <c r="CS23" s="483"/>
      <c r="CT23" s="483"/>
      <c r="CU23" s="483"/>
      <c r="CV23" s="483"/>
      <c r="CW23" s="483"/>
      <c r="CX23" s="483"/>
      <c r="CY23" s="483"/>
      <c r="CZ23" s="483"/>
      <c r="DA23" s="483"/>
      <c r="DB23" s="483"/>
      <c r="DC23" s="483"/>
      <c r="DD23" s="483"/>
      <c r="DE23" s="483"/>
      <c r="DF23" s="483"/>
      <c r="DG23" s="483"/>
      <c r="DH23" s="483"/>
      <c r="DI23" s="483"/>
      <c r="DJ23" s="483"/>
      <c r="DK23" s="483"/>
      <c r="DL23" s="483"/>
      <c r="DM23" s="483"/>
      <c r="DN23" s="483"/>
      <c r="DO23" s="483"/>
      <c r="DP23" s="483"/>
      <c r="DQ23" s="483"/>
      <c r="DR23" s="483"/>
      <c r="DS23" s="483"/>
      <c r="DT23" s="483"/>
      <c r="DU23" s="483"/>
      <c r="DV23" s="483"/>
      <c r="DW23" s="483"/>
      <c r="DX23" s="483"/>
      <c r="DY23" s="483"/>
      <c r="DZ23" s="483"/>
      <c r="EA23" s="483"/>
      <c r="EB23" s="483"/>
      <c r="EC23" s="483"/>
      <c r="ED23" s="483"/>
      <c r="EE23" s="483"/>
      <c r="EF23" s="483"/>
      <c r="EG23" s="483"/>
      <c r="EH23" s="483"/>
      <c r="EI23" s="483"/>
      <c r="EJ23" s="483"/>
      <c r="EK23" s="483"/>
      <c r="EL23" s="483"/>
      <c r="EM23" s="483"/>
      <c r="EN23" s="483"/>
      <c r="EO23" s="483"/>
      <c r="EP23" s="483"/>
      <c r="EQ23" s="483"/>
      <c r="ER23" s="483"/>
      <c r="ES23" s="483"/>
      <c r="ET23" s="483"/>
      <c r="EU23" s="483"/>
      <c r="EV23" s="483"/>
      <c r="EW23" s="483"/>
      <c r="EX23" s="483"/>
      <c r="EY23" s="483"/>
      <c r="EZ23" s="483"/>
      <c r="FA23" s="483"/>
      <c r="FB23" s="483"/>
      <c r="FC23" s="483"/>
      <c r="FD23" s="483"/>
      <c r="FE23" s="483"/>
      <c r="FF23" s="483"/>
      <c r="FG23" s="483"/>
      <c r="FH23" s="483"/>
      <c r="FI23" s="483"/>
      <c r="FJ23" s="483"/>
      <c r="FK23" s="483"/>
      <c r="FL23" s="483"/>
      <c r="FM23" s="483"/>
      <c r="FN23" s="483"/>
      <c r="FO23" s="483"/>
      <c r="FP23" s="483"/>
      <c r="FQ23" s="483"/>
      <c r="FR23" s="483"/>
      <c r="FS23" s="483"/>
      <c r="FT23" s="483"/>
      <c r="FU23" s="483"/>
      <c r="FV23" s="483"/>
      <c r="FW23" s="483"/>
      <c r="FX23" s="483"/>
      <c r="FY23" s="483"/>
      <c r="FZ23" s="483"/>
      <c r="GA23" s="483"/>
      <c r="GB23" s="483"/>
      <c r="GC23" s="483"/>
      <c r="GD23" s="483"/>
      <c r="GE23" s="483"/>
      <c r="GF23" s="483"/>
      <c r="GG23" s="483"/>
      <c r="GH23" s="483"/>
      <c r="GI23" s="483"/>
      <c r="GJ23" s="483"/>
      <c r="GK23" s="483"/>
      <c r="GL23" s="483"/>
      <c r="GM23" s="483"/>
      <c r="GN23" s="483"/>
      <c r="GO23" s="483"/>
      <c r="GP23" s="483"/>
      <c r="GQ23" s="483"/>
      <c r="GR23" s="483"/>
      <c r="GS23" s="483"/>
      <c r="GT23" s="483"/>
      <c r="GU23" s="483"/>
      <c r="GV23" s="483"/>
      <c r="GW23" s="483"/>
      <c r="GX23" s="483"/>
      <c r="GY23" s="483"/>
      <c r="GZ23" s="483"/>
      <c r="HA23" s="483"/>
      <c r="HB23" s="483"/>
      <c r="HC23" s="483"/>
      <c r="HD23" s="483"/>
      <c r="HE23" s="483"/>
      <c r="HF23" s="483"/>
      <c r="HG23" s="483"/>
      <c r="HH23" s="483"/>
      <c r="HI23" s="483"/>
      <c r="HJ23" s="483"/>
      <c r="HK23" s="483"/>
      <c r="HL23" s="483"/>
      <c r="HM23" s="483"/>
      <c r="HN23" s="483"/>
      <c r="HO23" s="483"/>
      <c r="HP23" s="483"/>
      <c r="HQ23" s="483"/>
      <c r="HR23" s="483"/>
      <c r="HS23" s="483"/>
      <c r="HT23" s="483"/>
      <c r="HU23" s="483"/>
      <c r="HV23" s="483"/>
      <c r="HW23" s="483"/>
      <c r="HX23" s="483"/>
      <c r="HY23" s="483"/>
      <c r="HZ23" s="483"/>
      <c r="IA23" s="483"/>
      <c r="IB23" s="483"/>
      <c r="IC23" s="483"/>
      <c r="ID23" s="483"/>
      <c r="IE23" s="483"/>
    </row>
    <row r="24" spans="1:239" ht="15.75">
      <c r="A24" s="74"/>
      <c r="B24" s="252" t="s">
        <v>523</v>
      </c>
      <c r="C24" s="74" t="s">
        <v>545</v>
      </c>
      <c r="D24" s="21">
        <v>1.4</v>
      </c>
      <c r="E24" s="21">
        <f>0.3+1.2+1</f>
        <v>2.5</v>
      </c>
      <c r="F24" s="490"/>
      <c r="G24" s="490">
        <v>1</v>
      </c>
      <c r="H24" s="490">
        <v>0.5</v>
      </c>
      <c r="I24" s="491">
        <f>4.369+0.428+2.542+1.05+0.44</f>
        <v>8.8289999999999988</v>
      </c>
      <c r="J24" s="21">
        <v>5</v>
      </c>
      <c r="K24" s="21">
        <f>(D24+H24+E24+0.3+I24)*J24*G24</f>
        <v>67.644999999999996</v>
      </c>
      <c r="L24" s="27"/>
      <c r="M24" s="488"/>
      <c r="N24" s="483"/>
      <c r="O24" s="483"/>
      <c r="P24" s="483"/>
      <c r="Q24" s="483"/>
      <c r="R24" s="483"/>
      <c r="S24" s="483"/>
      <c r="T24" s="483"/>
      <c r="U24" s="483"/>
      <c r="V24" s="483"/>
      <c r="W24" s="483"/>
      <c r="X24" s="483"/>
      <c r="Y24" s="483"/>
      <c r="Z24" s="483"/>
      <c r="AA24" s="483"/>
      <c r="AB24" s="483"/>
      <c r="AC24" s="483"/>
      <c r="AD24" s="483"/>
      <c r="AE24" s="483"/>
      <c r="AF24" s="483"/>
      <c r="AG24" s="483"/>
      <c r="AH24" s="483"/>
      <c r="AI24" s="483"/>
      <c r="AJ24" s="483"/>
      <c r="AK24" s="483"/>
      <c r="AL24" s="483"/>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483"/>
      <c r="BS24" s="483"/>
      <c r="BT24" s="483"/>
      <c r="BU24" s="483"/>
      <c r="BV24" s="483"/>
      <c r="BW24" s="483"/>
      <c r="BX24" s="483"/>
      <c r="BY24" s="483"/>
      <c r="BZ24" s="483"/>
      <c r="CA24" s="483"/>
      <c r="CB24" s="483"/>
      <c r="CC24" s="483"/>
      <c r="CD24" s="483"/>
      <c r="CE24" s="483"/>
      <c r="CF24" s="483"/>
      <c r="CG24" s="483"/>
      <c r="CH24" s="483"/>
      <c r="CI24" s="483"/>
      <c r="CJ24" s="483"/>
      <c r="CK24" s="483"/>
      <c r="CL24" s="483"/>
      <c r="CM24" s="483"/>
      <c r="CN24" s="483"/>
      <c r="CO24" s="483"/>
      <c r="CP24" s="483"/>
      <c r="CQ24" s="483"/>
      <c r="CR24" s="483"/>
      <c r="CS24" s="483"/>
      <c r="CT24" s="483"/>
      <c r="CU24" s="483"/>
      <c r="CV24" s="483"/>
      <c r="CW24" s="483"/>
      <c r="CX24" s="483"/>
      <c r="CY24" s="483"/>
      <c r="CZ24" s="483"/>
      <c r="DA24" s="483"/>
      <c r="DB24" s="483"/>
      <c r="DC24" s="483"/>
      <c r="DD24" s="483"/>
      <c r="DE24" s="483"/>
      <c r="DF24" s="483"/>
      <c r="DG24" s="483"/>
      <c r="DH24" s="483"/>
      <c r="DI24" s="483"/>
      <c r="DJ24" s="483"/>
      <c r="DK24" s="483"/>
      <c r="DL24" s="483"/>
      <c r="DM24" s="483"/>
      <c r="DN24" s="483"/>
      <c r="DO24" s="483"/>
      <c r="DP24" s="483"/>
      <c r="DQ24" s="483"/>
      <c r="DR24" s="483"/>
      <c r="DS24" s="483"/>
      <c r="DT24" s="483"/>
      <c r="DU24" s="483"/>
      <c r="DV24" s="483"/>
      <c r="DW24" s="483"/>
      <c r="DX24" s="483"/>
      <c r="DY24" s="483"/>
      <c r="DZ24" s="483"/>
      <c r="EA24" s="483"/>
      <c r="EB24" s="483"/>
      <c r="EC24" s="483"/>
      <c r="ED24" s="483"/>
      <c r="EE24" s="483"/>
      <c r="EF24" s="483"/>
      <c r="EG24" s="483"/>
      <c r="EH24" s="483"/>
      <c r="EI24" s="483"/>
      <c r="EJ24" s="483"/>
      <c r="EK24" s="483"/>
      <c r="EL24" s="483"/>
      <c r="EM24" s="483"/>
      <c r="EN24" s="483"/>
      <c r="EO24" s="483"/>
      <c r="EP24" s="483"/>
      <c r="EQ24" s="483"/>
      <c r="ER24" s="483"/>
      <c r="ES24" s="483"/>
      <c r="ET24" s="483"/>
      <c r="EU24" s="483"/>
      <c r="EV24" s="483"/>
      <c r="EW24" s="483"/>
      <c r="EX24" s="483"/>
      <c r="EY24" s="483"/>
      <c r="EZ24" s="483"/>
      <c r="FA24" s="483"/>
      <c r="FB24" s="483"/>
      <c r="FC24" s="483"/>
      <c r="FD24" s="483"/>
      <c r="FE24" s="483"/>
      <c r="FF24" s="483"/>
      <c r="FG24" s="483"/>
      <c r="FH24" s="483"/>
      <c r="FI24" s="483"/>
      <c r="FJ24" s="483"/>
      <c r="FK24" s="483"/>
      <c r="FL24" s="483"/>
      <c r="FM24" s="483"/>
      <c r="FN24" s="483"/>
      <c r="FO24" s="483"/>
      <c r="FP24" s="483"/>
      <c r="FQ24" s="483"/>
      <c r="FR24" s="483"/>
      <c r="FS24" s="483"/>
      <c r="FT24" s="483"/>
      <c r="FU24" s="483"/>
      <c r="FV24" s="483"/>
      <c r="FW24" s="483"/>
      <c r="FX24" s="483"/>
      <c r="FY24" s="483"/>
      <c r="FZ24" s="483"/>
      <c r="GA24" s="483"/>
      <c r="GB24" s="483"/>
      <c r="GC24" s="483"/>
      <c r="GD24" s="483"/>
      <c r="GE24" s="483"/>
      <c r="GF24" s="483"/>
      <c r="GG24" s="483"/>
      <c r="GH24" s="483"/>
      <c r="GI24" s="483"/>
      <c r="GJ24" s="483"/>
      <c r="GK24" s="483"/>
      <c r="GL24" s="483"/>
      <c r="GM24" s="483"/>
      <c r="GN24" s="483"/>
      <c r="GO24" s="483"/>
      <c r="GP24" s="483"/>
      <c r="GQ24" s="483"/>
      <c r="GR24" s="483"/>
      <c r="GS24" s="483"/>
      <c r="GT24" s="483"/>
      <c r="GU24" s="483"/>
      <c r="GV24" s="483"/>
      <c r="GW24" s="483"/>
      <c r="GX24" s="483"/>
      <c r="GY24" s="483"/>
      <c r="GZ24" s="483"/>
      <c r="HA24" s="483"/>
      <c r="HB24" s="483"/>
      <c r="HC24" s="483"/>
      <c r="HD24" s="483"/>
      <c r="HE24" s="483"/>
      <c r="HF24" s="483"/>
      <c r="HG24" s="483"/>
      <c r="HH24" s="483"/>
      <c r="HI24" s="483"/>
      <c r="HJ24" s="483"/>
      <c r="HK24" s="483"/>
      <c r="HL24" s="483"/>
      <c r="HM24" s="483"/>
      <c r="HN24" s="483"/>
      <c r="HO24" s="483"/>
      <c r="HP24" s="483"/>
      <c r="HQ24" s="483"/>
      <c r="HR24" s="483"/>
      <c r="HS24" s="483"/>
      <c r="HT24" s="483"/>
      <c r="HU24" s="483"/>
      <c r="HV24" s="483"/>
      <c r="HW24" s="483"/>
      <c r="HX24" s="483"/>
      <c r="HY24" s="483"/>
      <c r="HZ24" s="483"/>
      <c r="IA24" s="483"/>
      <c r="IB24" s="483"/>
      <c r="IC24" s="483"/>
      <c r="ID24" s="483"/>
      <c r="IE24" s="483"/>
    </row>
    <row r="25" spans="1:239" ht="15.75">
      <c r="A25" s="74"/>
      <c r="B25" s="252" t="s">
        <v>524</v>
      </c>
      <c r="C25" s="74" t="s">
        <v>545</v>
      </c>
      <c r="D25" s="21">
        <v>1.4</v>
      </c>
      <c r="E25" s="21">
        <f t="shared" ref="E25:E31" si="0">0.3+1.2+1</f>
        <v>2.5</v>
      </c>
      <c r="F25" s="490"/>
      <c r="G25" s="490">
        <v>1</v>
      </c>
      <c r="H25" s="490">
        <v>0.5</v>
      </c>
      <c r="I25" s="491">
        <f>4.369+0.428+2.542+1.05+0.44+2.05</f>
        <v>10.878999999999998</v>
      </c>
      <c r="J25" s="21">
        <v>5</v>
      </c>
      <c r="K25" s="21">
        <f t="shared" ref="K25:K31" si="1">(D25+H25+E25+0.3+I25)*J25*G25</f>
        <v>77.894999999999982</v>
      </c>
      <c r="L25" s="27"/>
      <c r="M25" s="488"/>
      <c r="N25" s="483"/>
      <c r="O25" s="483"/>
      <c r="P25" s="483"/>
      <c r="Q25" s="483"/>
      <c r="R25" s="483"/>
      <c r="S25" s="483"/>
      <c r="T25" s="483"/>
      <c r="U25" s="483"/>
      <c r="V25" s="483"/>
      <c r="W25" s="483"/>
      <c r="X25" s="483"/>
      <c r="Y25" s="483"/>
      <c r="Z25" s="483"/>
      <c r="AA25" s="483"/>
      <c r="AB25" s="483"/>
      <c r="AC25" s="483"/>
      <c r="AD25" s="483"/>
      <c r="AE25" s="483"/>
      <c r="AF25" s="483"/>
      <c r="AG25" s="483"/>
      <c r="AH25" s="483"/>
      <c r="AI25" s="483"/>
      <c r="AJ25" s="483"/>
      <c r="AK25" s="483"/>
      <c r="AL25" s="483"/>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483"/>
      <c r="BS25" s="483"/>
      <c r="BT25" s="483"/>
      <c r="BU25" s="483"/>
      <c r="BV25" s="483"/>
      <c r="BW25" s="483"/>
      <c r="BX25" s="483"/>
      <c r="BY25" s="483"/>
      <c r="BZ25" s="483"/>
      <c r="CA25" s="483"/>
      <c r="CB25" s="483"/>
      <c r="CC25" s="483"/>
      <c r="CD25" s="483"/>
      <c r="CE25" s="483"/>
      <c r="CF25" s="483"/>
      <c r="CG25" s="483"/>
      <c r="CH25" s="483"/>
      <c r="CI25" s="483"/>
      <c r="CJ25" s="483"/>
      <c r="CK25" s="483"/>
      <c r="CL25" s="483"/>
      <c r="CM25" s="483"/>
      <c r="CN25" s="483"/>
      <c r="CO25" s="483"/>
      <c r="CP25" s="483"/>
      <c r="CQ25" s="483"/>
      <c r="CR25" s="483"/>
      <c r="CS25" s="483"/>
      <c r="CT25" s="483"/>
      <c r="CU25" s="483"/>
      <c r="CV25" s="483"/>
      <c r="CW25" s="483"/>
      <c r="CX25" s="483"/>
      <c r="CY25" s="483"/>
      <c r="CZ25" s="483"/>
      <c r="DA25" s="483"/>
      <c r="DB25" s="483"/>
      <c r="DC25" s="483"/>
      <c r="DD25" s="483"/>
      <c r="DE25" s="483"/>
      <c r="DF25" s="483"/>
      <c r="DG25" s="483"/>
      <c r="DH25" s="483"/>
      <c r="DI25" s="483"/>
      <c r="DJ25" s="483"/>
      <c r="DK25" s="483"/>
      <c r="DL25" s="483"/>
      <c r="DM25" s="483"/>
      <c r="DN25" s="483"/>
      <c r="DO25" s="483"/>
      <c r="DP25" s="483"/>
      <c r="DQ25" s="483"/>
      <c r="DR25" s="483"/>
      <c r="DS25" s="483"/>
      <c r="DT25" s="483"/>
      <c r="DU25" s="483"/>
      <c r="DV25" s="483"/>
      <c r="DW25" s="483"/>
      <c r="DX25" s="483"/>
      <c r="DY25" s="483"/>
      <c r="DZ25" s="483"/>
      <c r="EA25" s="483"/>
      <c r="EB25" s="483"/>
      <c r="EC25" s="483"/>
      <c r="ED25" s="483"/>
      <c r="EE25" s="483"/>
      <c r="EF25" s="483"/>
      <c r="EG25" s="483"/>
      <c r="EH25" s="483"/>
      <c r="EI25" s="483"/>
      <c r="EJ25" s="483"/>
      <c r="EK25" s="483"/>
      <c r="EL25" s="483"/>
      <c r="EM25" s="483"/>
      <c r="EN25" s="483"/>
      <c r="EO25" s="483"/>
      <c r="EP25" s="483"/>
      <c r="EQ25" s="483"/>
      <c r="ER25" s="483"/>
      <c r="ES25" s="483"/>
      <c r="ET25" s="483"/>
      <c r="EU25" s="483"/>
      <c r="EV25" s="483"/>
      <c r="EW25" s="483"/>
      <c r="EX25" s="483"/>
      <c r="EY25" s="483"/>
      <c r="EZ25" s="483"/>
      <c r="FA25" s="483"/>
      <c r="FB25" s="483"/>
      <c r="FC25" s="483"/>
      <c r="FD25" s="483"/>
      <c r="FE25" s="483"/>
      <c r="FF25" s="483"/>
      <c r="FG25" s="483"/>
      <c r="FH25" s="483"/>
      <c r="FI25" s="483"/>
      <c r="FJ25" s="483"/>
      <c r="FK25" s="483"/>
      <c r="FL25" s="483"/>
      <c r="FM25" s="483"/>
      <c r="FN25" s="483"/>
      <c r="FO25" s="483"/>
      <c r="FP25" s="483"/>
      <c r="FQ25" s="483"/>
      <c r="FR25" s="483"/>
      <c r="FS25" s="483"/>
      <c r="FT25" s="483"/>
      <c r="FU25" s="483"/>
      <c r="FV25" s="483"/>
      <c r="FW25" s="483"/>
      <c r="FX25" s="483"/>
      <c r="FY25" s="483"/>
      <c r="FZ25" s="483"/>
      <c r="GA25" s="483"/>
      <c r="GB25" s="483"/>
      <c r="GC25" s="483"/>
      <c r="GD25" s="483"/>
      <c r="GE25" s="483"/>
      <c r="GF25" s="483"/>
      <c r="GG25" s="483"/>
      <c r="GH25" s="483"/>
      <c r="GI25" s="483"/>
      <c r="GJ25" s="483"/>
      <c r="GK25" s="483"/>
      <c r="GL25" s="483"/>
      <c r="GM25" s="483"/>
      <c r="GN25" s="483"/>
      <c r="GO25" s="483"/>
      <c r="GP25" s="483"/>
      <c r="GQ25" s="483"/>
      <c r="GR25" s="483"/>
      <c r="GS25" s="483"/>
      <c r="GT25" s="483"/>
      <c r="GU25" s="483"/>
      <c r="GV25" s="483"/>
      <c r="GW25" s="483"/>
      <c r="GX25" s="483"/>
      <c r="GY25" s="483"/>
      <c r="GZ25" s="483"/>
      <c r="HA25" s="483"/>
      <c r="HB25" s="483"/>
      <c r="HC25" s="483"/>
      <c r="HD25" s="483"/>
      <c r="HE25" s="483"/>
      <c r="HF25" s="483"/>
      <c r="HG25" s="483"/>
      <c r="HH25" s="483"/>
      <c r="HI25" s="483"/>
      <c r="HJ25" s="483"/>
      <c r="HK25" s="483"/>
      <c r="HL25" s="483"/>
      <c r="HM25" s="483"/>
      <c r="HN25" s="483"/>
      <c r="HO25" s="483"/>
      <c r="HP25" s="483"/>
      <c r="HQ25" s="483"/>
      <c r="HR25" s="483"/>
      <c r="HS25" s="483"/>
      <c r="HT25" s="483"/>
      <c r="HU25" s="483"/>
      <c r="HV25" s="483"/>
      <c r="HW25" s="483"/>
      <c r="HX25" s="483"/>
      <c r="HY25" s="483"/>
      <c r="HZ25" s="483"/>
      <c r="IA25" s="483"/>
      <c r="IB25" s="483"/>
      <c r="IC25" s="483"/>
      <c r="ID25" s="483"/>
      <c r="IE25" s="483"/>
    </row>
    <row r="26" spans="1:239" ht="15.75">
      <c r="A26" s="74"/>
      <c r="B26" s="252" t="s">
        <v>525</v>
      </c>
      <c r="C26" s="74" t="s">
        <v>545</v>
      </c>
      <c r="D26" s="21">
        <v>1.4</v>
      </c>
      <c r="E26" s="21">
        <f t="shared" si="0"/>
        <v>2.5</v>
      </c>
      <c r="F26" s="490"/>
      <c r="G26" s="490">
        <v>1</v>
      </c>
      <c r="H26" s="490">
        <v>0.5</v>
      </c>
      <c r="I26" s="491">
        <f>4.369+0.428+2.542+1.05+0.44+2.05*2</f>
        <v>12.928999999999998</v>
      </c>
      <c r="J26" s="21">
        <v>5</v>
      </c>
      <c r="K26" s="21">
        <f t="shared" si="1"/>
        <v>88.144999999999982</v>
      </c>
      <c r="L26" s="27"/>
      <c r="M26" s="488"/>
      <c r="N26" s="483"/>
      <c r="O26" s="483"/>
      <c r="P26" s="483"/>
      <c r="Q26" s="483"/>
      <c r="R26" s="483"/>
      <c r="S26" s="483"/>
      <c r="T26" s="483"/>
      <c r="U26" s="483"/>
      <c r="V26" s="483"/>
      <c r="W26" s="483"/>
      <c r="X26" s="483"/>
      <c r="Y26" s="483"/>
      <c r="Z26" s="483"/>
      <c r="AA26" s="483"/>
      <c r="AB26" s="483"/>
      <c r="AC26" s="483"/>
      <c r="AD26" s="483"/>
      <c r="AE26" s="483"/>
      <c r="AF26" s="483"/>
      <c r="AG26" s="483"/>
      <c r="AH26" s="483"/>
      <c r="AI26" s="483"/>
      <c r="AJ26" s="483"/>
      <c r="AK26" s="483"/>
      <c r="AL26" s="483"/>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483"/>
      <c r="BS26" s="483"/>
      <c r="BT26" s="483"/>
      <c r="BU26" s="483"/>
      <c r="BV26" s="483"/>
      <c r="BW26" s="483"/>
      <c r="BX26" s="483"/>
      <c r="BY26" s="483"/>
      <c r="BZ26" s="483"/>
      <c r="CA26" s="483"/>
      <c r="CB26" s="483"/>
      <c r="CC26" s="483"/>
      <c r="CD26" s="483"/>
      <c r="CE26" s="483"/>
      <c r="CF26" s="483"/>
      <c r="CG26" s="483"/>
      <c r="CH26" s="483"/>
      <c r="CI26" s="483"/>
      <c r="CJ26" s="483"/>
      <c r="CK26" s="483"/>
      <c r="CL26" s="483"/>
      <c r="CM26" s="483"/>
      <c r="CN26" s="483"/>
      <c r="CO26" s="483"/>
      <c r="CP26" s="483"/>
      <c r="CQ26" s="483"/>
      <c r="CR26" s="483"/>
      <c r="CS26" s="483"/>
      <c r="CT26" s="483"/>
      <c r="CU26" s="483"/>
      <c r="CV26" s="483"/>
      <c r="CW26" s="483"/>
      <c r="CX26" s="483"/>
      <c r="CY26" s="483"/>
      <c r="CZ26" s="483"/>
      <c r="DA26" s="483"/>
      <c r="DB26" s="483"/>
      <c r="DC26" s="483"/>
      <c r="DD26" s="483"/>
      <c r="DE26" s="483"/>
      <c r="DF26" s="483"/>
      <c r="DG26" s="483"/>
      <c r="DH26" s="483"/>
      <c r="DI26" s="483"/>
      <c r="DJ26" s="483"/>
      <c r="DK26" s="483"/>
      <c r="DL26" s="483"/>
      <c r="DM26" s="483"/>
      <c r="DN26" s="483"/>
      <c r="DO26" s="483"/>
      <c r="DP26" s="483"/>
      <c r="DQ26" s="483"/>
      <c r="DR26" s="483"/>
      <c r="DS26" s="483"/>
      <c r="DT26" s="483"/>
      <c r="DU26" s="483"/>
      <c r="DV26" s="483"/>
      <c r="DW26" s="483"/>
      <c r="DX26" s="483"/>
      <c r="DY26" s="483"/>
      <c r="DZ26" s="483"/>
      <c r="EA26" s="483"/>
      <c r="EB26" s="483"/>
      <c r="EC26" s="483"/>
      <c r="ED26" s="483"/>
      <c r="EE26" s="483"/>
      <c r="EF26" s="483"/>
      <c r="EG26" s="483"/>
      <c r="EH26" s="483"/>
      <c r="EI26" s="483"/>
      <c r="EJ26" s="483"/>
      <c r="EK26" s="483"/>
      <c r="EL26" s="483"/>
      <c r="EM26" s="483"/>
      <c r="EN26" s="483"/>
      <c r="EO26" s="483"/>
      <c r="EP26" s="483"/>
      <c r="EQ26" s="483"/>
      <c r="ER26" s="483"/>
      <c r="ES26" s="483"/>
      <c r="ET26" s="483"/>
      <c r="EU26" s="483"/>
      <c r="EV26" s="483"/>
      <c r="EW26" s="483"/>
      <c r="EX26" s="483"/>
      <c r="EY26" s="483"/>
      <c r="EZ26" s="483"/>
      <c r="FA26" s="483"/>
      <c r="FB26" s="483"/>
      <c r="FC26" s="483"/>
      <c r="FD26" s="483"/>
      <c r="FE26" s="483"/>
      <c r="FF26" s="483"/>
      <c r="FG26" s="483"/>
      <c r="FH26" s="483"/>
      <c r="FI26" s="483"/>
      <c r="FJ26" s="483"/>
      <c r="FK26" s="483"/>
      <c r="FL26" s="483"/>
      <c r="FM26" s="483"/>
      <c r="FN26" s="483"/>
      <c r="FO26" s="483"/>
      <c r="FP26" s="483"/>
      <c r="FQ26" s="483"/>
      <c r="FR26" s="483"/>
      <c r="FS26" s="483"/>
      <c r="FT26" s="483"/>
      <c r="FU26" s="483"/>
      <c r="FV26" s="483"/>
      <c r="FW26" s="483"/>
      <c r="FX26" s="483"/>
      <c r="FY26" s="483"/>
      <c r="FZ26" s="483"/>
      <c r="GA26" s="483"/>
      <c r="GB26" s="483"/>
      <c r="GC26" s="483"/>
      <c r="GD26" s="483"/>
      <c r="GE26" s="483"/>
      <c r="GF26" s="483"/>
      <c r="GG26" s="483"/>
      <c r="GH26" s="483"/>
      <c r="GI26" s="483"/>
      <c r="GJ26" s="483"/>
      <c r="GK26" s="483"/>
      <c r="GL26" s="483"/>
      <c r="GM26" s="483"/>
      <c r="GN26" s="483"/>
      <c r="GO26" s="483"/>
      <c r="GP26" s="483"/>
      <c r="GQ26" s="483"/>
      <c r="GR26" s="483"/>
      <c r="GS26" s="483"/>
      <c r="GT26" s="483"/>
      <c r="GU26" s="483"/>
      <c r="GV26" s="483"/>
      <c r="GW26" s="483"/>
      <c r="GX26" s="483"/>
      <c r="GY26" s="483"/>
      <c r="GZ26" s="483"/>
      <c r="HA26" s="483"/>
      <c r="HB26" s="483"/>
      <c r="HC26" s="483"/>
      <c r="HD26" s="483"/>
      <c r="HE26" s="483"/>
      <c r="HF26" s="483"/>
      <c r="HG26" s="483"/>
      <c r="HH26" s="483"/>
      <c r="HI26" s="483"/>
      <c r="HJ26" s="483"/>
      <c r="HK26" s="483"/>
      <c r="HL26" s="483"/>
      <c r="HM26" s="483"/>
      <c r="HN26" s="483"/>
      <c r="HO26" s="483"/>
      <c r="HP26" s="483"/>
      <c r="HQ26" s="483"/>
      <c r="HR26" s="483"/>
      <c r="HS26" s="483"/>
      <c r="HT26" s="483"/>
      <c r="HU26" s="483"/>
      <c r="HV26" s="483"/>
      <c r="HW26" s="483"/>
      <c r="HX26" s="483"/>
      <c r="HY26" s="483"/>
      <c r="HZ26" s="483"/>
      <c r="IA26" s="483"/>
      <c r="IB26" s="483"/>
      <c r="IC26" s="483"/>
      <c r="ID26" s="483"/>
      <c r="IE26" s="483"/>
    </row>
    <row r="27" spans="1:239" ht="15.75">
      <c r="A27" s="74"/>
      <c r="B27" s="252" t="s">
        <v>526</v>
      </c>
      <c r="C27" s="74" t="s">
        <v>545</v>
      </c>
      <c r="D27" s="21">
        <v>1.4</v>
      </c>
      <c r="E27" s="21">
        <f t="shared" si="0"/>
        <v>2.5</v>
      </c>
      <c r="F27" s="490"/>
      <c r="G27" s="490">
        <v>1</v>
      </c>
      <c r="H27" s="490">
        <v>0.5</v>
      </c>
      <c r="I27" s="491">
        <f>4.369+0.428+2.542+1.05+0.44+2.05*3</f>
        <v>14.978999999999999</v>
      </c>
      <c r="J27" s="21">
        <v>5</v>
      </c>
      <c r="K27" s="21">
        <f t="shared" si="1"/>
        <v>98.394999999999996</v>
      </c>
      <c r="L27" s="27"/>
      <c r="M27" s="488"/>
      <c r="N27" s="483"/>
      <c r="O27" s="483"/>
      <c r="P27" s="483"/>
      <c r="Q27" s="483"/>
      <c r="R27" s="483"/>
      <c r="S27" s="483"/>
      <c r="T27" s="483"/>
      <c r="U27" s="483"/>
      <c r="V27" s="483"/>
      <c r="W27" s="483"/>
      <c r="X27" s="483"/>
      <c r="Y27" s="483"/>
      <c r="Z27" s="483"/>
      <c r="AA27" s="483"/>
      <c r="AB27" s="483"/>
      <c r="AC27" s="483"/>
      <c r="AD27" s="483"/>
      <c r="AE27" s="483"/>
      <c r="AF27" s="483"/>
      <c r="AG27" s="483"/>
      <c r="AH27" s="483"/>
      <c r="AI27" s="483"/>
      <c r="AJ27" s="483"/>
      <c r="AK27" s="483"/>
      <c r="AL27" s="483"/>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483"/>
      <c r="BS27" s="483"/>
      <c r="BT27" s="483"/>
      <c r="BU27" s="483"/>
      <c r="BV27" s="483"/>
      <c r="BW27" s="483"/>
      <c r="BX27" s="483"/>
      <c r="BY27" s="483"/>
      <c r="BZ27" s="483"/>
      <c r="CA27" s="483"/>
      <c r="CB27" s="483"/>
      <c r="CC27" s="483"/>
      <c r="CD27" s="483"/>
      <c r="CE27" s="483"/>
      <c r="CF27" s="483"/>
      <c r="CG27" s="483"/>
      <c r="CH27" s="483"/>
      <c r="CI27" s="483"/>
      <c r="CJ27" s="483"/>
      <c r="CK27" s="483"/>
      <c r="CL27" s="483"/>
      <c r="CM27" s="483"/>
      <c r="CN27" s="483"/>
      <c r="CO27" s="483"/>
      <c r="CP27" s="483"/>
      <c r="CQ27" s="483"/>
      <c r="CR27" s="483"/>
      <c r="CS27" s="483"/>
      <c r="CT27" s="483"/>
      <c r="CU27" s="483"/>
      <c r="CV27" s="483"/>
      <c r="CW27" s="483"/>
      <c r="CX27" s="483"/>
      <c r="CY27" s="483"/>
      <c r="CZ27" s="483"/>
      <c r="DA27" s="483"/>
      <c r="DB27" s="483"/>
      <c r="DC27" s="483"/>
      <c r="DD27" s="483"/>
      <c r="DE27" s="483"/>
      <c r="DF27" s="483"/>
      <c r="DG27" s="483"/>
      <c r="DH27" s="483"/>
      <c r="DI27" s="483"/>
      <c r="DJ27" s="483"/>
      <c r="DK27" s="483"/>
      <c r="DL27" s="483"/>
      <c r="DM27" s="483"/>
      <c r="DN27" s="483"/>
      <c r="DO27" s="483"/>
      <c r="DP27" s="483"/>
      <c r="DQ27" s="483"/>
      <c r="DR27" s="483"/>
      <c r="DS27" s="483"/>
      <c r="DT27" s="483"/>
      <c r="DU27" s="483"/>
      <c r="DV27" s="483"/>
      <c r="DW27" s="483"/>
      <c r="DX27" s="483"/>
      <c r="DY27" s="483"/>
      <c r="DZ27" s="483"/>
      <c r="EA27" s="483"/>
      <c r="EB27" s="483"/>
      <c r="EC27" s="483"/>
      <c r="ED27" s="483"/>
      <c r="EE27" s="483"/>
      <c r="EF27" s="483"/>
      <c r="EG27" s="483"/>
      <c r="EH27" s="483"/>
      <c r="EI27" s="483"/>
      <c r="EJ27" s="483"/>
      <c r="EK27" s="483"/>
      <c r="EL27" s="483"/>
      <c r="EM27" s="483"/>
      <c r="EN27" s="483"/>
      <c r="EO27" s="483"/>
      <c r="EP27" s="483"/>
      <c r="EQ27" s="483"/>
      <c r="ER27" s="483"/>
      <c r="ES27" s="483"/>
      <c r="ET27" s="483"/>
      <c r="EU27" s="483"/>
      <c r="EV27" s="483"/>
      <c r="EW27" s="483"/>
      <c r="EX27" s="483"/>
      <c r="EY27" s="483"/>
      <c r="EZ27" s="483"/>
      <c r="FA27" s="483"/>
      <c r="FB27" s="483"/>
      <c r="FC27" s="483"/>
      <c r="FD27" s="483"/>
      <c r="FE27" s="483"/>
      <c r="FF27" s="483"/>
      <c r="FG27" s="483"/>
      <c r="FH27" s="483"/>
      <c r="FI27" s="483"/>
      <c r="FJ27" s="483"/>
      <c r="FK27" s="483"/>
      <c r="FL27" s="483"/>
      <c r="FM27" s="483"/>
      <c r="FN27" s="483"/>
      <c r="FO27" s="483"/>
      <c r="FP27" s="483"/>
      <c r="FQ27" s="483"/>
      <c r="FR27" s="483"/>
      <c r="FS27" s="483"/>
      <c r="FT27" s="483"/>
      <c r="FU27" s="483"/>
      <c r="FV27" s="483"/>
      <c r="FW27" s="483"/>
      <c r="FX27" s="483"/>
      <c r="FY27" s="483"/>
      <c r="FZ27" s="483"/>
      <c r="GA27" s="483"/>
      <c r="GB27" s="483"/>
      <c r="GC27" s="483"/>
      <c r="GD27" s="483"/>
      <c r="GE27" s="483"/>
      <c r="GF27" s="483"/>
      <c r="GG27" s="483"/>
      <c r="GH27" s="483"/>
      <c r="GI27" s="483"/>
      <c r="GJ27" s="483"/>
      <c r="GK27" s="483"/>
      <c r="GL27" s="483"/>
      <c r="GM27" s="483"/>
      <c r="GN27" s="483"/>
      <c r="GO27" s="483"/>
      <c r="GP27" s="483"/>
      <c r="GQ27" s="483"/>
      <c r="GR27" s="483"/>
      <c r="GS27" s="483"/>
      <c r="GT27" s="483"/>
      <c r="GU27" s="483"/>
      <c r="GV27" s="483"/>
      <c r="GW27" s="483"/>
      <c r="GX27" s="483"/>
      <c r="GY27" s="483"/>
      <c r="GZ27" s="483"/>
      <c r="HA27" s="483"/>
      <c r="HB27" s="483"/>
      <c r="HC27" s="483"/>
      <c r="HD27" s="483"/>
      <c r="HE27" s="483"/>
      <c r="HF27" s="483"/>
      <c r="HG27" s="483"/>
      <c r="HH27" s="483"/>
      <c r="HI27" s="483"/>
      <c r="HJ27" s="483"/>
      <c r="HK27" s="483"/>
      <c r="HL27" s="483"/>
      <c r="HM27" s="483"/>
      <c r="HN27" s="483"/>
      <c r="HO27" s="483"/>
      <c r="HP27" s="483"/>
      <c r="HQ27" s="483"/>
      <c r="HR27" s="483"/>
      <c r="HS27" s="483"/>
      <c r="HT27" s="483"/>
      <c r="HU27" s="483"/>
      <c r="HV27" s="483"/>
      <c r="HW27" s="483"/>
      <c r="HX27" s="483"/>
      <c r="HY27" s="483"/>
      <c r="HZ27" s="483"/>
      <c r="IA27" s="483"/>
      <c r="IB27" s="483"/>
      <c r="IC27" s="483"/>
      <c r="ID27" s="483"/>
      <c r="IE27" s="483"/>
    </row>
    <row r="28" spans="1:239" ht="15.75">
      <c r="A28" s="74"/>
      <c r="B28" s="252" t="s">
        <v>527</v>
      </c>
      <c r="C28" s="74" t="s">
        <v>545</v>
      </c>
      <c r="D28" s="21">
        <v>1.4</v>
      </c>
      <c r="E28" s="21">
        <f t="shared" si="0"/>
        <v>2.5</v>
      </c>
      <c r="F28" s="490"/>
      <c r="G28" s="490">
        <v>1</v>
      </c>
      <c r="H28" s="490">
        <v>0.5</v>
      </c>
      <c r="I28" s="491">
        <f>4.369+1.144+4.454+1.05+0.44</f>
        <v>11.456999999999999</v>
      </c>
      <c r="J28" s="21">
        <v>5</v>
      </c>
      <c r="K28" s="21">
        <f t="shared" si="1"/>
        <v>80.784999999999997</v>
      </c>
      <c r="L28" s="27"/>
      <c r="M28" s="488"/>
      <c r="N28" s="483"/>
      <c r="O28" s="483"/>
      <c r="P28" s="483"/>
      <c r="Q28" s="483"/>
      <c r="R28" s="483"/>
      <c r="S28" s="483"/>
      <c r="T28" s="483"/>
      <c r="U28" s="483"/>
      <c r="V28" s="483"/>
      <c r="W28" s="483"/>
      <c r="X28" s="483"/>
      <c r="Y28" s="483"/>
      <c r="Z28" s="483"/>
      <c r="AA28" s="483"/>
      <c r="AB28" s="483"/>
      <c r="AC28" s="483"/>
      <c r="AD28" s="483"/>
      <c r="AE28" s="483"/>
      <c r="AF28" s="483"/>
      <c r="AG28" s="483"/>
      <c r="AH28" s="483"/>
      <c r="AI28" s="483"/>
      <c r="AJ28" s="483"/>
      <c r="AK28" s="483"/>
      <c r="AL28" s="483"/>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483"/>
      <c r="BS28" s="483"/>
      <c r="BT28" s="483"/>
      <c r="BU28" s="483"/>
      <c r="BV28" s="483"/>
      <c r="BW28" s="483"/>
      <c r="BX28" s="483"/>
      <c r="BY28" s="483"/>
      <c r="BZ28" s="483"/>
      <c r="CA28" s="483"/>
      <c r="CB28" s="483"/>
      <c r="CC28" s="483"/>
      <c r="CD28" s="483"/>
      <c r="CE28" s="483"/>
      <c r="CF28" s="483"/>
      <c r="CG28" s="483"/>
      <c r="CH28" s="483"/>
      <c r="CI28" s="483"/>
      <c r="CJ28" s="483"/>
      <c r="CK28" s="483"/>
      <c r="CL28" s="483"/>
      <c r="CM28" s="483"/>
      <c r="CN28" s="483"/>
      <c r="CO28" s="483"/>
      <c r="CP28" s="483"/>
      <c r="CQ28" s="483"/>
      <c r="CR28" s="483"/>
      <c r="CS28" s="483"/>
      <c r="CT28" s="483"/>
      <c r="CU28" s="483"/>
      <c r="CV28" s="483"/>
      <c r="CW28" s="483"/>
      <c r="CX28" s="483"/>
      <c r="CY28" s="483"/>
      <c r="CZ28" s="483"/>
      <c r="DA28" s="483"/>
      <c r="DB28" s="483"/>
      <c r="DC28" s="483"/>
      <c r="DD28" s="483"/>
      <c r="DE28" s="483"/>
      <c r="DF28" s="483"/>
      <c r="DG28" s="483"/>
      <c r="DH28" s="483"/>
      <c r="DI28" s="483"/>
      <c r="DJ28" s="483"/>
      <c r="DK28" s="483"/>
      <c r="DL28" s="483"/>
      <c r="DM28" s="483"/>
      <c r="DN28" s="483"/>
      <c r="DO28" s="483"/>
      <c r="DP28" s="483"/>
      <c r="DQ28" s="483"/>
      <c r="DR28" s="483"/>
      <c r="DS28" s="483"/>
      <c r="DT28" s="483"/>
      <c r="DU28" s="483"/>
      <c r="DV28" s="483"/>
      <c r="DW28" s="483"/>
      <c r="DX28" s="483"/>
      <c r="DY28" s="483"/>
      <c r="DZ28" s="483"/>
      <c r="EA28" s="483"/>
      <c r="EB28" s="483"/>
      <c r="EC28" s="483"/>
      <c r="ED28" s="483"/>
      <c r="EE28" s="483"/>
      <c r="EF28" s="483"/>
      <c r="EG28" s="483"/>
      <c r="EH28" s="483"/>
      <c r="EI28" s="483"/>
      <c r="EJ28" s="483"/>
      <c r="EK28" s="483"/>
      <c r="EL28" s="483"/>
      <c r="EM28" s="483"/>
      <c r="EN28" s="483"/>
      <c r="EO28" s="483"/>
      <c r="EP28" s="483"/>
      <c r="EQ28" s="483"/>
      <c r="ER28" s="483"/>
      <c r="ES28" s="483"/>
      <c r="ET28" s="483"/>
      <c r="EU28" s="483"/>
      <c r="EV28" s="483"/>
      <c r="EW28" s="483"/>
      <c r="EX28" s="483"/>
      <c r="EY28" s="483"/>
      <c r="EZ28" s="483"/>
      <c r="FA28" s="483"/>
      <c r="FB28" s="483"/>
      <c r="FC28" s="483"/>
      <c r="FD28" s="483"/>
      <c r="FE28" s="483"/>
      <c r="FF28" s="483"/>
      <c r="FG28" s="483"/>
      <c r="FH28" s="483"/>
      <c r="FI28" s="483"/>
      <c r="FJ28" s="483"/>
      <c r="FK28" s="483"/>
      <c r="FL28" s="483"/>
      <c r="FM28" s="483"/>
      <c r="FN28" s="483"/>
      <c r="FO28" s="483"/>
      <c r="FP28" s="483"/>
      <c r="FQ28" s="483"/>
      <c r="FR28" s="483"/>
      <c r="FS28" s="483"/>
      <c r="FT28" s="483"/>
      <c r="FU28" s="483"/>
      <c r="FV28" s="483"/>
      <c r="FW28" s="483"/>
      <c r="FX28" s="483"/>
      <c r="FY28" s="483"/>
      <c r="FZ28" s="483"/>
      <c r="GA28" s="483"/>
      <c r="GB28" s="483"/>
      <c r="GC28" s="483"/>
      <c r="GD28" s="483"/>
      <c r="GE28" s="483"/>
      <c r="GF28" s="483"/>
      <c r="GG28" s="483"/>
      <c r="GH28" s="483"/>
      <c r="GI28" s="483"/>
      <c r="GJ28" s="483"/>
      <c r="GK28" s="483"/>
      <c r="GL28" s="483"/>
      <c r="GM28" s="483"/>
      <c r="GN28" s="483"/>
      <c r="GO28" s="483"/>
      <c r="GP28" s="483"/>
      <c r="GQ28" s="483"/>
      <c r="GR28" s="483"/>
      <c r="GS28" s="483"/>
      <c r="GT28" s="483"/>
      <c r="GU28" s="483"/>
      <c r="GV28" s="483"/>
      <c r="GW28" s="483"/>
      <c r="GX28" s="483"/>
      <c r="GY28" s="483"/>
      <c r="GZ28" s="483"/>
      <c r="HA28" s="483"/>
      <c r="HB28" s="483"/>
      <c r="HC28" s="483"/>
      <c r="HD28" s="483"/>
      <c r="HE28" s="483"/>
      <c r="HF28" s="483"/>
      <c r="HG28" s="483"/>
      <c r="HH28" s="483"/>
      <c r="HI28" s="483"/>
      <c r="HJ28" s="483"/>
      <c r="HK28" s="483"/>
      <c r="HL28" s="483"/>
      <c r="HM28" s="483"/>
      <c r="HN28" s="483"/>
      <c r="HO28" s="483"/>
      <c r="HP28" s="483"/>
      <c r="HQ28" s="483"/>
      <c r="HR28" s="483"/>
      <c r="HS28" s="483"/>
      <c r="HT28" s="483"/>
      <c r="HU28" s="483"/>
      <c r="HV28" s="483"/>
      <c r="HW28" s="483"/>
      <c r="HX28" s="483"/>
      <c r="HY28" s="483"/>
      <c r="HZ28" s="483"/>
      <c r="IA28" s="483"/>
      <c r="IB28" s="483"/>
      <c r="IC28" s="483"/>
      <c r="ID28" s="483"/>
      <c r="IE28" s="483"/>
    </row>
    <row r="29" spans="1:239" ht="15.75">
      <c r="A29" s="74"/>
      <c r="B29" s="252" t="s">
        <v>528</v>
      </c>
      <c r="C29" s="74" t="s">
        <v>545</v>
      </c>
      <c r="D29" s="21">
        <v>1.4</v>
      </c>
      <c r="E29" s="21">
        <f t="shared" si="0"/>
        <v>2.5</v>
      </c>
      <c r="F29" s="490"/>
      <c r="G29" s="490">
        <v>1</v>
      </c>
      <c r="H29" s="490">
        <v>0.5</v>
      </c>
      <c r="I29" s="491">
        <f>4.369+1.144+4.454+1.05+0.44+2.05</f>
        <v>13.506999999999998</v>
      </c>
      <c r="J29" s="21">
        <v>5</v>
      </c>
      <c r="K29" s="21">
        <f t="shared" si="1"/>
        <v>91.034999999999982</v>
      </c>
      <c r="L29" s="27"/>
      <c r="M29" s="488"/>
      <c r="N29" s="483"/>
      <c r="O29" s="483"/>
      <c r="P29" s="483"/>
      <c r="Q29" s="483"/>
      <c r="R29" s="483"/>
      <c r="S29" s="483"/>
      <c r="T29" s="483"/>
      <c r="U29" s="483"/>
      <c r="V29" s="483"/>
      <c r="W29" s="483"/>
      <c r="X29" s="483"/>
      <c r="Y29" s="483"/>
      <c r="Z29" s="483"/>
      <c r="AA29" s="483"/>
      <c r="AB29" s="483"/>
      <c r="AC29" s="483"/>
      <c r="AD29" s="483"/>
      <c r="AE29" s="483"/>
      <c r="AF29" s="483"/>
      <c r="AG29" s="483"/>
      <c r="AH29" s="483"/>
      <c r="AI29" s="483"/>
      <c r="AJ29" s="483"/>
      <c r="AK29" s="483"/>
      <c r="AL29" s="483"/>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483"/>
      <c r="BS29" s="483"/>
      <c r="BT29" s="483"/>
      <c r="BU29" s="483"/>
      <c r="BV29" s="483"/>
      <c r="BW29" s="483"/>
      <c r="BX29" s="483"/>
      <c r="BY29" s="483"/>
      <c r="BZ29" s="483"/>
      <c r="CA29" s="483"/>
      <c r="CB29" s="483"/>
      <c r="CC29" s="483"/>
      <c r="CD29" s="483"/>
      <c r="CE29" s="483"/>
      <c r="CF29" s="483"/>
      <c r="CG29" s="483"/>
      <c r="CH29" s="483"/>
      <c r="CI29" s="483"/>
      <c r="CJ29" s="483"/>
      <c r="CK29" s="483"/>
      <c r="CL29" s="483"/>
      <c r="CM29" s="483"/>
      <c r="CN29" s="483"/>
      <c r="CO29" s="483"/>
      <c r="CP29" s="483"/>
      <c r="CQ29" s="483"/>
      <c r="CR29" s="483"/>
      <c r="CS29" s="483"/>
      <c r="CT29" s="483"/>
      <c r="CU29" s="483"/>
      <c r="CV29" s="483"/>
      <c r="CW29" s="483"/>
      <c r="CX29" s="483"/>
      <c r="CY29" s="483"/>
      <c r="CZ29" s="483"/>
      <c r="DA29" s="483"/>
      <c r="DB29" s="483"/>
      <c r="DC29" s="483"/>
      <c r="DD29" s="483"/>
      <c r="DE29" s="483"/>
      <c r="DF29" s="483"/>
      <c r="DG29" s="483"/>
      <c r="DH29" s="483"/>
      <c r="DI29" s="483"/>
      <c r="DJ29" s="483"/>
      <c r="DK29" s="483"/>
      <c r="DL29" s="483"/>
      <c r="DM29" s="483"/>
      <c r="DN29" s="483"/>
      <c r="DO29" s="483"/>
      <c r="DP29" s="483"/>
      <c r="DQ29" s="483"/>
      <c r="DR29" s="483"/>
      <c r="DS29" s="483"/>
      <c r="DT29" s="483"/>
      <c r="DU29" s="483"/>
      <c r="DV29" s="483"/>
      <c r="DW29" s="483"/>
      <c r="DX29" s="483"/>
      <c r="DY29" s="483"/>
      <c r="DZ29" s="483"/>
      <c r="EA29" s="483"/>
      <c r="EB29" s="483"/>
      <c r="EC29" s="483"/>
      <c r="ED29" s="483"/>
      <c r="EE29" s="483"/>
      <c r="EF29" s="483"/>
      <c r="EG29" s="483"/>
      <c r="EH29" s="483"/>
      <c r="EI29" s="483"/>
      <c r="EJ29" s="483"/>
      <c r="EK29" s="483"/>
      <c r="EL29" s="483"/>
      <c r="EM29" s="483"/>
      <c r="EN29" s="483"/>
      <c r="EO29" s="483"/>
      <c r="EP29" s="483"/>
      <c r="EQ29" s="483"/>
      <c r="ER29" s="483"/>
      <c r="ES29" s="483"/>
      <c r="ET29" s="483"/>
      <c r="EU29" s="483"/>
      <c r="EV29" s="483"/>
      <c r="EW29" s="483"/>
      <c r="EX29" s="483"/>
      <c r="EY29" s="483"/>
      <c r="EZ29" s="483"/>
      <c r="FA29" s="483"/>
      <c r="FB29" s="483"/>
      <c r="FC29" s="483"/>
      <c r="FD29" s="483"/>
      <c r="FE29" s="483"/>
      <c r="FF29" s="483"/>
      <c r="FG29" s="483"/>
      <c r="FH29" s="483"/>
      <c r="FI29" s="483"/>
      <c r="FJ29" s="483"/>
      <c r="FK29" s="483"/>
      <c r="FL29" s="483"/>
      <c r="FM29" s="483"/>
      <c r="FN29" s="483"/>
      <c r="FO29" s="483"/>
      <c r="FP29" s="483"/>
      <c r="FQ29" s="483"/>
      <c r="FR29" s="483"/>
      <c r="FS29" s="483"/>
      <c r="FT29" s="483"/>
      <c r="FU29" s="483"/>
      <c r="FV29" s="483"/>
      <c r="FW29" s="483"/>
      <c r="FX29" s="483"/>
      <c r="FY29" s="483"/>
      <c r="FZ29" s="483"/>
      <c r="GA29" s="483"/>
      <c r="GB29" s="483"/>
      <c r="GC29" s="483"/>
      <c r="GD29" s="483"/>
      <c r="GE29" s="483"/>
      <c r="GF29" s="483"/>
      <c r="GG29" s="483"/>
      <c r="GH29" s="483"/>
      <c r="GI29" s="483"/>
      <c r="GJ29" s="483"/>
      <c r="GK29" s="483"/>
      <c r="GL29" s="483"/>
      <c r="GM29" s="483"/>
      <c r="GN29" s="483"/>
      <c r="GO29" s="483"/>
      <c r="GP29" s="483"/>
      <c r="GQ29" s="483"/>
      <c r="GR29" s="483"/>
      <c r="GS29" s="483"/>
      <c r="GT29" s="483"/>
      <c r="GU29" s="483"/>
      <c r="GV29" s="483"/>
      <c r="GW29" s="483"/>
      <c r="GX29" s="483"/>
      <c r="GY29" s="483"/>
      <c r="GZ29" s="483"/>
      <c r="HA29" s="483"/>
      <c r="HB29" s="483"/>
      <c r="HC29" s="483"/>
      <c r="HD29" s="483"/>
      <c r="HE29" s="483"/>
      <c r="HF29" s="483"/>
      <c r="HG29" s="483"/>
      <c r="HH29" s="483"/>
      <c r="HI29" s="483"/>
      <c r="HJ29" s="483"/>
      <c r="HK29" s="483"/>
      <c r="HL29" s="483"/>
      <c r="HM29" s="483"/>
      <c r="HN29" s="483"/>
      <c r="HO29" s="483"/>
      <c r="HP29" s="483"/>
      <c r="HQ29" s="483"/>
      <c r="HR29" s="483"/>
      <c r="HS29" s="483"/>
      <c r="HT29" s="483"/>
      <c r="HU29" s="483"/>
      <c r="HV29" s="483"/>
      <c r="HW29" s="483"/>
      <c r="HX29" s="483"/>
      <c r="HY29" s="483"/>
      <c r="HZ29" s="483"/>
      <c r="IA29" s="483"/>
      <c r="IB29" s="483"/>
      <c r="IC29" s="483"/>
      <c r="ID29" s="483"/>
      <c r="IE29" s="483"/>
    </row>
    <row r="30" spans="1:239" ht="15.75">
      <c r="A30" s="74"/>
      <c r="B30" s="252" t="s">
        <v>529</v>
      </c>
      <c r="C30" s="74" t="s">
        <v>545</v>
      </c>
      <c r="D30" s="21">
        <v>1.4</v>
      </c>
      <c r="E30" s="21">
        <f t="shared" si="0"/>
        <v>2.5</v>
      </c>
      <c r="F30" s="490"/>
      <c r="G30" s="490">
        <v>1</v>
      </c>
      <c r="H30" s="490">
        <v>0.5</v>
      </c>
      <c r="I30" s="491">
        <f>4.369+1.144+4.454+1.05+0.44+2.05*2</f>
        <v>15.556999999999999</v>
      </c>
      <c r="J30" s="21">
        <v>5</v>
      </c>
      <c r="K30" s="21">
        <f t="shared" si="1"/>
        <v>101.285</v>
      </c>
      <c r="L30" s="27"/>
      <c r="M30" s="492"/>
      <c r="N30" s="483"/>
      <c r="O30" s="483"/>
      <c r="P30" s="483"/>
      <c r="Q30" s="483"/>
      <c r="R30" s="483"/>
      <c r="S30" s="483"/>
      <c r="T30" s="483"/>
      <c r="U30" s="483"/>
      <c r="V30" s="483"/>
      <c r="W30" s="483"/>
      <c r="X30" s="483"/>
      <c r="Y30" s="483"/>
      <c r="Z30" s="483"/>
      <c r="AA30" s="483"/>
      <c r="AB30" s="483"/>
      <c r="AC30" s="483"/>
      <c r="AD30" s="483"/>
      <c r="AE30" s="483"/>
      <c r="AF30" s="483"/>
      <c r="AG30" s="483"/>
      <c r="AH30" s="483"/>
      <c r="AI30" s="483"/>
      <c r="AJ30" s="483"/>
      <c r="AK30" s="483"/>
      <c r="AL30" s="483"/>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483"/>
      <c r="BS30" s="483"/>
      <c r="BT30" s="483"/>
      <c r="BU30" s="483"/>
      <c r="BV30" s="483"/>
      <c r="BW30" s="483"/>
      <c r="BX30" s="483"/>
      <c r="BY30" s="483"/>
      <c r="BZ30" s="483"/>
      <c r="CA30" s="483"/>
      <c r="CB30" s="483"/>
      <c r="CC30" s="483"/>
      <c r="CD30" s="483"/>
      <c r="CE30" s="483"/>
      <c r="CF30" s="483"/>
      <c r="CG30" s="483"/>
      <c r="CH30" s="483"/>
      <c r="CI30" s="483"/>
      <c r="CJ30" s="483"/>
      <c r="CK30" s="483"/>
      <c r="CL30" s="483"/>
      <c r="CM30" s="483"/>
      <c r="CN30" s="483"/>
      <c r="CO30" s="483"/>
      <c r="CP30" s="483"/>
      <c r="CQ30" s="483"/>
      <c r="CR30" s="483"/>
      <c r="CS30" s="483"/>
      <c r="CT30" s="483"/>
      <c r="CU30" s="483"/>
      <c r="CV30" s="483"/>
      <c r="CW30" s="483"/>
      <c r="CX30" s="483"/>
      <c r="CY30" s="483"/>
      <c r="CZ30" s="483"/>
      <c r="DA30" s="483"/>
      <c r="DB30" s="483"/>
      <c r="DC30" s="483"/>
      <c r="DD30" s="483"/>
      <c r="DE30" s="483"/>
      <c r="DF30" s="483"/>
      <c r="DG30" s="483"/>
      <c r="DH30" s="483"/>
      <c r="DI30" s="483"/>
      <c r="DJ30" s="483"/>
      <c r="DK30" s="483"/>
      <c r="DL30" s="483"/>
      <c r="DM30" s="483"/>
      <c r="DN30" s="483"/>
      <c r="DO30" s="483"/>
      <c r="DP30" s="483"/>
      <c r="DQ30" s="483"/>
      <c r="DR30" s="483"/>
      <c r="DS30" s="483"/>
      <c r="DT30" s="483"/>
      <c r="DU30" s="483"/>
      <c r="DV30" s="483"/>
      <c r="DW30" s="483"/>
      <c r="DX30" s="483"/>
      <c r="DY30" s="483"/>
      <c r="DZ30" s="483"/>
      <c r="EA30" s="483"/>
      <c r="EB30" s="483"/>
      <c r="EC30" s="483"/>
      <c r="ED30" s="483"/>
      <c r="EE30" s="483"/>
      <c r="EF30" s="483"/>
      <c r="EG30" s="483"/>
      <c r="EH30" s="483"/>
      <c r="EI30" s="483"/>
      <c r="EJ30" s="483"/>
      <c r="EK30" s="483"/>
      <c r="EL30" s="483"/>
      <c r="EM30" s="483"/>
      <c r="EN30" s="483"/>
      <c r="EO30" s="483"/>
      <c r="EP30" s="483"/>
      <c r="EQ30" s="483"/>
      <c r="ER30" s="483"/>
      <c r="ES30" s="483"/>
      <c r="ET30" s="483"/>
      <c r="EU30" s="483"/>
      <c r="EV30" s="483"/>
      <c r="EW30" s="483"/>
      <c r="EX30" s="483"/>
      <c r="EY30" s="483"/>
      <c r="EZ30" s="483"/>
      <c r="FA30" s="483"/>
      <c r="FB30" s="483"/>
      <c r="FC30" s="483"/>
      <c r="FD30" s="483"/>
      <c r="FE30" s="483"/>
      <c r="FF30" s="483"/>
      <c r="FG30" s="483"/>
      <c r="FH30" s="483"/>
      <c r="FI30" s="483"/>
      <c r="FJ30" s="483"/>
      <c r="FK30" s="483"/>
      <c r="FL30" s="483"/>
      <c r="FM30" s="483"/>
      <c r="FN30" s="483"/>
      <c r="FO30" s="483"/>
      <c r="FP30" s="483"/>
      <c r="FQ30" s="483"/>
      <c r="FR30" s="483"/>
      <c r="FS30" s="483"/>
      <c r="FT30" s="483"/>
      <c r="FU30" s="483"/>
      <c r="FV30" s="483"/>
      <c r="FW30" s="483"/>
      <c r="FX30" s="483"/>
      <c r="FY30" s="483"/>
      <c r="FZ30" s="483"/>
      <c r="GA30" s="483"/>
      <c r="GB30" s="483"/>
      <c r="GC30" s="483"/>
      <c r="GD30" s="483"/>
      <c r="GE30" s="483"/>
      <c r="GF30" s="483"/>
      <c r="GG30" s="483"/>
      <c r="GH30" s="483"/>
      <c r="GI30" s="483"/>
      <c r="GJ30" s="483"/>
      <c r="GK30" s="483"/>
      <c r="GL30" s="483"/>
      <c r="GM30" s="483"/>
      <c r="GN30" s="483"/>
      <c r="GO30" s="483"/>
      <c r="GP30" s="483"/>
      <c r="GQ30" s="483"/>
      <c r="GR30" s="483"/>
      <c r="GS30" s="483"/>
      <c r="GT30" s="483"/>
      <c r="GU30" s="483"/>
      <c r="GV30" s="483"/>
      <c r="GW30" s="483"/>
      <c r="GX30" s="483"/>
      <c r="GY30" s="483"/>
      <c r="GZ30" s="483"/>
      <c r="HA30" s="483"/>
      <c r="HB30" s="483"/>
      <c r="HC30" s="483"/>
      <c r="HD30" s="483"/>
      <c r="HE30" s="483"/>
      <c r="HF30" s="483"/>
      <c r="HG30" s="483"/>
      <c r="HH30" s="483"/>
      <c r="HI30" s="483"/>
      <c r="HJ30" s="483"/>
      <c r="HK30" s="483"/>
      <c r="HL30" s="483"/>
      <c r="HM30" s="483"/>
      <c r="HN30" s="483"/>
      <c r="HO30" s="483"/>
      <c r="HP30" s="483"/>
      <c r="HQ30" s="483"/>
      <c r="HR30" s="483"/>
      <c r="HS30" s="483"/>
      <c r="HT30" s="483"/>
      <c r="HU30" s="483"/>
      <c r="HV30" s="483"/>
      <c r="HW30" s="483"/>
      <c r="HX30" s="483"/>
      <c r="HY30" s="483"/>
      <c r="HZ30" s="483"/>
      <c r="IA30" s="483"/>
      <c r="IB30" s="483"/>
      <c r="IC30" s="483"/>
      <c r="ID30" s="483"/>
      <c r="IE30" s="483"/>
    </row>
    <row r="31" spans="1:239" ht="15.75">
      <c r="A31" s="74"/>
      <c r="B31" s="252" t="s">
        <v>530</v>
      </c>
      <c r="C31" s="74" t="s">
        <v>545</v>
      </c>
      <c r="D31" s="21">
        <v>1.4</v>
      </c>
      <c r="E31" s="21">
        <f t="shared" si="0"/>
        <v>2.5</v>
      </c>
      <c r="F31" s="490"/>
      <c r="G31" s="490">
        <v>1</v>
      </c>
      <c r="H31" s="490">
        <v>0.5</v>
      </c>
      <c r="I31" s="491">
        <f>4.369+1.144+4.454+1.05+0.44+2.05*3</f>
        <v>17.606999999999999</v>
      </c>
      <c r="J31" s="21">
        <v>5</v>
      </c>
      <c r="K31" s="21">
        <f t="shared" si="1"/>
        <v>111.535</v>
      </c>
      <c r="L31" s="27"/>
      <c r="M31" s="492"/>
      <c r="N31" s="483"/>
      <c r="O31" s="483"/>
      <c r="P31" s="483"/>
      <c r="Q31" s="483"/>
      <c r="R31" s="483"/>
      <c r="S31" s="483"/>
      <c r="T31" s="483"/>
      <c r="U31" s="483"/>
      <c r="V31" s="483"/>
      <c r="W31" s="483"/>
      <c r="X31" s="483"/>
      <c r="Y31" s="483"/>
      <c r="Z31" s="483"/>
      <c r="AA31" s="483"/>
      <c r="AB31" s="483"/>
      <c r="AC31" s="483"/>
      <c r="AD31" s="483"/>
      <c r="AE31" s="483"/>
      <c r="AF31" s="483"/>
      <c r="AG31" s="483"/>
      <c r="AH31" s="483"/>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3"/>
      <c r="BT31" s="483"/>
      <c r="BU31" s="483"/>
      <c r="BV31" s="483"/>
      <c r="BW31" s="483"/>
      <c r="BX31" s="483"/>
      <c r="BY31" s="483"/>
      <c r="BZ31" s="483"/>
      <c r="CA31" s="483"/>
      <c r="CB31" s="483"/>
      <c r="CC31" s="483"/>
      <c r="CD31" s="483"/>
      <c r="CE31" s="483"/>
      <c r="CF31" s="483"/>
      <c r="CG31" s="483"/>
      <c r="CH31" s="483"/>
      <c r="CI31" s="483"/>
      <c r="CJ31" s="483"/>
      <c r="CK31" s="483"/>
      <c r="CL31" s="483"/>
      <c r="CM31" s="483"/>
      <c r="CN31" s="483"/>
      <c r="CO31" s="483"/>
      <c r="CP31" s="483"/>
      <c r="CQ31" s="483"/>
      <c r="CR31" s="483"/>
      <c r="CS31" s="483"/>
      <c r="CT31" s="483"/>
      <c r="CU31" s="483"/>
      <c r="CV31" s="483"/>
      <c r="CW31" s="483"/>
      <c r="CX31" s="483"/>
      <c r="CY31" s="483"/>
      <c r="CZ31" s="483"/>
      <c r="DA31" s="483"/>
      <c r="DB31" s="483"/>
      <c r="DC31" s="483"/>
      <c r="DD31" s="483"/>
      <c r="DE31" s="483"/>
      <c r="DF31" s="483"/>
      <c r="DG31" s="483"/>
      <c r="DH31" s="483"/>
      <c r="DI31" s="483"/>
      <c r="DJ31" s="483"/>
      <c r="DK31" s="483"/>
      <c r="DL31" s="483"/>
      <c r="DM31" s="483"/>
      <c r="DN31" s="483"/>
      <c r="DO31" s="483"/>
      <c r="DP31" s="483"/>
      <c r="DQ31" s="483"/>
      <c r="DR31" s="483"/>
      <c r="DS31" s="483"/>
      <c r="DT31" s="483"/>
      <c r="DU31" s="483"/>
      <c r="DV31" s="483"/>
      <c r="DW31" s="483"/>
      <c r="DX31" s="483"/>
      <c r="DY31" s="483"/>
      <c r="DZ31" s="483"/>
      <c r="EA31" s="483"/>
      <c r="EB31" s="483"/>
      <c r="EC31" s="483"/>
      <c r="ED31" s="483"/>
      <c r="EE31" s="483"/>
      <c r="EF31" s="483"/>
      <c r="EG31" s="483"/>
      <c r="EH31" s="483"/>
      <c r="EI31" s="483"/>
      <c r="EJ31" s="483"/>
      <c r="EK31" s="483"/>
      <c r="EL31" s="483"/>
      <c r="EM31" s="483"/>
      <c r="EN31" s="483"/>
      <c r="EO31" s="483"/>
      <c r="EP31" s="483"/>
      <c r="EQ31" s="483"/>
      <c r="ER31" s="483"/>
      <c r="ES31" s="483"/>
      <c r="ET31" s="483"/>
      <c r="EU31" s="483"/>
      <c r="EV31" s="483"/>
      <c r="EW31" s="483"/>
      <c r="EX31" s="483"/>
      <c r="EY31" s="483"/>
      <c r="EZ31" s="483"/>
      <c r="FA31" s="483"/>
      <c r="FB31" s="483"/>
      <c r="FC31" s="483"/>
      <c r="FD31" s="483"/>
      <c r="FE31" s="483"/>
      <c r="FF31" s="483"/>
      <c r="FG31" s="483"/>
      <c r="FH31" s="483"/>
      <c r="FI31" s="483"/>
      <c r="FJ31" s="483"/>
      <c r="FK31" s="483"/>
      <c r="FL31" s="483"/>
      <c r="FM31" s="483"/>
      <c r="FN31" s="483"/>
      <c r="FO31" s="483"/>
      <c r="FP31" s="483"/>
      <c r="FQ31" s="483"/>
      <c r="FR31" s="483"/>
      <c r="FS31" s="483"/>
      <c r="FT31" s="483"/>
      <c r="FU31" s="483"/>
      <c r="FV31" s="483"/>
      <c r="FW31" s="483"/>
      <c r="FX31" s="483"/>
      <c r="FY31" s="483"/>
      <c r="FZ31" s="483"/>
      <c r="GA31" s="483"/>
      <c r="GB31" s="483"/>
      <c r="GC31" s="483"/>
      <c r="GD31" s="483"/>
      <c r="GE31" s="483"/>
      <c r="GF31" s="483"/>
      <c r="GG31" s="483"/>
      <c r="GH31" s="483"/>
      <c r="GI31" s="483"/>
      <c r="GJ31" s="483"/>
      <c r="GK31" s="483"/>
      <c r="GL31" s="483"/>
      <c r="GM31" s="483"/>
      <c r="GN31" s="483"/>
      <c r="GO31" s="483"/>
      <c r="GP31" s="483"/>
      <c r="GQ31" s="483"/>
      <c r="GR31" s="483"/>
      <c r="GS31" s="483"/>
      <c r="GT31" s="483"/>
      <c r="GU31" s="483"/>
      <c r="GV31" s="483"/>
      <c r="GW31" s="483"/>
      <c r="GX31" s="483"/>
      <c r="GY31" s="483"/>
      <c r="GZ31" s="483"/>
      <c r="HA31" s="483"/>
      <c r="HB31" s="483"/>
      <c r="HC31" s="483"/>
      <c r="HD31" s="483"/>
      <c r="HE31" s="483"/>
      <c r="HF31" s="483"/>
      <c r="HG31" s="483"/>
      <c r="HH31" s="483"/>
      <c r="HI31" s="483"/>
      <c r="HJ31" s="483"/>
      <c r="HK31" s="483"/>
      <c r="HL31" s="483"/>
      <c r="HM31" s="483"/>
      <c r="HN31" s="483"/>
      <c r="HO31" s="483"/>
      <c r="HP31" s="483"/>
      <c r="HQ31" s="483"/>
      <c r="HR31" s="483"/>
      <c r="HS31" s="483"/>
      <c r="HT31" s="483"/>
      <c r="HU31" s="483"/>
      <c r="HV31" s="483"/>
      <c r="HW31" s="483"/>
      <c r="HX31" s="483"/>
      <c r="HY31" s="483"/>
      <c r="HZ31" s="483"/>
      <c r="IA31" s="483"/>
      <c r="IB31" s="483"/>
      <c r="IC31" s="483"/>
      <c r="ID31" s="483"/>
      <c r="IE31" s="483"/>
    </row>
    <row r="32" spans="1:239" ht="14.25">
      <c r="A32" s="26" t="s">
        <v>458</v>
      </c>
      <c r="B32" s="917" t="s">
        <v>475</v>
      </c>
      <c r="C32" s="918"/>
      <c r="D32" s="918"/>
      <c r="E32" s="918"/>
      <c r="F32" s="918"/>
      <c r="G32" s="918"/>
      <c r="H32" s="918"/>
      <c r="I32" s="918"/>
      <c r="J32" s="919"/>
      <c r="K32" s="27"/>
      <c r="L32" s="27"/>
      <c r="M32" s="411">
        <f>SUM(M33:M42)</f>
        <v>1023.2599999999999</v>
      </c>
    </row>
    <row r="33" spans="1:239" ht="15.75">
      <c r="A33" s="74">
        <v>1</v>
      </c>
      <c r="B33" s="245" t="s">
        <v>869</v>
      </c>
      <c r="C33" s="74"/>
      <c r="D33" s="21"/>
      <c r="E33" s="21"/>
      <c r="F33" s="490"/>
      <c r="G33" s="490"/>
      <c r="H33" s="490"/>
      <c r="I33" s="21"/>
      <c r="J33" s="21"/>
      <c r="K33" s="21"/>
      <c r="L33" s="27"/>
      <c r="M33" s="488">
        <f>SUM(K34:K35)</f>
        <v>299.87199999999996</v>
      </c>
      <c r="N33" s="483"/>
      <c r="O33" s="483"/>
      <c r="P33" s="483"/>
      <c r="Q33" s="483"/>
      <c r="R33" s="483"/>
      <c r="S33" s="483"/>
      <c r="T33" s="483"/>
      <c r="U33" s="483"/>
      <c r="V33" s="483"/>
      <c r="W33" s="483"/>
      <c r="X33" s="483"/>
      <c r="Y33" s="483"/>
      <c r="Z33" s="483"/>
      <c r="AA33" s="483"/>
      <c r="AB33" s="483"/>
      <c r="AC33" s="483"/>
      <c r="AD33" s="483"/>
      <c r="AE33" s="483"/>
      <c r="AF33" s="483"/>
      <c r="AG33" s="483"/>
      <c r="AH33" s="483"/>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3"/>
      <c r="CD33" s="483"/>
      <c r="CE33" s="483"/>
      <c r="CF33" s="483"/>
      <c r="CG33" s="483"/>
      <c r="CH33" s="483"/>
      <c r="CI33" s="483"/>
      <c r="CJ33" s="483"/>
      <c r="CK33" s="483"/>
      <c r="CL33" s="483"/>
      <c r="CM33" s="483"/>
      <c r="CN33" s="483"/>
      <c r="CO33" s="483"/>
      <c r="CP33" s="483"/>
      <c r="CQ33" s="483"/>
      <c r="CR33" s="483"/>
      <c r="CS33" s="483"/>
      <c r="CT33" s="483"/>
      <c r="CU33" s="483"/>
      <c r="CV33" s="483"/>
      <c r="CW33" s="483"/>
      <c r="CX33" s="483"/>
      <c r="CY33" s="483"/>
      <c r="CZ33" s="483"/>
      <c r="DA33" s="483"/>
      <c r="DB33" s="483"/>
      <c r="DC33" s="483"/>
      <c r="DD33" s="483"/>
      <c r="DE33" s="483"/>
      <c r="DF33" s="483"/>
      <c r="DG33" s="483"/>
      <c r="DH33" s="483"/>
      <c r="DI33" s="483"/>
      <c r="DJ33" s="483"/>
      <c r="DK33" s="483"/>
      <c r="DL33" s="483"/>
      <c r="DM33" s="483"/>
      <c r="DN33" s="483"/>
      <c r="DO33" s="483"/>
      <c r="DP33" s="483"/>
      <c r="DQ33" s="483"/>
      <c r="DR33" s="483"/>
      <c r="DS33" s="483"/>
      <c r="DT33" s="483"/>
      <c r="DU33" s="483"/>
      <c r="DV33" s="483"/>
      <c r="DW33" s="483"/>
      <c r="DX33" s="483"/>
      <c r="DY33" s="483"/>
      <c r="DZ33" s="483"/>
      <c r="EA33" s="483"/>
      <c r="EB33" s="483"/>
      <c r="EC33" s="483"/>
      <c r="ED33" s="483"/>
      <c r="EE33" s="483"/>
      <c r="EF33" s="483"/>
      <c r="EG33" s="483"/>
      <c r="EH33" s="483"/>
      <c r="EI33" s="483"/>
      <c r="EJ33" s="483"/>
      <c r="EK33" s="483"/>
      <c r="EL33" s="483"/>
      <c r="EM33" s="483"/>
      <c r="EN33" s="483"/>
      <c r="EO33" s="483"/>
      <c r="EP33" s="483"/>
      <c r="EQ33" s="483"/>
      <c r="ER33" s="483"/>
      <c r="ES33" s="483"/>
      <c r="ET33" s="483"/>
      <c r="EU33" s="483"/>
      <c r="EV33" s="483"/>
      <c r="EW33" s="483"/>
      <c r="EX33" s="483"/>
      <c r="EY33" s="483"/>
      <c r="EZ33" s="483"/>
      <c r="FA33" s="483"/>
      <c r="FB33" s="483"/>
      <c r="FC33" s="483"/>
      <c r="FD33" s="483"/>
      <c r="FE33" s="483"/>
      <c r="FF33" s="483"/>
      <c r="FG33" s="483"/>
      <c r="FH33" s="483"/>
      <c r="FI33" s="483"/>
      <c r="FJ33" s="483"/>
      <c r="FK33" s="483"/>
      <c r="FL33" s="483"/>
      <c r="FM33" s="483"/>
      <c r="FN33" s="483"/>
      <c r="FO33" s="483"/>
      <c r="FP33" s="483"/>
      <c r="FQ33" s="483"/>
      <c r="FR33" s="483"/>
      <c r="FS33" s="483"/>
      <c r="FT33" s="483"/>
      <c r="FU33" s="483"/>
      <c r="FV33" s="483"/>
      <c r="FW33" s="483"/>
      <c r="FX33" s="483"/>
      <c r="FY33" s="483"/>
      <c r="FZ33" s="483"/>
      <c r="GA33" s="483"/>
      <c r="GB33" s="483"/>
      <c r="GC33" s="483"/>
      <c r="GD33" s="483"/>
      <c r="GE33" s="483"/>
      <c r="GF33" s="483"/>
      <c r="GG33" s="483"/>
      <c r="GH33" s="483"/>
      <c r="GI33" s="483"/>
      <c r="GJ33" s="483"/>
      <c r="GK33" s="483"/>
      <c r="GL33" s="483"/>
      <c r="GM33" s="483"/>
      <c r="GN33" s="483"/>
      <c r="GO33" s="483"/>
      <c r="GP33" s="483"/>
      <c r="GQ33" s="483"/>
      <c r="GR33" s="483"/>
      <c r="GS33" s="483"/>
      <c r="GT33" s="483"/>
      <c r="GU33" s="483"/>
      <c r="GV33" s="483"/>
      <c r="GW33" s="483"/>
      <c r="GX33" s="483"/>
      <c r="GY33" s="483"/>
      <c r="GZ33" s="483"/>
      <c r="HA33" s="483"/>
      <c r="HB33" s="483"/>
      <c r="HC33" s="483"/>
      <c r="HD33" s="483"/>
      <c r="HE33" s="483"/>
      <c r="HF33" s="483"/>
      <c r="HG33" s="483"/>
      <c r="HH33" s="483"/>
      <c r="HI33" s="483"/>
      <c r="HJ33" s="483"/>
      <c r="HK33" s="483"/>
      <c r="HL33" s="483"/>
      <c r="HM33" s="483"/>
      <c r="HN33" s="483"/>
      <c r="HO33" s="483"/>
      <c r="HP33" s="483"/>
      <c r="HQ33" s="483"/>
      <c r="HR33" s="483"/>
      <c r="HS33" s="483"/>
      <c r="HT33" s="483"/>
      <c r="HU33" s="483"/>
      <c r="HV33" s="483"/>
      <c r="HW33" s="483"/>
      <c r="HX33" s="483"/>
      <c r="HY33" s="483"/>
      <c r="HZ33" s="483"/>
      <c r="IA33" s="483"/>
      <c r="IB33" s="483"/>
      <c r="IC33" s="483"/>
      <c r="ID33" s="483"/>
      <c r="IE33" s="483"/>
    </row>
    <row r="34" spans="1:239" ht="15.75">
      <c r="A34" s="74"/>
      <c r="B34" s="252" t="s">
        <v>477</v>
      </c>
      <c r="C34" s="74" t="s">
        <v>538</v>
      </c>
      <c r="D34" s="21"/>
      <c r="E34" s="21">
        <f>J6-M6</f>
        <v>0.85000000000000053</v>
      </c>
      <c r="F34" s="490">
        <f>0.54*3+4.8+4.8*2+(2.005+2.852)*3+2.368+2.295+0.874*2+4.17+(2.736+2.471)*2+2.4+1.857+1.38*2+4.8+2.306*2+0.884*3+4.8*3+(1.428+2.195)*3</f>
        <v>95.935999999999979</v>
      </c>
      <c r="G34" s="490">
        <v>12</v>
      </c>
      <c r="H34" s="490">
        <v>0.5</v>
      </c>
      <c r="I34" s="21"/>
      <c r="J34" s="21">
        <v>2</v>
      </c>
      <c r="K34" s="21">
        <f>(E34+H34)*G34*J34+F34*J34</f>
        <v>224.27199999999996</v>
      </c>
      <c r="L34" s="27"/>
      <c r="M34" s="488"/>
      <c r="N34" s="483"/>
      <c r="O34" s="483"/>
      <c r="P34" s="483"/>
      <c r="Q34" s="483"/>
      <c r="R34" s="483"/>
      <c r="S34" s="483"/>
      <c r="T34" s="483"/>
      <c r="U34" s="483"/>
      <c r="V34" s="483"/>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483"/>
      <c r="BS34" s="483"/>
      <c r="BT34" s="483"/>
      <c r="BU34" s="483"/>
      <c r="BV34" s="483"/>
      <c r="BW34" s="483"/>
      <c r="BX34" s="483"/>
      <c r="BY34" s="483"/>
      <c r="BZ34" s="483"/>
      <c r="CA34" s="483"/>
      <c r="CB34" s="483"/>
      <c r="CC34" s="483"/>
      <c r="CD34" s="483"/>
      <c r="CE34" s="483"/>
      <c r="CF34" s="483"/>
      <c r="CG34" s="483"/>
      <c r="CH34" s="483"/>
      <c r="CI34" s="483"/>
      <c r="CJ34" s="483"/>
      <c r="CK34" s="483"/>
      <c r="CL34" s="483"/>
      <c r="CM34" s="483"/>
      <c r="CN34" s="483"/>
      <c r="CO34" s="483"/>
      <c r="CP34" s="483"/>
      <c r="CQ34" s="483"/>
      <c r="CR34" s="483"/>
      <c r="CS34" s="483"/>
      <c r="CT34" s="483"/>
      <c r="CU34" s="483"/>
      <c r="CV34" s="483"/>
      <c r="CW34" s="483"/>
      <c r="CX34" s="483"/>
      <c r="CY34" s="483"/>
      <c r="CZ34" s="483"/>
      <c r="DA34" s="483"/>
      <c r="DB34" s="483"/>
      <c r="DC34" s="483"/>
      <c r="DD34" s="483"/>
      <c r="DE34" s="483"/>
      <c r="DF34" s="483"/>
      <c r="DG34" s="483"/>
      <c r="DH34" s="483"/>
      <c r="DI34" s="483"/>
      <c r="DJ34" s="483"/>
      <c r="DK34" s="483"/>
      <c r="DL34" s="483"/>
      <c r="DM34" s="483"/>
      <c r="DN34" s="483"/>
      <c r="DO34" s="483"/>
      <c r="DP34" s="483"/>
      <c r="DQ34" s="483"/>
      <c r="DR34" s="483"/>
      <c r="DS34" s="483"/>
      <c r="DT34" s="483"/>
      <c r="DU34" s="483"/>
      <c r="DV34" s="483"/>
      <c r="DW34" s="483"/>
      <c r="DX34" s="483"/>
      <c r="DY34" s="483"/>
      <c r="DZ34" s="483"/>
      <c r="EA34" s="483"/>
      <c r="EB34" s="483"/>
      <c r="EC34" s="483"/>
      <c r="ED34" s="483"/>
      <c r="EE34" s="483"/>
      <c r="EF34" s="483"/>
      <c r="EG34" s="483"/>
      <c r="EH34" s="483"/>
      <c r="EI34" s="483"/>
      <c r="EJ34" s="483"/>
      <c r="EK34" s="483"/>
      <c r="EL34" s="483"/>
      <c r="EM34" s="483"/>
      <c r="EN34" s="483"/>
      <c r="EO34" s="483"/>
      <c r="EP34" s="483"/>
      <c r="EQ34" s="483"/>
      <c r="ER34" s="483"/>
      <c r="ES34" s="483"/>
      <c r="ET34" s="483"/>
      <c r="EU34" s="483"/>
      <c r="EV34" s="483"/>
      <c r="EW34" s="483"/>
      <c r="EX34" s="483"/>
      <c r="EY34" s="483"/>
      <c r="EZ34" s="483"/>
      <c r="FA34" s="483"/>
      <c r="FB34" s="483"/>
      <c r="FC34" s="483"/>
      <c r="FD34" s="483"/>
      <c r="FE34" s="483"/>
      <c r="FF34" s="483"/>
      <c r="FG34" s="483"/>
      <c r="FH34" s="483"/>
      <c r="FI34" s="483"/>
      <c r="FJ34" s="483"/>
      <c r="FK34" s="483"/>
      <c r="FL34" s="483"/>
      <c r="FM34" s="483"/>
      <c r="FN34" s="483"/>
      <c r="FO34" s="483"/>
      <c r="FP34" s="483"/>
      <c r="FQ34" s="483"/>
      <c r="FR34" s="483"/>
      <c r="FS34" s="483"/>
      <c r="FT34" s="483"/>
      <c r="FU34" s="483"/>
      <c r="FV34" s="483"/>
      <c r="FW34" s="483"/>
      <c r="FX34" s="483"/>
      <c r="FY34" s="483"/>
      <c r="FZ34" s="483"/>
      <c r="GA34" s="483"/>
      <c r="GB34" s="483"/>
      <c r="GC34" s="483"/>
      <c r="GD34" s="483"/>
      <c r="GE34" s="483"/>
      <c r="GF34" s="483"/>
      <c r="GG34" s="483"/>
      <c r="GH34" s="483"/>
      <c r="GI34" s="483"/>
      <c r="GJ34" s="483"/>
      <c r="GK34" s="483"/>
      <c r="GL34" s="483"/>
      <c r="GM34" s="483"/>
      <c r="GN34" s="483"/>
      <c r="GO34" s="483"/>
      <c r="GP34" s="483"/>
      <c r="GQ34" s="483"/>
      <c r="GR34" s="483"/>
      <c r="GS34" s="483"/>
      <c r="GT34" s="483"/>
      <c r="GU34" s="483"/>
      <c r="GV34" s="483"/>
      <c r="GW34" s="483"/>
      <c r="GX34" s="483"/>
      <c r="GY34" s="483"/>
      <c r="GZ34" s="483"/>
      <c r="HA34" s="483"/>
      <c r="HB34" s="483"/>
      <c r="HC34" s="483"/>
      <c r="HD34" s="483"/>
      <c r="HE34" s="483"/>
      <c r="HF34" s="483"/>
      <c r="HG34" s="483"/>
      <c r="HH34" s="483"/>
      <c r="HI34" s="483"/>
      <c r="HJ34" s="483"/>
      <c r="HK34" s="483"/>
      <c r="HL34" s="483"/>
      <c r="HM34" s="483"/>
      <c r="HN34" s="483"/>
      <c r="HO34" s="483"/>
      <c r="HP34" s="483"/>
      <c r="HQ34" s="483"/>
      <c r="HR34" s="483"/>
      <c r="HS34" s="483"/>
      <c r="HT34" s="483"/>
      <c r="HU34" s="483"/>
      <c r="HV34" s="483"/>
      <c r="HW34" s="483"/>
      <c r="HX34" s="483"/>
      <c r="HY34" s="483"/>
      <c r="HZ34" s="483"/>
      <c r="IA34" s="483"/>
      <c r="IB34" s="483"/>
      <c r="IC34" s="483"/>
      <c r="ID34" s="483"/>
      <c r="IE34" s="483"/>
    </row>
    <row r="35" spans="1:239" ht="15.75">
      <c r="A35" s="74"/>
      <c r="B35" s="252" t="s">
        <v>598</v>
      </c>
      <c r="C35" s="74" t="s">
        <v>538</v>
      </c>
      <c r="D35" s="21"/>
      <c r="E35" s="21">
        <f>J6-1.3</f>
        <v>2.8500000000000005</v>
      </c>
      <c r="F35" s="490"/>
      <c r="G35" s="490">
        <v>12</v>
      </c>
      <c r="H35" s="490">
        <v>0.3</v>
      </c>
      <c r="I35" s="21"/>
      <c r="J35" s="21">
        <v>2</v>
      </c>
      <c r="K35" s="21">
        <f>(E35+H35)*G35*J35+F35*J35</f>
        <v>75.600000000000009</v>
      </c>
      <c r="L35" s="27"/>
      <c r="M35" s="488"/>
      <c r="N35" s="483"/>
      <c r="O35" s="483"/>
      <c r="P35" s="483"/>
      <c r="Q35" s="483"/>
      <c r="R35" s="483"/>
      <c r="S35" s="483"/>
      <c r="T35" s="483"/>
      <c r="U35" s="483"/>
      <c r="V35" s="483"/>
      <c r="W35" s="483"/>
      <c r="X35" s="483"/>
      <c r="Y35" s="483"/>
      <c r="Z35" s="483"/>
      <c r="AA35" s="483"/>
      <c r="AB35" s="483"/>
      <c r="AC35" s="483"/>
      <c r="AD35" s="483"/>
      <c r="AE35" s="483"/>
      <c r="AF35" s="483"/>
      <c r="AG35" s="483"/>
      <c r="AH35" s="483"/>
      <c r="AI35" s="483"/>
      <c r="AJ35" s="483"/>
      <c r="AK35" s="483"/>
      <c r="AL35" s="483"/>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483"/>
      <c r="BS35" s="483"/>
      <c r="BT35" s="483"/>
      <c r="BU35" s="483"/>
      <c r="BV35" s="483"/>
      <c r="BW35" s="483"/>
      <c r="BX35" s="483"/>
      <c r="BY35" s="483"/>
      <c r="BZ35" s="483"/>
      <c r="CA35" s="483"/>
      <c r="CB35" s="483"/>
      <c r="CC35" s="483"/>
      <c r="CD35" s="483"/>
      <c r="CE35" s="483"/>
      <c r="CF35" s="483"/>
      <c r="CG35" s="483"/>
      <c r="CH35" s="483"/>
      <c r="CI35" s="483"/>
      <c r="CJ35" s="483"/>
      <c r="CK35" s="483"/>
      <c r="CL35" s="483"/>
      <c r="CM35" s="483"/>
      <c r="CN35" s="483"/>
      <c r="CO35" s="483"/>
      <c r="CP35" s="483"/>
      <c r="CQ35" s="483"/>
      <c r="CR35" s="483"/>
      <c r="CS35" s="483"/>
      <c r="CT35" s="483"/>
      <c r="CU35" s="483"/>
      <c r="CV35" s="483"/>
      <c r="CW35" s="483"/>
      <c r="CX35" s="483"/>
      <c r="CY35" s="483"/>
      <c r="CZ35" s="483"/>
      <c r="DA35" s="483"/>
      <c r="DB35" s="483"/>
      <c r="DC35" s="483"/>
      <c r="DD35" s="483"/>
      <c r="DE35" s="483"/>
      <c r="DF35" s="483"/>
      <c r="DG35" s="483"/>
      <c r="DH35" s="483"/>
      <c r="DI35" s="483"/>
      <c r="DJ35" s="483"/>
      <c r="DK35" s="483"/>
      <c r="DL35" s="483"/>
      <c r="DM35" s="483"/>
      <c r="DN35" s="483"/>
      <c r="DO35" s="483"/>
      <c r="DP35" s="483"/>
      <c r="DQ35" s="483"/>
      <c r="DR35" s="483"/>
      <c r="DS35" s="483"/>
      <c r="DT35" s="483"/>
      <c r="DU35" s="483"/>
      <c r="DV35" s="483"/>
      <c r="DW35" s="483"/>
      <c r="DX35" s="483"/>
      <c r="DY35" s="483"/>
      <c r="DZ35" s="483"/>
      <c r="EA35" s="483"/>
      <c r="EB35" s="483"/>
      <c r="EC35" s="483"/>
      <c r="ED35" s="483"/>
      <c r="EE35" s="483"/>
      <c r="EF35" s="483"/>
      <c r="EG35" s="483"/>
      <c r="EH35" s="483"/>
      <c r="EI35" s="483"/>
      <c r="EJ35" s="483"/>
      <c r="EK35" s="483"/>
      <c r="EL35" s="483"/>
      <c r="EM35" s="483"/>
      <c r="EN35" s="483"/>
      <c r="EO35" s="483"/>
      <c r="EP35" s="483"/>
      <c r="EQ35" s="483"/>
      <c r="ER35" s="483"/>
      <c r="ES35" s="483"/>
      <c r="ET35" s="483"/>
      <c r="EU35" s="483"/>
      <c r="EV35" s="483"/>
      <c r="EW35" s="483"/>
      <c r="EX35" s="483"/>
      <c r="EY35" s="483"/>
      <c r="EZ35" s="483"/>
      <c r="FA35" s="483"/>
      <c r="FB35" s="483"/>
      <c r="FC35" s="483"/>
      <c r="FD35" s="483"/>
      <c r="FE35" s="483"/>
      <c r="FF35" s="483"/>
      <c r="FG35" s="483"/>
      <c r="FH35" s="483"/>
      <c r="FI35" s="483"/>
      <c r="FJ35" s="483"/>
      <c r="FK35" s="483"/>
      <c r="FL35" s="483"/>
      <c r="FM35" s="483"/>
      <c r="FN35" s="483"/>
      <c r="FO35" s="483"/>
      <c r="FP35" s="483"/>
      <c r="FQ35" s="483"/>
      <c r="FR35" s="483"/>
      <c r="FS35" s="483"/>
      <c r="FT35" s="483"/>
      <c r="FU35" s="483"/>
      <c r="FV35" s="483"/>
      <c r="FW35" s="483"/>
      <c r="FX35" s="483"/>
      <c r="FY35" s="483"/>
      <c r="FZ35" s="483"/>
      <c r="GA35" s="483"/>
      <c r="GB35" s="483"/>
      <c r="GC35" s="483"/>
      <c r="GD35" s="483"/>
      <c r="GE35" s="483"/>
      <c r="GF35" s="483"/>
      <c r="GG35" s="483"/>
      <c r="GH35" s="483"/>
      <c r="GI35" s="483"/>
      <c r="GJ35" s="483"/>
      <c r="GK35" s="483"/>
      <c r="GL35" s="483"/>
      <c r="GM35" s="483"/>
      <c r="GN35" s="483"/>
      <c r="GO35" s="483"/>
      <c r="GP35" s="483"/>
      <c r="GQ35" s="483"/>
      <c r="GR35" s="483"/>
      <c r="GS35" s="483"/>
      <c r="GT35" s="483"/>
      <c r="GU35" s="483"/>
      <c r="GV35" s="483"/>
      <c r="GW35" s="483"/>
      <c r="GX35" s="483"/>
      <c r="GY35" s="483"/>
      <c r="GZ35" s="483"/>
      <c r="HA35" s="483"/>
      <c r="HB35" s="483"/>
      <c r="HC35" s="483"/>
      <c r="HD35" s="483"/>
      <c r="HE35" s="483"/>
      <c r="HF35" s="483"/>
      <c r="HG35" s="483"/>
      <c r="HH35" s="483"/>
      <c r="HI35" s="483"/>
      <c r="HJ35" s="483"/>
      <c r="HK35" s="483"/>
      <c r="HL35" s="483"/>
      <c r="HM35" s="483"/>
      <c r="HN35" s="483"/>
      <c r="HO35" s="483"/>
      <c r="HP35" s="483"/>
      <c r="HQ35" s="483"/>
      <c r="HR35" s="483"/>
      <c r="HS35" s="483"/>
      <c r="HT35" s="483"/>
      <c r="HU35" s="483"/>
      <c r="HV35" s="483"/>
      <c r="HW35" s="483"/>
      <c r="HX35" s="483"/>
      <c r="HY35" s="483"/>
      <c r="HZ35" s="483"/>
      <c r="IA35" s="483"/>
      <c r="IB35" s="483"/>
      <c r="IC35" s="483"/>
      <c r="ID35" s="483"/>
      <c r="IE35" s="483"/>
    </row>
    <row r="36" spans="1:239" ht="15.75">
      <c r="A36" s="74">
        <v>2</v>
      </c>
      <c r="B36" s="245" t="s">
        <v>467</v>
      </c>
      <c r="C36" s="74"/>
      <c r="D36" s="21"/>
      <c r="E36" s="21"/>
      <c r="F36" s="490"/>
      <c r="G36" s="490"/>
      <c r="H36" s="490"/>
      <c r="I36" s="21"/>
      <c r="J36" s="21"/>
      <c r="K36" s="21"/>
      <c r="L36" s="27"/>
      <c r="M36" s="488">
        <f>SUM(K37:K38)</f>
        <v>322.52600000000001</v>
      </c>
      <c r="N36" s="483"/>
      <c r="O36" s="483"/>
      <c r="P36" s="483"/>
      <c r="Q36" s="483"/>
      <c r="R36" s="483"/>
      <c r="S36" s="483"/>
      <c r="T36" s="483"/>
      <c r="U36" s="483"/>
      <c r="V36" s="483"/>
      <c r="W36" s="483"/>
      <c r="X36" s="483"/>
      <c r="Y36" s="483"/>
      <c r="Z36" s="483"/>
      <c r="AA36" s="483"/>
      <c r="AB36" s="483"/>
      <c r="AC36" s="483"/>
      <c r="AD36" s="483"/>
      <c r="AE36" s="483"/>
      <c r="AF36" s="483"/>
      <c r="AG36" s="483"/>
      <c r="AH36" s="483"/>
      <c r="AI36" s="483"/>
      <c r="AJ36" s="483"/>
      <c r="AK36" s="483"/>
      <c r="AL36" s="483"/>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483"/>
      <c r="BS36" s="483"/>
      <c r="BT36" s="483"/>
      <c r="BU36" s="483"/>
      <c r="BV36" s="483"/>
      <c r="BW36" s="483"/>
      <c r="BX36" s="483"/>
      <c r="BY36" s="483"/>
      <c r="BZ36" s="483"/>
      <c r="CA36" s="483"/>
      <c r="CB36" s="483"/>
      <c r="CC36" s="483"/>
      <c r="CD36" s="483"/>
      <c r="CE36" s="483"/>
      <c r="CF36" s="483"/>
      <c r="CG36" s="483"/>
      <c r="CH36" s="483"/>
      <c r="CI36" s="483"/>
      <c r="CJ36" s="483"/>
      <c r="CK36" s="483"/>
      <c r="CL36" s="483"/>
      <c r="CM36" s="483"/>
      <c r="CN36" s="483"/>
      <c r="CO36" s="483"/>
      <c r="CP36" s="483"/>
      <c r="CQ36" s="483"/>
      <c r="CR36" s="483"/>
      <c r="CS36" s="483"/>
      <c r="CT36" s="483"/>
      <c r="CU36" s="483"/>
      <c r="CV36" s="483"/>
      <c r="CW36" s="483"/>
      <c r="CX36" s="483"/>
      <c r="CY36" s="483"/>
      <c r="CZ36" s="483"/>
      <c r="DA36" s="483"/>
      <c r="DB36" s="483"/>
      <c r="DC36" s="483"/>
      <c r="DD36" s="483"/>
      <c r="DE36" s="483"/>
      <c r="DF36" s="483"/>
      <c r="DG36" s="483"/>
      <c r="DH36" s="483"/>
      <c r="DI36" s="483"/>
      <c r="DJ36" s="483"/>
      <c r="DK36" s="483"/>
      <c r="DL36" s="483"/>
      <c r="DM36" s="483"/>
      <c r="DN36" s="483"/>
      <c r="DO36" s="483"/>
      <c r="DP36" s="483"/>
      <c r="DQ36" s="483"/>
      <c r="DR36" s="483"/>
      <c r="DS36" s="483"/>
      <c r="DT36" s="483"/>
      <c r="DU36" s="483"/>
      <c r="DV36" s="483"/>
      <c r="DW36" s="483"/>
      <c r="DX36" s="483"/>
      <c r="DY36" s="483"/>
      <c r="DZ36" s="483"/>
      <c r="EA36" s="483"/>
      <c r="EB36" s="483"/>
      <c r="EC36" s="483"/>
      <c r="ED36" s="483"/>
      <c r="EE36" s="483"/>
      <c r="EF36" s="483"/>
      <c r="EG36" s="483"/>
      <c r="EH36" s="483"/>
      <c r="EI36" s="483"/>
      <c r="EJ36" s="483"/>
      <c r="EK36" s="483"/>
      <c r="EL36" s="483"/>
      <c r="EM36" s="483"/>
      <c r="EN36" s="483"/>
      <c r="EO36" s="483"/>
      <c r="EP36" s="483"/>
      <c r="EQ36" s="483"/>
      <c r="ER36" s="483"/>
      <c r="ES36" s="483"/>
      <c r="ET36" s="483"/>
      <c r="EU36" s="483"/>
      <c r="EV36" s="483"/>
      <c r="EW36" s="483"/>
      <c r="EX36" s="483"/>
      <c r="EY36" s="483"/>
      <c r="EZ36" s="483"/>
      <c r="FA36" s="483"/>
      <c r="FB36" s="483"/>
      <c r="FC36" s="483"/>
      <c r="FD36" s="483"/>
      <c r="FE36" s="483"/>
      <c r="FF36" s="483"/>
      <c r="FG36" s="483"/>
      <c r="FH36" s="483"/>
      <c r="FI36" s="483"/>
      <c r="FJ36" s="483"/>
      <c r="FK36" s="483"/>
      <c r="FL36" s="483"/>
      <c r="FM36" s="483"/>
      <c r="FN36" s="483"/>
      <c r="FO36" s="483"/>
      <c r="FP36" s="483"/>
      <c r="FQ36" s="483"/>
      <c r="FR36" s="483"/>
      <c r="FS36" s="483"/>
      <c r="FT36" s="483"/>
      <c r="FU36" s="483"/>
      <c r="FV36" s="483"/>
      <c r="FW36" s="483"/>
      <c r="FX36" s="483"/>
      <c r="FY36" s="483"/>
      <c r="FZ36" s="483"/>
      <c r="GA36" s="483"/>
      <c r="GB36" s="483"/>
      <c r="GC36" s="483"/>
      <c r="GD36" s="483"/>
      <c r="GE36" s="483"/>
      <c r="GF36" s="483"/>
      <c r="GG36" s="483"/>
      <c r="GH36" s="483"/>
      <c r="GI36" s="483"/>
      <c r="GJ36" s="483"/>
      <c r="GK36" s="483"/>
      <c r="GL36" s="483"/>
      <c r="GM36" s="483"/>
      <c r="GN36" s="483"/>
      <c r="GO36" s="483"/>
      <c r="GP36" s="483"/>
      <c r="GQ36" s="483"/>
      <c r="GR36" s="483"/>
      <c r="GS36" s="483"/>
      <c r="GT36" s="483"/>
      <c r="GU36" s="483"/>
      <c r="GV36" s="483"/>
      <c r="GW36" s="483"/>
      <c r="GX36" s="483"/>
      <c r="GY36" s="483"/>
      <c r="GZ36" s="483"/>
      <c r="HA36" s="483"/>
      <c r="HB36" s="483"/>
      <c r="HC36" s="483"/>
      <c r="HD36" s="483"/>
      <c r="HE36" s="483"/>
      <c r="HF36" s="483"/>
      <c r="HG36" s="483"/>
      <c r="HH36" s="483"/>
      <c r="HI36" s="483"/>
      <c r="HJ36" s="483"/>
      <c r="HK36" s="483"/>
      <c r="HL36" s="483"/>
      <c r="HM36" s="483"/>
      <c r="HN36" s="483"/>
      <c r="HO36" s="483"/>
      <c r="HP36" s="483"/>
      <c r="HQ36" s="483"/>
      <c r="HR36" s="483"/>
      <c r="HS36" s="483"/>
      <c r="HT36" s="483"/>
      <c r="HU36" s="483"/>
      <c r="HV36" s="483"/>
      <c r="HW36" s="483"/>
      <c r="HX36" s="483"/>
      <c r="HY36" s="483"/>
      <c r="HZ36" s="483"/>
      <c r="IA36" s="483"/>
      <c r="IB36" s="483"/>
      <c r="IC36" s="483"/>
      <c r="ID36" s="483"/>
      <c r="IE36" s="483"/>
    </row>
    <row r="37" spans="1:239" ht="15.75">
      <c r="A37" s="74"/>
      <c r="B37" s="252" t="s">
        <v>477</v>
      </c>
      <c r="C37" s="74" t="s">
        <v>539</v>
      </c>
      <c r="D37" s="21"/>
      <c r="E37" s="21">
        <f>J7-M7</f>
        <v>0.44999999999999973</v>
      </c>
      <c r="F37" s="490">
        <f>1.53*3+4.808+4.762*2+(3.487)*3+2.295+1.874+1.63*4+2.531+2.23+(1.176+3.527*2+0.641)*3+4.8*6+1.508*3+5.631*3</f>
        <v>121.663</v>
      </c>
      <c r="G37" s="490">
        <v>11</v>
      </c>
      <c r="H37" s="490">
        <v>0.5</v>
      </c>
      <c r="I37" s="21"/>
      <c r="J37" s="21">
        <v>2</v>
      </c>
      <c r="K37" s="21">
        <f>(E37+H37)*G37*J37+F37*J37</f>
        <v>264.226</v>
      </c>
      <c r="L37" s="27"/>
      <c r="M37" s="488"/>
      <c r="N37" s="483"/>
      <c r="O37" s="483"/>
      <c r="P37" s="483"/>
      <c r="Q37" s="483"/>
      <c r="R37" s="483"/>
      <c r="S37" s="483"/>
      <c r="T37" s="483"/>
      <c r="U37" s="483"/>
      <c r="V37" s="483"/>
      <c r="W37" s="483"/>
      <c r="X37" s="483"/>
      <c r="Y37" s="483"/>
      <c r="Z37" s="483"/>
      <c r="AA37" s="483"/>
      <c r="AB37" s="483"/>
      <c r="AC37" s="483"/>
      <c r="AD37" s="483"/>
      <c r="AE37" s="483"/>
      <c r="AF37" s="483"/>
      <c r="AG37" s="483"/>
      <c r="AH37" s="483"/>
      <c r="AI37" s="483"/>
      <c r="AJ37" s="483"/>
      <c r="AK37" s="483"/>
      <c r="AL37" s="483"/>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483"/>
      <c r="BS37" s="483"/>
      <c r="BT37" s="483"/>
      <c r="BU37" s="483"/>
      <c r="BV37" s="483"/>
      <c r="BW37" s="483"/>
      <c r="BX37" s="483"/>
      <c r="BY37" s="483"/>
      <c r="BZ37" s="483"/>
      <c r="CA37" s="483"/>
      <c r="CB37" s="483"/>
      <c r="CC37" s="483"/>
      <c r="CD37" s="483"/>
      <c r="CE37" s="483"/>
      <c r="CF37" s="483"/>
      <c r="CG37" s="483"/>
      <c r="CH37" s="483"/>
      <c r="CI37" s="483"/>
      <c r="CJ37" s="483"/>
      <c r="CK37" s="483"/>
      <c r="CL37" s="483"/>
      <c r="CM37" s="483"/>
      <c r="CN37" s="483"/>
      <c r="CO37" s="483"/>
      <c r="CP37" s="483"/>
      <c r="CQ37" s="483"/>
      <c r="CR37" s="483"/>
      <c r="CS37" s="483"/>
      <c r="CT37" s="483"/>
      <c r="CU37" s="483"/>
      <c r="CV37" s="483"/>
      <c r="CW37" s="483"/>
      <c r="CX37" s="483"/>
      <c r="CY37" s="483"/>
      <c r="CZ37" s="483"/>
      <c r="DA37" s="483"/>
      <c r="DB37" s="483"/>
      <c r="DC37" s="483"/>
      <c r="DD37" s="483"/>
      <c r="DE37" s="483"/>
      <c r="DF37" s="483"/>
      <c r="DG37" s="483"/>
      <c r="DH37" s="483"/>
      <c r="DI37" s="483"/>
      <c r="DJ37" s="483"/>
      <c r="DK37" s="483"/>
      <c r="DL37" s="483"/>
      <c r="DM37" s="483"/>
      <c r="DN37" s="483"/>
      <c r="DO37" s="483"/>
      <c r="DP37" s="483"/>
      <c r="DQ37" s="483"/>
      <c r="DR37" s="483"/>
      <c r="DS37" s="483"/>
      <c r="DT37" s="483"/>
      <c r="DU37" s="483"/>
      <c r="DV37" s="483"/>
      <c r="DW37" s="483"/>
      <c r="DX37" s="483"/>
      <c r="DY37" s="483"/>
      <c r="DZ37" s="483"/>
      <c r="EA37" s="483"/>
      <c r="EB37" s="483"/>
      <c r="EC37" s="483"/>
      <c r="ED37" s="483"/>
      <c r="EE37" s="483"/>
      <c r="EF37" s="483"/>
      <c r="EG37" s="483"/>
      <c r="EH37" s="483"/>
      <c r="EI37" s="483"/>
      <c r="EJ37" s="483"/>
      <c r="EK37" s="483"/>
      <c r="EL37" s="483"/>
      <c r="EM37" s="483"/>
      <c r="EN37" s="483"/>
      <c r="EO37" s="483"/>
      <c r="EP37" s="483"/>
      <c r="EQ37" s="483"/>
      <c r="ER37" s="483"/>
      <c r="ES37" s="483"/>
      <c r="ET37" s="483"/>
      <c r="EU37" s="483"/>
      <c r="EV37" s="483"/>
      <c r="EW37" s="483"/>
      <c r="EX37" s="483"/>
      <c r="EY37" s="483"/>
      <c r="EZ37" s="483"/>
      <c r="FA37" s="483"/>
      <c r="FB37" s="483"/>
      <c r="FC37" s="483"/>
      <c r="FD37" s="483"/>
      <c r="FE37" s="483"/>
      <c r="FF37" s="483"/>
      <c r="FG37" s="483"/>
      <c r="FH37" s="483"/>
      <c r="FI37" s="483"/>
      <c r="FJ37" s="483"/>
      <c r="FK37" s="483"/>
      <c r="FL37" s="483"/>
      <c r="FM37" s="483"/>
      <c r="FN37" s="483"/>
      <c r="FO37" s="483"/>
      <c r="FP37" s="483"/>
      <c r="FQ37" s="483"/>
      <c r="FR37" s="483"/>
      <c r="FS37" s="483"/>
      <c r="FT37" s="483"/>
      <c r="FU37" s="483"/>
      <c r="FV37" s="483"/>
      <c r="FW37" s="483"/>
      <c r="FX37" s="483"/>
      <c r="FY37" s="483"/>
      <c r="FZ37" s="483"/>
      <c r="GA37" s="483"/>
      <c r="GB37" s="483"/>
      <c r="GC37" s="483"/>
      <c r="GD37" s="483"/>
      <c r="GE37" s="483"/>
      <c r="GF37" s="483"/>
      <c r="GG37" s="483"/>
      <c r="GH37" s="483"/>
      <c r="GI37" s="483"/>
      <c r="GJ37" s="483"/>
      <c r="GK37" s="483"/>
      <c r="GL37" s="483"/>
      <c r="GM37" s="483"/>
      <c r="GN37" s="483"/>
      <c r="GO37" s="483"/>
      <c r="GP37" s="483"/>
      <c r="GQ37" s="483"/>
      <c r="GR37" s="483"/>
      <c r="GS37" s="483"/>
      <c r="GT37" s="483"/>
      <c r="GU37" s="483"/>
      <c r="GV37" s="483"/>
      <c r="GW37" s="483"/>
      <c r="GX37" s="483"/>
      <c r="GY37" s="483"/>
      <c r="GZ37" s="483"/>
      <c r="HA37" s="483"/>
      <c r="HB37" s="483"/>
      <c r="HC37" s="483"/>
      <c r="HD37" s="483"/>
      <c r="HE37" s="483"/>
      <c r="HF37" s="483"/>
      <c r="HG37" s="483"/>
      <c r="HH37" s="483"/>
      <c r="HI37" s="483"/>
      <c r="HJ37" s="483"/>
      <c r="HK37" s="483"/>
      <c r="HL37" s="483"/>
      <c r="HM37" s="483"/>
      <c r="HN37" s="483"/>
      <c r="HO37" s="483"/>
      <c r="HP37" s="483"/>
      <c r="HQ37" s="483"/>
      <c r="HR37" s="483"/>
      <c r="HS37" s="483"/>
      <c r="HT37" s="483"/>
      <c r="HU37" s="483"/>
      <c r="HV37" s="483"/>
      <c r="HW37" s="483"/>
      <c r="HX37" s="483"/>
      <c r="HY37" s="483"/>
      <c r="HZ37" s="483"/>
      <c r="IA37" s="483"/>
      <c r="IB37" s="483"/>
      <c r="IC37" s="483"/>
      <c r="ID37" s="483"/>
      <c r="IE37" s="483"/>
    </row>
    <row r="38" spans="1:239" ht="15.75">
      <c r="A38" s="74"/>
      <c r="B38" s="252" t="s">
        <v>598</v>
      </c>
      <c r="C38" s="74" t="s">
        <v>539</v>
      </c>
      <c r="D38" s="21"/>
      <c r="E38" s="21">
        <f>J7-1.3</f>
        <v>2.3499999999999996</v>
      </c>
      <c r="F38" s="490"/>
      <c r="G38" s="490">
        <v>11</v>
      </c>
      <c r="H38" s="490">
        <v>0.3</v>
      </c>
      <c r="I38" s="21"/>
      <c r="J38" s="21">
        <v>2</v>
      </c>
      <c r="K38" s="21">
        <f>(E38+H38)*G38*J38+F38*J38</f>
        <v>58.29999999999999</v>
      </c>
      <c r="L38" s="27"/>
      <c r="M38" s="488"/>
      <c r="N38" s="483"/>
      <c r="O38" s="483"/>
      <c r="P38" s="483"/>
      <c r="Q38" s="483"/>
      <c r="R38" s="483"/>
      <c r="S38" s="483"/>
      <c r="T38" s="483"/>
      <c r="U38" s="483"/>
      <c r="V38" s="483"/>
      <c r="W38" s="483"/>
      <c r="X38" s="483"/>
      <c r="Y38" s="483"/>
      <c r="Z38" s="483"/>
      <c r="AA38" s="483"/>
      <c r="AB38" s="483"/>
      <c r="AC38" s="483"/>
      <c r="AD38" s="483"/>
      <c r="AE38" s="483"/>
      <c r="AF38" s="483"/>
      <c r="AG38" s="483"/>
      <c r="AH38" s="483"/>
      <c r="AI38" s="483"/>
      <c r="AJ38" s="483"/>
      <c r="AK38" s="483"/>
      <c r="AL38" s="483"/>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483"/>
      <c r="BS38" s="483"/>
      <c r="BT38" s="483"/>
      <c r="BU38" s="483"/>
      <c r="BV38" s="483"/>
      <c r="BW38" s="483"/>
      <c r="BX38" s="483"/>
      <c r="BY38" s="483"/>
      <c r="BZ38" s="483"/>
      <c r="CA38" s="483"/>
      <c r="CB38" s="483"/>
      <c r="CC38" s="483"/>
      <c r="CD38" s="483"/>
      <c r="CE38" s="483"/>
      <c r="CF38" s="483"/>
      <c r="CG38" s="483"/>
      <c r="CH38" s="483"/>
      <c r="CI38" s="483"/>
      <c r="CJ38" s="483"/>
      <c r="CK38" s="483"/>
      <c r="CL38" s="483"/>
      <c r="CM38" s="483"/>
      <c r="CN38" s="483"/>
      <c r="CO38" s="483"/>
      <c r="CP38" s="483"/>
      <c r="CQ38" s="483"/>
      <c r="CR38" s="483"/>
      <c r="CS38" s="483"/>
      <c r="CT38" s="483"/>
      <c r="CU38" s="483"/>
      <c r="CV38" s="483"/>
      <c r="CW38" s="483"/>
      <c r="CX38" s="483"/>
      <c r="CY38" s="483"/>
      <c r="CZ38" s="483"/>
      <c r="DA38" s="483"/>
      <c r="DB38" s="483"/>
      <c r="DC38" s="483"/>
      <c r="DD38" s="483"/>
      <c r="DE38" s="483"/>
      <c r="DF38" s="483"/>
      <c r="DG38" s="483"/>
      <c r="DH38" s="483"/>
      <c r="DI38" s="483"/>
      <c r="DJ38" s="483"/>
      <c r="DK38" s="483"/>
      <c r="DL38" s="483"/>
      <c r="DM38" s="483"/>
      <c r="DN38" s="483"/>
      <c r="DO38" s="483"/>
      <c r="DP38" s="483"/>
      <c r="DQ38" s="483"/>
      <c r="DR38" s="483"/>
      <c r="DS38" s="483"/>
      <c r="DT38" s="483"/>
      <c r="DU38" s="483"/>
      <c r="DV38" s="483"/>
      <c r="DW38" s="483"/>
      <c r="DX38" s="483"/>
      <c r="DY38" s="483"/>
      <c r="DZ38" s="483"/>
      <c r="EA38" s="483"/>
      <c r="EB38" s="483"/>
      <c r="EC38" s="483"/>
      <c r="ED38" s="483"/>
      <c r="EE38" s="483"/>
      <c r="EF38" s="483"/>
      <c r="EG38" s="483"/>
      <c r="EH38" s="483"/>
      <c r="EI38" s="483"/>
      <c r="EJ38" s="483"/>
      <c r="EK38" s="483"/>
      <c r="EL38" s="483"/>
      <c r="EM38" s="483"/>
      <c r="EN38" s="483"/>
      <c r="EO38" s="483"/>
      <c r="EP38" s="483"/>
      <c r="EQ38" s="483"/>
      <c r="ER38" s="483"/>
      <c r="ES38" s="483"/>
      <c r="ET38" s="483"/>
      <c r="EU38" s="483"/>
      <c r="EV38" s="483"/>
      <c r="EW38" s="483"/>
      <c r="EX38" s="483"/>
      <c r="EY38" s="483"/>
      <c r="EZ38" s="483"/>
      <c r="FA38" s="483"/>
      <c r="FB38" s="483"/>
      <c r="FC38" s="483"/>
      <c r="FD38" s="483"/>
      <c r="FE38" s="483"/>
      <c r="FF38" s="483"/>
      <c r="FG38" s="483"/>
      <c r="FH38" s="483"/>
      <c r="FI38" s="483"/>
      <c r="FJ38" s="483"/>
      <c r="FK38" s="483"/>
      <c r="FL38" s="483"/>
      <c r="FM38" s="483"/>
      <c r="FN38" s="483"/>
      <c r="FO38" s="483"/>
      <c r="FP38" s="483"/>
      <c r="FQ38" s="483"/>
      <c r="FR38" s="483"/>
      <c r="FS38" s="483"/>
      <c r="FT38" s="483"/>
      <c r="FU38" s="483"/>
      <c r="FV38" s="483"/>
      <c r="FW38" s="483"/>
      <c r="FX38" s="483"/>
      <c r="FY38" s="483"/>
      <c r="FZ38" s="483"/>
      <c r="GA38" s="483"/>
      <c r="GB38" s="483"/>
      <c r="GC38" s="483"/>
      <c r="GD38" s="483"/>
      <c r="GE38" s="483"/>
      <c r="GF38" s="483"/>
      <c r="GG38" s="483"/>
      <c r="GH38" s="483"/>
      <c r="GI38" s="483"/>
      <c r="GJ38" s="483"/>
      <c r="GK38" s="483"/>
      <c r="GL38" s="483"/>
      <c r="GM38" s="483"/>
      <c r="GN38" s="483"/>
      <c r="GO38" s="483"/>
      <c r="GP38" s="483"/>
      <c r="GQ38" s="483"/>
      <c r="GR38" s="483"/>
      <c r="GS38" s="483"/>
      <c r="GT38" s="483"/>
      <c r="GU38" s="483"/>
      <c r="GV38" s="483"/>
      <c r="GW38" s="483"/>
      <c r="GX38" s="483"/>
      <c r="GY38" s="483"/>
      <c r="GZ38" s="483"/>
      <c r="HA38" s="483"/>
      <c r="HB38" s="483"/>
      <c r="HC38" s="483"/>
      <c r="HD38" s="483"/>
      <c r="HE38" s="483"/>
      <c r="HF38" s="483"/>
      <c r="HG38" s="483"/>
      <c r="HH38" s="483"/>
      <c r="HI38" s="483"/>
      <c r="HJ38" s="483"/>
      <c r="HK38" s="483"/>
      <c r="HL38" s="483"/>
      <c r="HM38" s="483"/>
      <c r="HN38" s="483"/>
      <c r="HO38" s="483"/>
      <c r="HP38" s="483"/>
      <c r="HQ38" s="483"/>
      <c r="HR38" s="483"/>
      <c r="HS38" s="483"/>
      <c r="HT38" s="483"/>
      <c r="HU38" s="483"/>
      <c r="HV38" s="483"/>
      <c r="HW38" s="483"/>
      <c r="HX38" s="483"/>
      <c r="HY38" s="483"/>
      <c r="HZ38" s="483"/>
      <c r="IA38" s="483"/>
      <c r="IB38" s="483"/>
      <c r="IC38" s="483"/>
      <c r="ID38" s="483"/>
      <c r="IE38" s="483"/>
    </row>
    <row r="39" spans="1:239" ht="15.75">
      <c r="A39" s="74">
        <v>3</v>
      </c>
      <c r="B39" s="245" t="s">
        <v>468</v>
      </c>
      <c r="C39" s="74"/>
      <c r="D39" s="21"/>
      <c r="E39" s="21"/>
      <c r="F39" s="490"/>
      <c r="G39" s="490"/>
      <c r="H39" s="490"/>
      <c r="I39" s="21"/>
      <c r="J39" s="21"/>
      <c r="K39" s="21"/>
      <c r="L39" s="27"/>
      <c r="M39" s="488">
        <f>SUM(K40:K41)</f>
        <v>267.73200000000003</v>
      </c>
      <c r="N39" s="483"/>
      <c r="O39" s="483"/>
      <c r="P39" s="483"/>
      <c r="Q39" s="483"/>
      <c r="R39" s="483"/>
      <c r="S39" s="483"/>
      <c r="T39" s="483"/>
      <c r="U39" s="483"/>
      <c r="V39" s="483"/>
      <c r="W39" s="483"/>
      <c r="X39" s="483"/>
      <c r="Y39" s="483"/>
      <c r="Z39" s="483"/>
      <c r="AA39" s="483"/>
      <c r="AB39" s="483"/>
      <c r="AC39" s="483"/>
      <c r="AD39" s="483"/>
      <c r="AE39" s="483"/>
      <c r="AF39" s="483"/>
      <c r="AG39" s="483"/>
      <c r="AH39" s="483"/>
      <c r="AI39" s="483"/>
      <c r="AJ39" s="483"/>
      <c r="AK39" s="483"/>
      <c r="AL39" s="483"/>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483"/>
      <c r="BS39" s="483"/>
      <c r="BT39" s="483"/>
      <c r="BU39" s="483"/>
      <c r="BV39" s="483"/>
      <c r="BW39" s="483"/>
      <c r="BX39" s="483"/>
      <c r="BY39" s="483"/>
      <c r="BZ39" s="483"/>
      <c r="CA39" s="483"/>
      <c r="CB39" s="483"/>
      <c r="CC39" s="483"/>
      <c r="CD39" s="483"/>
      <c r="CE39" s="483"/>
      <c r="CF39" s="483"/>
      <c r="CG39" s="483"/>
      <c r="CH39" s="483"/>
      <c r="CI39" s="483"/>
      <c r="CJ39" s="483"/>
      <c r="CK39" s="483"/>
      <c r="CL39" s="483"/>
      <c r="CM39" s="483"/>
      <c r="CN39" s="483"/>
      <c r="CO39" s="483"/>
      <c r="CP39" s="483"/>
      <c r="CQ39" s="483"/>
      <c r="CR39" s="483"/>
      <c r="CS39" s="483"/>
      <c r="CT39" s="483"/>
      <c r="CU39" s="483"/>
      <c r="CV39" s="483"/>
      <c r="CW39" s="483"/>
      <c r="CX39" s="483"/>
      <c r="CY39" s="483"/>
      <c r="CZ39" s="483"/>
      <c r="DA39" s="483"/>
      <c r="DB39" s="483"/>
      <c r="DC39" s="483"/>
      <c r="DD39" s="483"/>
      <c r="DE39" s="483"/>
      <c r="DF39" s="483"/>
      <c r="DG39" s="483"/>
      <c r="DH39" s="483"/>
      <c r="DI39" s="483"/>
      <c r="DJ39" s="483"/>
      <c r="DK39" s="483"/>
      <c r="DL39" s="483"/>
      <c r="DM39" s="483"/>
      <c r="DN39" s="483"/>
      <c r="DO39" s="483"/>
      <c r="DP39" s="483"/>
      <c r="DQ39" s="483"/>
      <c r="DR39" s="483"/>
      <c r="DS39" s="483"/>
      <c r="DT39" s="483"/>
      <c r="DU39" s="483"/>
      <c r="DV39" s="483"/>
      <c r="DW39" s="483"/>
      <c r="DX39" s="483"/>
      <c r="DY39" s="483"/>
      <c r="DZ39" s="483"/>
      <c r="EA39" s="483"/>
      <c r="EB39" s="483"/>
      <c r="EC39" s="483"/>
      <c r="ED39" s="483"/>
      <c r="EE39" s="483"/>
      <c r="EF39" s="483"/>
      <c r="EG39" s="483"/>
      <c r="EH39" s="483"/>
      <c r="EI39" s="483"/>
      <c r="EJ39" s="483"/>
      <c r="EK39" s="483"/>
      <c r="EL39" s="483"/>
      <c r="EM39" s="483"/>
      <c r="EN39" s="483"/>
      <c r="EO39" s="483"/>
      <c r="EP39" s="483"/>
      <c r="EQ39" s="483"/>
      <c r="ER39" s="483"/>
      <c r="ES39" s="483"/>
      <c r="ET39" s="483"/>
      <c r="EU39" s="483"/>
      <c r="EV39" s="483"/>
      <c r="EW39" s="483"/>
      <c r="EX39" s="483"/>
      <c r="EY39" s="483"/>
      <c r="EZ39" s="483"/>
      <c r="FA39" s="483"/>
      <c r="FB39" s="483"/>
      <c r="FC39" s="483"/>
      <c r="FD39" s="483"/>
      <c r="FE39" s="483"/>
      <c r="FF39" s="483"/>
      <c r="FG39" s="483"/>
      <c r="FH39" s="483"/>
      <c r="FI39" s="483"/>
      <c r="FJ39" s="483"/>
      <c r="FK39" s="483"/>
      <c r="FL39" s="483"/>
      <c r="FM39" s="483"/>
      <c r="FN39" s="483"/>
      <c r="FO39" s="483"/>
      <c r="FP39" s="483"/>
      <c r="FQ39" s="483"/>
      <c r="FR39" s="483"/>
      <c r="FS39" s="483"/>
      <c r="FT39" s="483"/>
      <c r="FU39" s="483"/>
      <c r="FV39" s="483"/>
      <c r="FW39" s="483"/>
      <c r="FX39" s="483"/>
      <c r="FY39" s="483"/>
      <c r="FZ39" s="483"/>
      <c r="GA39" s="483"/>
      <c r="GB39" s="483"/>
      <c r="GC39" s="483"/>
      <c r="GD39" s="483"/>
      <c r="GE39" s="483"/>
      <c r="GF39" s="483"/>
      <c r="GG39" s="483"/>
      <c r="GH39" s="483"/>
      <c r="GI39" s="483"/>
      <c r="GJ39" s="483"/>
      <c r="GK39" s="483"/>
      <c r="GL39" s="483"/>
      <c r="GM39" s="483"/>
      <c r="GN39" s="483"/>
      <c r="GO39" s="483"/>
      <c r="GP39" s="483"/>
      <c r="GQ39" s="483"/>
      <c r="GR39" s="483"/>
      <c r="GS39" s="483"/>
      <c r="GT39" s="483"/>
      <c r="GU39" s="483"/>
      <c r="GV39" s="483"/>
      <c r="GW39" s="483"/>
      <c r="GX39" s="483"/>
      <c r="GY39" s="483"/>
      <c r="GZ39" s="483"/>
      <c r="HA39" s="483"/>
      <c r="HB39" s="483"/>
      <c r="HC39" s="483"/>
      <c r="HD39" s="483"/>
      <c r="HE39" s="483"/>
      <c r="HF39" s="483"/>
      <c r="HG39" s="483"/>
      <c r="HH39" s="483"/>
      <c r="HI39" s="483"/>
      <c r="HJ39" s="483"/>
      <c r="HK39" s="483"/>
      <c r="HL39" s="483"/>
      <c r="HM39" s="483"/>
      <c r="HN39" s="483"/>
      <c r="HO39" s="483"/>
      <c r="HP39" s="483"/>
      <c r="HQ39" s="483"/>
      <c r="HR39" s="483"/>
      <c r="HS39" s="483"/>
      <c r="HT39" s="483"/>
      <c r="HU39" s="483"/>
      <c r="HV39" s="483"/>
      <c r="HW39" s="483"/>
      <c r="HX39" s="483"/>
      <c r="HY39" s="483"/>
      <c r="HZ39" s="483"/>
      <c r="IA39" s="483"/>
      <c r="IB39" s="483"/>
      <c r="IC39" s="483"/>
      <c r="ID39" s="483"/>
      <c r="IE39" s="483"/>
    </row>
    <row r="40" spans="1:239" ht="15.75">
      <c r="A40" s="74"/>
      <c r="B40" s="252" t="s">
        <v>477</v>
      </c>
      <c r="C40" s="74" t="s">
        <v>540</v>
      </c>
      <c r="D40" s="21"/>
      <c r="E40" s="21">
        <f>J7-M7</f>
        <v>0.44999999999999973</v>
      </c>
      <c r="F40" s="490">
        <f>1.02*3+4.8*3+(2.968+1.321)*3+1.027+2.393+2.194+0.873*3+0.3*2+(3.03*5+4.783*4+4.8*2+5.15*2+1.508*3)</f>
        <v>97.866000000000014</v>
      </c>
      <c r="G40" s="490">
        <v>10</v>
      </c>
      <c r="H40" s="490">
        <v>0.5</v>
      </c>
      <c r="I40" s="21"/>
      <c r="J40" s="21">
        <v>2</v>
      </c>
      <c r="K40" s="21">
        <f>(E40+H40)*G40*J40+F40*J40</f>
        <v>214.73200000000003</v>
      </c>
      <c r="L40" s="27"/>
      <c r="M40" s="492"/>
      <c r="N40" s="483"/>
      <c r="O40" s="483"/>
      <c r="P40" s="483"/>
      <c r="Q40" s="483"/>
      <c r="R40" s="483"/>
      <c r="S40" s="483"/>
      <c r="T40" s="483"/>
      <c r="U40" s="483"/>
      <c r="V40" s="483"/>
      <c r="W40" s="483"/>
      <c r="X40" s="483"/>
      <c r="Y40" s="483"/>
      <c r="Z40" s="483"/>
      <c r="AA40" s="483"/>
      <c r="AB40" s="483"/>
      <c r="AC40" s="483"/>
      <c r="AD40" s="483"/>
      <c r="AE40" s="483"/>
      <c r="AF40" s="483"/>
      <c r="AG40" s="483"/>
      <c r="AH40" s="483"/>
      <c r="AI40" s="483"/>
      <c r="AJ40" s="483"/>
      <c r="AK40" s="483"/>
      <c r="AL40" s="483"/>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483"/>
      <c r="BS40" s="483"/>
      <c r="BT40" s="483"/>
      <c r="BU40" s="483"/>
      <c r="BV40" s="483"/>
      <c r="BW40" s="483"/>
      <c r="BX40" s="483"/>
      <c r="BY40" s="483"/>
      <c r="BZ40" s="483"/>
      <c r="CA40" s="483"/>
      <c r="CB40" s="483"/>
      <c r="CC40" s="483"/>
      <c r="CD40" s="483"/>
      <c r="CE40" s="483"/>
      <c r="CF40" s="483"/>
      <c r="CG40" s="483"/>
      <c r="CH40" s="483"/>
      <c r="CI40" s="483"/>
      <c r="CJ40" s="483"/>
      <c r="CK40" s="483"/>
      <c r="CL40" s="483"/>
      <c r="CM40" s="483"/>
      <c r="CN40" s="483"/>
      <c r="CO40" s="483"/>
      <c r="CP40" s="483"/>
      <c r="CQ40" s="483"/>
      <c r="CR40" s="483"/>
      <c r="CS40" s="483"/>
      <c r="CT40" s="483"/>
      <c r="CU40" s="483"/>
      <c r="CV40" s="483"/>
      <c r="CW40" s="483"/>
      <c r="CX40" s="483"/>
      <c r="CY40" s="483"/>
      <c r="CZ40" s="483"/>
      <c r="DA40" s="483"/>
      <c r="DB40" s="483"/>
      <c r="DC40" s="483"/>
      <c r="DD40" s="483"/>
      <c r="DE40" s="483"/>
      <c r="DF40" s="483"/>
      <c r="DG40" s="483"/>
      <c r="DH40" s="483"/>
      <c r="DI40" s="483"/>
      <c r="DJ40" s="483"/>
      <c r="DK40" s="483"/>
      <c r="DL40" s="483"/>
      <c r="DM40" s="483"/>
      <c r="DN40" s="483"/>
      <c r="DO40" s="483"/>
      <c r="DP40" s="483"/>
      <c r="DQ40" s="483"/>
      <c r="DR40" s="483"/>
      <c r="DS40" s="483"/>
      <c r="DT40" s="483"/>
      <c r="DU40" s="483"/>
      <c r="DV40" s="483"/>
      <c r="DW40" s="483"/>
      <c r="DX40" s="483"/>
      <c r="DY40" s="483"/>
      <c r="DZ40" s="483"/>
      <c r="EA40" s="483"/>
      <c r="EB40" s="483"/>
      <c r="EC40" s="483"/>
      <c r="ED40" s="483"/>
      <c r="EE40" s="483"/>
      <c r="EF40" s="483"/>
      <c r="EG40" s="483"/>
      <c r="EH40" s="483"/>
      <c r="EI40" s="483"/>
      <c r="EJ40" s="483"/>
      <c r="EK40" s="483"/>
      <c r="EL40" s="483"/>
      <c r="EM40" s="483"/>
      <c r="EN40" s="483"/>
      <c r="EO40" s="483"/>
      <c r="EP40" s="483"/>
      <c r="EQ40" s="483"/>
      <c r="ER40" s="483"/>
      <c r="ES40" s="483"/>
      <c r="ET40" s="483"/>
      <c r="EU40" s="483"/>
      <c r="EV40" s="483"/>
      <c r="EW40" s="483"/>
      <c r="EX40" s="483"/>
      <c r="EY40" s="483"/>
      <c r="EZ40" s="483"/>
      <c r="FA40" s="483"/>
      <c r="FB40" s="483"/>
      <c r="FC40" s="483"/>
      <c r="FD40" s="483"/>
      <c r="FE40" s="483"/>
      <c r="FF40" s="483"/>
      <c r="FG40" s="483"/>
      <c r="FH40" s="483"/>
      <c r="FI40" s="483"/>
      <c r="FJ40" s="483"/>
      <c r="FK40" s="483"/>
      <c r="FL40" s="483"/>
      <c r="FM40" s="483"/>
      <c r="FN40" s="483"/>
      <c r="FO40" s="483"/>
      <c r="FP40" s="483"/>
      <c r="FQ40" s="483"/>
      <c r="FR40" s="483"/>
      <c r="FS40" s="483"/>
      <c r="FT40" s="483"/>
      <c r="FU40" s="483"/>
      <c r="FV40" s="483"/>
      <c r="FW40" s="483"/>
      <c r="FX40" s="483"/>
      <c r="FY40" s="483"/>
      <c r="FZ40" s="483"/>
      <c r="GA40" s="483"/>
      <c r="GB40" s="483"/>
      <c r="GC40" s="483"/>
      <c r="GD40" s="483"/>
      <c r="GE40" s="483"/>
      <c r="GF40" s="483"/>
      <c r="GG40" s="483"/>
      <c r="GH40" s="483"/>
      <c r="GI40" s="483"/>
      <c r="GJ40" s="483"/>
      <c r="GK40" s="483"/>
      <c r="GL40" s="483"/>
      <c r="GM40" s="483"/>
      <c r="GN40" s="483"/>
      <c r="GO40" s="483"/>
      <c r="GP40" s="483"/>
      <c r="GQ40" s="483"/>
      <c r="GR40" s="483"/>
      <c r="GS40" s="483"/>
      <c r="GT40" s="483"/>
      <c r="GU40" s="483"/>
      <c r="GV40" s="483"/>
      <c r="GW40" s="483"/>
      <c r="GX40" s="483"/>
      <c r="GY40" s="483"/>
      <c r="GZ40" s="483"/>
      <c r="HA40" s="483"/>
      <c r="HB40" s="483"/>
      <c r="HC40" s="483"/>
      <c r="HD40" s="483"/>
      <c r="HE40" s="483"/>
      <c r="HF40" s="483"/>
      <c r="HG40" s="483"/>
      <c r="HH40" s="483"/>
      <c r="HI40" s="483"/>
      <c r="HJ40" s="483"/>
      <c r="HK40" s="483"/>
      <c r="HL40" s="483"/>
      <c r="HM40" s="483"/>
      <c r="HN40" s="483"/>
      <c r="HO40" s="483"/>
      <c r="HP40" s="483"/>
      <c r="HQ40" s="483"/>
      <c r="HR40" s="483"/>
      <c r="HS40" s="483"/>
      <c r="HT40" s="483"/>
      <c r="HU40" s="483"/>
      <c r="HV40" s="483"/>
      <c r="HW40" s="483"/>
      <c r="HX40" s="483"/>
      <c r="HY40" s="483"/>
      <c r="HZ40" s="483"/>
      <c r="IA40" s="483"/>
      <c r="IB40" s="483"/>
      <c r="IC40" s="483"/>
      <c r="ID40" s="483"/>
      <c r="IE40" s="483"/>
    </row>
    <row r="41" spans="1:239" ht="15.75">
      <c r="A41" s="74"/>
      <c r="B41" s="252" t="s">
        <v>598</v>
      </c>
      <c r="C41" s="74" t="s">
        <v>540</v>
      </c>
      <c r="D41" s="21"/>
      <c r="E41" s="21">
        <f>J7-1.3</f>
        <v>2.3499999999999996</v>
      </c>
      <c r="F41" s="490"/>
      <c r="G41" s="490">
        <v>10</v>
      </c>
      <c r="H41" s="490">
        <v>0.3</v>
      </c>
      <c r="I41" s="21"/>
      <c r="J41" s="21">
        <v>2</v>
      </c>
      <c r="K41" s="21">
        <f>(E41+H41)*G41*J41+F41*J41</f>
        <v>52.999999999999986</v>
      </c>
      <c r="L41" s="27"/>
      <c r="M41" s="492"/>
      <c r="N41" s="483"/>
      <c r="O41" s="483"/>
      <c r="P41" s="483"/>
      <c r="Q41" s="483"/>
      <c r="R41" s="483"/>
      <c r="S41" s="483"/>
      <c r="T41" s="483"/>
      <c r="U41" s="483"/>
      <c r="V41" s="483"/>
      <c r="W41" s="483"/>
      <c r="X41" s="483"/>
      <c r="Y41" s="483"/>
      <c r="Z41" s="483"/>
      <c r="AA41" s="483"/>
      <c r="AB41" s="483"/>
      <c r="AC41" s="483"/>
      <c r="AD41" s="483"/>
      <c r="AE41" s="483"/>
      <c r="AF41" s="483"/>
      <c r="AG41" s="483"/>
      <c r="AH41" s="483"/>
      <c r="AI41" s="483"/>
      <c r="AJ41" s="483"/>
      <c r="AK41" s="483"/>
      <c r="AL41" s="483"/>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483"/>
      <c r="BS41" s="483"/>
      <c r="BT41" s="483"/>
      <c r="BU41" s="483"/>
      <c r="BV41" s="483"/>
      <c r="BW41" s="483"/>
      <c r="BX41" s="483"/>
      <c r="BY41" s="483"/>
      <c r="BZ41" s="483"/>
      <c r="CA41" s="483"/>
      <c r="CB41" s="483"/>
      <c r="CC41" s="483"/>
      <c r="CD41" s="483"/>
      <c r="CE41" s="483"/>
      <c r="CF41" s="483"/>
      <c r="CG41" s="483"/>
      <c r="CH41" s="483"/>
      <c r="CI41" s="483"/>
      <c r="CJ41" s="483"/>
      <c r="CK41" s="483"/>
      <c r="CL41" s="483"/>
      <c r="CM41" s="483"/>
      <c r="CN41" s="483"/>
      <c r="CO41" s="483"/>
      <c r="CP41" s="483"/>
      <c r="CQ41" s="483"/>
      <c r="CR41" s="483"/>
      <c r="CS41" s="483"/>
      <c r="CT41" s="483"/>
      <c r="CU41" s="483"/>
      <c r="CV41" s="483"/>
      <c r="CW41" s="483"/>
      <c r="CX41" s="483"/>
      <c r="CY41" s="483"/>
      <c r="CZ41" s="483"/>
      <c r="DA41" s="483"/>
      <c r="DB41" s="483"/>
      <c r="DC41" s="483"/>
      <c r="DD41" s="483"/>
      <c r="DE41" s="483"/>
      <c r="DF41" s="483"/>
      <c r="DG41" s="483"/>
      <c r="DH41" s="483"/>
      <c r="DI41" s="483"/>
      <c r="DJ41" s="483"/>
      <c r="DK41" s="483"/>
      <c r="DL41" s="483"/>
      <c r="DM41" s="483"/>
      <c r="DN41" s="483"/>
      <c r="DO41" s="483"/>
      <c r="DP41" s="483"/>
      <c r="DQ41" s="483"/>
      <c r="DR41" s="483"/>
      <c r="DS41" s="483"/>
      <c r="DT41" s="483"/>
      <c r="DU41" s="483"/>
      <c r="DV41" s="483"/>
      <c r="DW41" s="483"/>
      <c r="DX41" s="483"/>
      <c r="DY41" s="483"/>
      <c r="DZ41" s="483"/>
      <c r="EA41" s="483"/>
      <c r="EB41" s="483"/>
      <c r="EC41" s="483"/>
      <c r="ED41" s="483"/>
      <c r="EE41" s="483"/>
      <c r="EF41" s="483"/>
      <c r="EG41" s="483"/>
      <c r="EH41" s="483"/>
      <c r="EI41" s="483"/>
      <c r="EJ41" s="483"/>
      <c r="EK41" s="483"/>
      <c r="EL41" s="483"/>
      <c r="EM41" s="483"/>
      <c r="EN41" s="483"/>
      <c r="EO41" s="483"/>
      <c r="EP41" s="483"/>
      <c r="EQ41" s="483"/>
      <c r="ER41" s="483"/>
      <c r="ES41" s="483"/>
      <c r="ET41" s="483"/>
      <c r="EU41" s="483"/>
      <c r="EV41" s="483"/>
      <c r="EW41" s="483"/>
      <c r="EX41" s="483"/>
      <c r="EY41" s="483"/>
      <c r="EZ41" s="483"/>
      <c r="FA41" s="483"/>
      <c r="FB41" s="483"/>
      <c r="FC41" s="483"/>
      <c r="FD41" s="483"/>
      <c r="FE41" s="483"/>
      <c r="FF41" s="483"/>
      <c r="FG41" s="483"/>
      <c r="FH41" s="483"/>
      <c r="FI41" s="483"/>
      <c r="FJ41" s="483"/>
      <c r="FK41" s="483"/>
      <c r="FL41" s="483"/>
      <c r="FM41" s="483"/>
      <c r="FN41" s="483"/>
      <c r="FO41" s="483"/>
      <c r="FP41" s="483"/>
      <c r="FQ41" s="483"/>
      <c r="FR41" s="483"/>
      <c r="FS41" s="483"/>
      <c r="FT41" s="483"/>
      <c r="FU41" s="483"/>
      <c r="FV41" s="483"/>
      <c r="FW41" s="483"/>
      <c r="FX41" s="483"/>
      <c r="FY41" s="483"/>
      <c r="FZ41" s="483"/>
      <c r="GA41" s="483"/>
      <c r="GB41" s="483"/>
      <c r="GC41" s="483"/>
      <c r="GD41" s="483"/>
      <c r="GE41" s="483"/>
      <c r="GF41" s="483"/>
      <c r="GG41" s="483"/>
      <c r="GH41" s="483"/>
      <c r="GI41" s="483"/>
      <c r="GJ41" s="483"/>
      <c r="GK41" s="483"/>
      <c r="GL41" s="483"/>
      <c r="GM41" s="483"/>
      <c r="GN41" s="483"/>
      <c r="GO41" s="483"/>
      <c r="GP41" s="483"/>
      <c r="GQ41" s="483"/>
      <c r="GR41" s="483"/>
      <c r="GS41" s="483"/>
      <c r="GT41" s="483"/>
      <c r="GU41" s="483"/>
      <c r="GV41" s="483"/>
      <c r="GW41" s="483"/>
      <c r="GX41" s="483"/>
      <c r="GY41" s="483"/>
      <c r="GZ41" s="483"/>
      <c r="HA41" s="483"/>
      <c r="HB41" s="483"/>
      <c r="HC41" s="483"/>
      <c r="HD41" s="483"/>
      <c r="HE41" s="483"/>
      <c r="HF41" s="483"/>
      <c r="HG41" s="483"/>
      <c r="HH41" s="483"/>
      <c r="HI41" s="483"/>
      <c r="HJ41" s="483"/>
      <c r="HK41" s="483"/>
      <c r="HL41" s="483"/>
      <c r="HM41" s="483"/>
      <c r="HN41" s="483"/>
      <c r="HO41" s="483"/>
      <c r="HP41" s="483"/>
      <c r="HQ41" s="483"/>
      <c r="HR41" s="483"/>
      <c r="HS41" s="483"/>
      <c r="HT41" s="483"/>
      <c r="HU41" s="483"/>
      <c r="HV41" s="483"/>
      <c r="HW41" s="483"/>
      <c r="HX41" s="483"/>
      <c r="HY41" s="483"/>
      <c r="HZ41" s="483"/>
      <c r="IA41" s="483"/>
      <c r="IB41" s="483"/>
      <c r="IC41" s="483"/>
      <c r="ID41" s="483"/>
      <c r="IE41" s="483"/>
    </row>
    <row r="42" spans="1:239" ht="15.75">
      <c r="A42" s="74">
        <v>4</v>
      </c>
      <c r="B42" s="245" t="s">
        <v>488</v>
      </c>
      <c r="C42" s="74" t="s">
        <v>540</v>
      </c>
      <c r="D42" s="21"/>
      <c r="E42" s="21">
        <f>J7-M7</f>
        <v>0.44999999999999973</v>
      </c>
      <c r="F42" s="490">
        <f>1.272+(1.978+2.308+0.333+1.188+1.552+1.305+0.367+1.5+0.524+0.167)*2+1.01</f>
        <v>24.725999999999999</v>
      </c>
      <c r="G42" s="490">
        <v>2</v>
      </c>
      <c r="H42" s="490">
        <v>0.5</v>
      </c>
      <c r="I42" s="21"/>
      <c r="J42" s="21">
        <v>5</v>
      </c>
      <c r="K42" s="21">
        <f>(E42+H42)*G42*J42+F42*J42</f>
        <v>133.13</v>
      </c>
      <c r="L42" s="27"/>
      <c r="M42" s="488">
        <f>K42</f>
        <v>133.13</v>
      </c>
      <c r="N42" s="483"/>
      <c r="O42" s="483"/>
      <c r="P42" s="483"/>
      <c r="Q42" s="483"/>
      <c r="R42" s="483"/>
      <c r="S42" s="483"/>
      <c r="T42" s="483"/>
      <c r="U42" s="483"/>
      <c r="V42" s="483"/>
      <c r="W42" s="483"/>
      <c r="X42" s="483"/>
      <c r="Y42" s="483"/>
      <c r="Z42" s="483"/>
      <c r="AA42" s="483"/>
      <c r="AB42" s="483"/>
      <c r="AC42" s="483"/>
      <c r="AD42" s="483"/>
      <c r="AE42" s="483"/>
      <c r="AF42" s="483"/>
      <c r="AG42" s="483"/>
      <c r="AH42" s="483"/>
      <c r="AI42" s="483"/>
      <c r="AJ42" s="483"/>
      <c r="AK42" s="483"/>
      <c r="AL42" s="483"/>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483"/>
      <c r="BS42" s="483"/>
      <c r="BT42" s="483"/>
      <c r="BU42" s="483"/>
      <c r="BV42" s="483"/>
      <c r="BW42" s="483"/>
      <c r="BX42" s="483"/>
      <c r="BY42" s="483"/>
      <c r="BZ42" s="483"/>
      <c r="CA42" s="483"/>
      <c r="CB42" s="483"/>
      <c r="CC42" s="483"/>
      <c r="CD42" s="483"/>
      <c r="CE42" s="483"/>
      <c r="CF42" s="483"/>
      <c r="CG42" s="483"/>
      <c r="CH42" s="483"/>
      <c r="CI42" s="483"/>
      <c r="CJ42" s="483"/>
      <c r="CK42" s="483"/>
      <c r="CL42" s="483"/>
      <c r="CM42" s="483"/>
      <c r="CN42" s="483"/>
      <c r="CO42" s="483"/>
      <c r="CP42" s="483"/>
      <c r="CQ42" s="483"/>
      <c r="CR42" s="483"/>
      <c r="CS42" s="483"/>
      <c r="CT42" s="483"/>
      <c r="CU42" s="483"/>
      <c r="CV42" s="483"/>
      <c r="CW42" s="483"/>
      <c r="CX42" s="483"/>
      <c r="CY42" s="483"/>
      <c r="CZ42" s="483"/>
      <c r="DA42" s="483"/>
      <c r="DB42" s="483"/>
      <c r="DC42" s="483"/>
      <c r="DD42" s="483"/>
      <c r="DE42" s="483"/>
      <c r="DF42" s="483"/>
      <c r="DG42" s="483"/>
      <c r="DH42" s="483"/>
      <c r="DI42" s="483"/>
      <c r="DJ42" s="483"/>
      <c r="DK42" s="483"/>
      <c r="DL42" s="483"/>
      <c r="DM42" s="483"/>
      <c r="DN42" s="483"/>
      <c r="DO42" s="483"/>
      <c r="DP42" s="483"/>
      <c r="DQ42" s="483"/>
      <c r="DR42" s="483"/>
      <c r="DS42" s="483"/>
      <c r="DT42" s="483"/>
      <c r="DU42" s="483"/>
      <c r="DV42" s="483"/>
      <c r="DW42" s="483"/>
      <c r="DX42" s="483"/>
      <c r="DY42" s="483"/>
      <c r="DZ42" s="483"/>
      <c r="EA42" s="483"/>
      <c r="EB42" s="483"/>
      <c r="EC42" s="483"/>
      <c r="ED42" s="483"/>
      <c r="EE42" s="483"/>
      <c r="EF42" s="483"/>
      <c r="EG42" s="483"/>
      <c r="EH42" s="483"/>
      <c r="EI42" s="483"/>
      <c r="EJ42" s="483"/>
      <c r="EK42" s="483"/>
      <c r="EL42" s="483"/>
      <c r="EM42" s="483"/>
      <c r="EN42" s="483"/>
      <c r="EO42" s="483"/>
      <c r="EP42" s="483"/>
      <c r="EQ42" s="483"/>
      <c r="ER42" s="483"/>
      <c r="ES42" s="483"/>
      <c r="ET42" s="483"/>
      <c r="EU42" s="483"/>
      <c r="EV42" s="483"/>
      <c r="EW42" s="483"/>
      <c r="EX42" s="483"/>
      <c r="EY42" s="483"/>
      <c r="EZ42" s="483"/>
      <c r="FA42" s="483"/>
      <c r="FB42" s="483"/>
      <c r="FC42" s="483"/>
      <c r="FD42" s="483"/>
      <c r="FE42" s="483"/>
      <c r="FF42" s="483"/>
      <c r="FG42" s="483"/>
      <c r="FH42" s="483"/>
      <c r="FI42" s="483"/>
      <c r="FJ42" s="483"/>
      <c r="FK42" s="483"/>
      <c r="FL42" s="483"/>
      <c r="FM42" s="483"/>
      <c r="FN42" s="483"/>
      <c r="FO42" s="483"/>
      <c r="FP42" s="483"/>
      <c r="FQ42" s="483"/>
      <c r="FR42" s="483"/>
      <c r="FS42" s="483"/>
      <c r="FT42" s="483"/>
      <c r="FU42" s="483"/>
      <c r="FV42" s="483"/>
      <c r="FW42" s="483"/>
      <c r="FX42" s="483"/>
      <c r="FY42" s="483"/>
      <c r="FZ42" s="483"/>
      <c r="GA42" s="483"/>
      <c r="GB42" s="483"/>
      <c r="GC42" s="483"/>
      <c r="GD42" s="483"/>
      <c r="GE42" s="483"/>
      <c r="GF42" s="483"/>
      <c r="GG42" s="483"/>
      <c r="GH42" s="483"/>
      <c r="GI42" s="483"/>
      <c r="GJ42" s="483"/>
      <c r="GK42" s="483"/>
      <c r="GL42" s="483"/>
      <c r="GM42" s="483"/>
      <c r="GN42" s="483"/>
      <c r="GO42" s="483"/>
      <c r="GP42" s="483"/>
      <c r="GQ42" s="483"/>
      <c r="GR42" s="483"/>
      <c r="GS42" s="483"/>
      <c r="GT42" s="483"/>
      <c r="GU42" s="483"/>
      <c r="GV42" s="483"/>
      <c r="GW42" s="483"/>
      <c r="GX42" s="483"/>
      <c r="GY42" s="483"/>
      <c r="GZ42" s="483"/>
      <c r="HA42" s="483"/>
      <c r="HB42" s="483"/>
      <c r="HC42" s="483"/>
      <c r="HD42" s="483"/>
      <c r="HE42" s="483"/>
      <c r="HF42" s="483"/>
      <c r="HG42" s="483"/>
      <c r="HH42" s="483"/>
      <c r="HI42" s="483"/>
      <c r="HJ42" s="483"/>
      <c r="HK42" s="483"/>
      <c r="HL42" s="483"/>
      <c r="HM42" s="483"/>
      <c r="HN42" s="483"/>
      <c r="HO42" s="483"/>
      <c r="HP42" s="483"/>
      <c r="HQ42" s="483"/>
      <c r="HR42" s="483"/>
      <c r="HS42" s="483"/>
      <c r="HT42" s="483"/>
      <c r="HU42" s="483"/>
      <c r="HV42" s="483"/>
      <c r="HW42" s="483"/>
      <c r="HX42" s="483"/>
      <c r="HY42" s="483"/>
      <c r="HZ42" s="483"/>
      <c r="IA42" s="483"/>
      <c r="IB42" s="483"/>
      <c r="IC42" s="483"/>
      <c r="ID42" s="483"/>
      <c r="IE42" s="483"/>
    </row>
    <row r="43" spans="1:239" ht="15">
      <c r="A43" s="74"/>
      <c r="B43" s="239" t="s">
        <v>478</v>
      </c>
      <c r="C43" s="240"/>
      <c r="D43" s="240"/>
      <c r="E43" s="240"/>
      <c r="F43" s="240"/>
      <c r="G43" s="240"/>
      <c r="H43" s="240"/>
      <c r="I43" s="21"/>
      <c r="J43" s="21"/>
      <c r="K43" s="21"/>
      <c r="L43" s="27"/>
      <c r="M43" s="492"/>
    </row>
    <row r="44" spans="1:239" ht="15">
      <c r="A44" s="74">
        <v>5</v>
      </c>
      <c r="B44" s="920" t="s">
        <v>597</v>
      </c>
      <c r="C44" s="921"/>
      <c r="D44" s="921"/>
      <c r="E44" s="921"/>
      <c r="F44" s="921"/>
      <c r="G44" s="921"/>
      <c r="H44" s="921"/>
      <c r="I44" s="922"/>
      <c r="J44" s="21"/>
      <c r="K44" s="253">
        <f>SUM(K34:K42)/2-SUM(I37:I42)-SUM(H34:H42)</f>
        <v>508.72999999999996</v>
      </c>
      <c r="L44" s="27"/>
      <c r="M44" s="488">
        <f>K44</f>
        <v>508.72999999999996</v>
      </c>
    </row>
    <row r="45" spans="1:239" ht="14.25">
      <c r="A45" s="26" t="s">
        <v>459</v>
      </c>
      <c r="B45" s="917" t="s">
        <v>479</v>
      </c>
      <c r="C45" s="918"/>
      <c r="D45" s="918"/>
      <c r="E45" s="918"/>
      <c r="F45" s="918"/>
      <c r="G45" s="918"/>
      <c r="H45" s="918"/>
      <c r="I45" s="919"/>
      <c r="J45" s="264"/>
      <c r="K45" s="27"/>
      <c r="L45" s="27"/>
      <c r="M45" s="411">
        <f>SUM(M46:M56)</f>
        <v>477.15699999999998</v>
      </c>
    </row>
    <row r="46" spans="1:239" ht="15.75">
      <c r="A46" s="74">
        <v>1</v>
      </c>
      <c r="B46" s="245" t="s">
        <v>181</v>
      </c>
      <c r="C46" s="74"/>
      <c r="D46" s="21"/>
      <c r="E46" s="21"/>
      <c r="F46" s="490"/>
      <c r="G46" s="490"/>
      <c r="H46" s="490"/>
      <c r="I46" s="490"/>
      <c r="J46" s="21"/>
      <c r="K46" s="21"/>
      <c r="L46" s="27"/>
      <c r="M46" s="488">
        <f>SUM(K47:K48)</f>
        <v>118.65200000000002</v>
      </c>
    </row>
    <row r="47" spans="1:239" ht="15.75">
      <c r="A47" s="74"/>
      <c r="B47" s="252" t="s">
        <v>870</v>
      </c>
      <c r="C47" s="74" t="s">
        <v>546</v>
      </c>
      <c r="D47" s="21"/>
      <c r="E47" s="21">
        <f>J6-M6</f>
        <v>0.85000000000000053</v>
      </c>
      <c r="F47" s="490">
        <f>5.768+2.4+4.8+5.073+7.673+2.064+3.181+4.877+1.494+4.877+4.491+4.8+4.8+7.2+4.8+5.406+0.477</f>
        <v>74.181000000000012</v>
      </c>
      <c r="G47" s="490">
        <v>12</v>
      </c>
      <c r="H47" s="490">
        <v>0.5</v>
      </c>
      <c r="I47" s="490">
        <f>1.637+2.866+2.106+6.062</f>
        <v>12.670999999999999</v>
      </c>
      <c r="J47" s="21">
        <v>1</v>
      </c>
      <c r="K47" s="21">
        <f>(F47+I47)*J47+((G47*2-1)*(E47+H47))*J47</f>
        <v>117.90200000000002</v>
      </c>
      <c r="L47" s="27"/>
      <c r="M47" s="488"/>
    </row>
    <row r="48" spans="1:239" ht="15.75">
      <c r="A48" s="74"/>
      <c r="B48" s="252" t="s">
        <v>599</v>
      </c>
      <c r="C48" s="74" t="s">
        <v>550</v>
      </c>
      <c r="D48" s="21"/>
      <c r="E48" s="21"/>
      <c r="F48" s="490"/>
      <c r="G48" s="490"/>
      <c r="H48" s="490"/>
      <c r="I48" s="490">
        <f>J6-$J$8</f>
        <v>0.75000000000000044</v>
      </c>
      <c r="J48" s="21"/>
      <c r="K48" s="21">
        <f>I48</f>
        <v>0.75000000000000044</v>
      </c>
      <c r="L48" s="27"/>
      <c r="M48" s="488"/>
    </row>
    <row r="49" spans="1:13" ht="15.75">
      <c r="A49" s="74">
        <v>2</v>
      </c>
      <c r="B49" s="245" t="s">
        <v>480</v>
      </c>
      <c r="C49" s="74"/>
      <c r="D49" s="21"/>
      <c r="E49" s="21"/>
      <c r="F49" s="490"/>
      <c r="G49" s="490"/>
      <c r="H49" s="490"/>
      <c r="I49" s="490"/>
      <c r="J49" s="21"/>
      <c r="K49" s="21"/>
      <c r="L49" s="27"/>
      <c r="M49" s="488">
        <f>SUM(K50:K51)</f>
        <v>125.52799999999999</v>
      </c>
    </row>
    <row r="50" spans="1:13" ht="15.75">
      <c r="A50" s="74"/>
      <c r="B50" s="252" t="s">
        <v>871</v>
      </c>
      <c r="C50" s="74" t="s">
        <v>547</v>
      </c>
      <c r="D50" s="21"/>
      <c r="E50" s="21">
        <f>J7-M7</f>
        <v>0.44999999999999973</v>
      </c>
      <c r="F50" s="490">
        <f>5.461+2.21+4.808+4.672+0.851+5.782+5.14+4.396+4.8*2+7.636+4.8*2+3.196*2+1.398</f>
        <v>67.945999999999998</v>
      </c>
      <c r="G50" s="490">
        <v>11</v>
      </c>
      <c r="H50" s="490">
        <v>0.5</v>
      </c>
      <c r="I50" s="490">
        <f>(1.661+0.881)*3+2.09+(4.108+4.385)*2+1.398+5.532</f>
        <v>33.631999999999998</v>
      </c>
      <c r="J50" s="21">
        <v>1</v>
      </c>
      <c r="K50" s="21">
        <f>(F50+I50)*J50+((G50*2-1)*(E50+H50))*J50</f>
        <v>121.52799999999999</v>
      </c>
      <c r="L50" s="27"/>
      <c r="M50" s="488"/>
    </row>
    <row r="51" spans="1:13" ht="15.75">
      <c r="A51" s="74"/>
      <c r="B51" s="252" t="s">
        <v>481</v>
      </c>
      <c r="C51" s="74" t="s">
        <v>550</v>
      </c>
      <c r="D51" s="21"/>
      <c r="E51" s="21"/>
      <c r="F51" s="490"/>
      <c r="G51" s="490"/>
      <c r="H51" s="490"/>
      <c r="I51" s="490">
        <f>(J7-$J$9)*2+J7-(J7-$J$9)</f>
        <v>3.9999999999999996</v>
      </c>
      <c r="J51" s="21"/>
      <c r="K51" s="21">
        <f>I51</f>
        <v>3.9999999999999996</v>
      </c>
      <c r="L51" s="27"/>
      <c r="M51" s="488"/>
    </row>
    <row r="52" spans="1:13" ht="15.75">
      <c r="A52" s="74">
        <v>3</v>
      </c>
      <c r="B52" s="245" t="s">
        <v>485</v>
      </c>
      <c r="C52" s="74"/>
      <c r="D52" s="21"/>
      <c r="E52" s="21"/>
      <c r="F52" s="490"/>
      <c r="G52" s="490"/>
      <c r="H52" s="490"/>
      <c r="I52" s="490"/>
      <c r="J52" s="21"/>
      <c r="K52" s="21"/>
      <c r="L52" s="27"/>
      <c r="M52" s="488">
        <f>SUM(K53:K55)</f>
        <v>129.98899999999998</v>
      </c>
    </row>
    <row r="53" spans="1:13" ht="15.75">
      <c r="A53" s="74"/>
      <c r="B53" s="252" t="s">
        <v>484</v>
      </c>
      <c r="C53" s="74" t="s">
        <v>548</v>
      </c>
      <c r="D53" s="21"/>
      <c r="E53" s="21">
        <f>J7-M7</f>
        <v>0.44999999999999973</v>
      </c>
      <c r="F53" s="490">
        <f>1.133+3.053+6.068+2.298+4.8*2+1.753+4.6+0.905+0.464+6.695+3.085+2.103+3.087+5.342+3.061+4.8+7.2+4.8*2+3.097+14.399+2.102+0.267</f>
        <v>94.711999999999989</v>
      </c>
      <c r="G53" s="490">
        <v>10</v>
      </c>
      <c r="H53" s="490">
        <v>0.5</v>
      </c>
      <c r="I53" s="490"/>
      <c r="J53" s="21">
        <v>1</v>
      </c>
      <c r="K53" s="21">
        <f>(F53+I53)*J53+((G53*2-1)*(E53+H53))*J53</f>
        <v>112.76199999999999</v>
      </c>
      <c r="L53" s="27"/>
      <c r="M53" s="488"/>
    </row>
    <row r="54" spans="1:13" ht="15.75">
      <c r="A54" s="74"/>
      <c r="B54" s="252" t="s">
        <v>481</v>
      </c>
      <c r="C54" s="74" t="s">
        <v>550</v>
      </c>
      <c r="D54" s="21"/>
      <c r="E54" s="493"/>
      <c r="F54" s="490"/>
      <c r="G54" s="490"/>
      <c r="H54" s="490"/>
      <c r="I54" s="490">
        <f>(J7-(J7-$M$7))+J7+ 1.355*2</f>
        <v>9.5599999999999987</v>
      </c>
      <c r="J54" s="21">
        <v>1</v>
      </c>
      <c r="K54" s="21">
        <f>I54</f>
        <v>9.5599999999999987</v>
      </c>
      <c r="L54" s="27"/>
      <c r="M54" s="488"/>
    </row>
    <row r="55" spans="1:13" ht="15.75">
      <c r="A55" s="74"/>
      <c r="B55" s="252" t="s">
        <v>476</v>
      </c>
      <c r="C55" s="74" t="s">
        <v>548</v>
      </c>
      <c r="D55" s="21"/>
      <c r="E55" s="493">
        <f>M7-1.3</f>
        <v>1.9000000000000001</v>
      </c>
      <c r="F55" s="490">
        <f>0.991+2.696+0.225</f>
        <v>3.9120000000000004</v>
      </c>
      <c r="G55" s="490">
        <v>1</v>
      </c>
      <c r="H55" s="490">
        <v>0.5</v>
      </c>
      <c r="I55" s="490">
        <v>1.355</v>
      </c>
      <c r="J55" s="21">
        <v>1</v>
      </c>
      <c r="K55" s="21">
        <f>(F55+I55)*J55+((G55*2-1)*(E55+H55))*J55</f>
        <v>7.6670000000000007</v>
      </c>
      <c r="L55" s="27"/>
      <c r="M55" s="488"/>
    </row>
    <row r="56" spans="1:13" ht="15.75">
      <c r="A56" s="74">
        <v>4</v>
      </c>
      <c r="B56" s="245" t="s">
        <v>586</v>
      </c>
      <c r="C56" s="74" t="s">
        <v>549</v>
      </c>
      <c r="D56" s="21"/>
      <c r="E56" s="493"/>
      <c r="F56" s="490"/>
      <c r="G56" s="490">
        <v>8</v>
      </c>
      <c r="H56" s="490">
        <f>0.3+1.2+1.05+0.5</f>
        <v>3.05</v>
      </c>
      <c r="I56" s="491">
        <f>(0.39+2.039)*2+(1.05+0.44)*4+2.05*3+(1.05+0.44)*5+1.205+2.051+1.618+1.888*2+(1.05+0.44)*3+2.05*3+(1.05+0.44)*5</f>
        <v>51.137999999999998</v>
      </c>
      <c r="J56" s="21">
        <v>1</v>
      </c>
      <c r="K56" s="21">
        <f>I56*J56+(G56*2+1)*H56*J56</f>
        <v>102.988</v>
      </c>
      <c r="L56" s="27"/>
      <c r="M56" s="488">
        <f>K56</f>
        <v>102.988</v>
      </c>
    </row>
    <row r="57" spans="1:13" ht="15">
      <c r="A57" s="74"/>
      <c r="B57" s="239" t="s">
        <v>489</v>
      </c>
      <c r="C57" s="240"/>
      <c r="D57" s="240"/>
      <c r="E57" s="240"/>
      <c r="F57" s="240"/>
      <c r="G57" s="240"/>
      <c r="H57" s="240"/>
      <c r="I57" s="21"/>
      <c r="J57" s="264"/>
      <c r="K57" s="21"/>
      <c r="L57" s="27"/>
      <c r="M57" s="492"/>
    </row>
    <row r="58" spans="1:13" ht="15">
      <c r="A58" s="74">
        <v>5</v>
      </c>
      <c r="B58" s="920" t="s">
        <v>600</v>
      </c>
      <c r="C58" s="921"/>
      <c r="D58" s="921"/>
      <c r="E58" s="921"/>
      <c r="F58" s="921"/>
      <c r="G58" s="921"/>
      <c r="H58" s="921"/>
      <c r="I58" s="922"/>
      <c r="J58" s="450"/>
      <c r="K58" s="253">
        <f>SUM(K46:K56)-SUM(I46:I56)-SUM(H47:H56)</f>
        <v>359.00099999999998</v>
      </c>
      <c r="L58" s="44"/>
      <c r="M58" s="488">
        <f>K58</f>
        <v>359.00099999999998</v>
      </c>
    </row>
    <row r="59" spans="1:13" ht="15">
      <c r="A59" s="74"/>
      <c r="B59" s="239"/>
      <c r="C59" s="240"/>
      <c r="D59" s="240"/>
      <c r="E59" s="240"/>
      <c r="F59" s="240"/>
      <c r="G59" s="240"/>
      <c r="H59" s="240"/>
      <c r="I59" s="21"/>
      <c r="J59" s="21"/>
      <c r="K59" s="21"/>
      <c r="L59" s="27"/>
      <c r="M59" s="411"/>
    </row>
    <row r="60" spans="1:13" ht="15">
      <c r="A60" s="495"/>
      <c r="B60" s="241"/>
      <c r="C60" s="241"/>
      <c r="D60" s="241"/>
      <c r="E60" s="241"/>
      <c r="F60" s="241"/>
      <c r="G60" s="241"/>
      <c r="H60" s="241"/>
      <c r="I60" s="241"/>
      <c r="J60" s="241"/>
      <c r="K60" s="242"/>
      <c r="L60" s="496"/>
      <c r="M60" s="243"/>
    </row>
    <row r="62" spans="1:13" ht="15">
      <c r="A62" s="485" t="s">
        <v>11</v>
      </c>
      <c r="B62" s="913" t="s">
        <v>72</v>
      </c>
      <c r="C62" s="914"/>
      <c r="D62" s="497"/>
      <c r="E62" s="497"/>
      <c r="F62" s="497"/>
      <c r="G62" s="497"/>
      <c r="H62" s="497"/>
      <c r="I62" s="498"/>
      <c r="J62" s="498"/>
      <c r="K62" s="497"/>
      <c r="L62" s="497"/>
      <c r="M62" s="499"/>
    </row>
    <row r="63" spans="1:13" ht="15.6" customHeight="1">
      <c r="A63" s="26">
        <v>1</v>
      </c>
      <c r="B63" s="500" t="s">
        <v>81</v>
      </c>
      <c r="C63" s="44">
        <f>M13</f>
        <v>1218.038</v>
      </c>
      <c r="D63" s="497"/>
      <c r="E63" s="501"/>
      <c r="F63" s="501"/>
      <c r="G63" s="497"/>
      <c r="H63" s="501"/>
      <c r="I63" s="498"/>
      <c r="J63" s="498"/>
      <c r="K63" s="497"/>
      <c r="L63" s="497"/>
      <c r="M63" s="499"/>
    </row>
    <row r="64" spans="1:13" ht="15.6" customHeight="1">
      <c r="A64" s="26">
        <v>2</v>
      </c>
      <c r="B64" s="500" t="s">
        <v>73</v>
      </c>
      <c r="C64" s="44">
        <f>M32</f>
        <v>1023.2599999999999</v>
      </c>
      <c r="D64" s="497"/>
      <c r="E64" s="497"/>
      <c r="F64" s="497"/>
      <c r="G64" s="497"/>
      <c r="H64" s="497"/>
      <c r="I64" s="498"/>
      <c r="J64" s="498"/>
      <c r="K64" s="497"/>
      <c r="L64" s="497"/>
      <c r="M64" s="499"/>
    </row>
    <row r="65" spans="1:239" ht="15.6" customHeight="1">
      <c r="A65" s="26">
        <v>3</v>
      </c>
      <c r="B65" s="500" t="s">
        <v>95</v>
      </c>
      <c r="C65" s="44">
        <f>M22</f>
        <v>716.7199999999998</v>
      </c>
      <c r="D65" s="497"/>
      <c r="E65" s="501"/>
      <c r="F65" s="501"/>
      <c r="G65" s="497"/>
      <c r="H65" s="497"/>
      <c r="I65" s="498"/>
      <c r="J65" s="498"/>
      <c r="K65" s="497"/>
      <c r="L65" s="497"/>
      <c r="M65" s="499"/>
    </row>
    <row r="66" spans="1:239" ht="15.6" customHeight="1">
      <c r="A66" s="26">
        <v>4</v>
      </c>
      <c r="B66" s="500" t="s">
        <v>490</v>
      </c>
      <c r="C66" s="44">
        <f>M45</f>
        <v>477.15699999999998</v>
      </c>
      <c r="D66" s="497"/>
      <c r="E66" s="497"/>
      <c r="F66" s="497"/>
      <c r="G66" s="497"/>
      <c r="H66" s="497"/>
      <c r="I66" s="498"/>
      <c r="J66" s="498"/>
      <c r="K66" s="497"/>
      <c r="L66" s="497"/>
      <c r="M66" s="499"/>
    </row>
    <row r="67" spans="1:239" ht="15">
      <c r="A67" s="26">
        <v>5</v>
      </c>
      <c r="B67" s="500" t="s">
        <v>460</v>
      </c>
      <c r="C67" s="44">
        <f>M21+M44+M58</f>
        <v>1209.4576666666667</v>
      </c>
      <c r="D67" s="497"/>
      <c r="E67" s="497"/>
      <c r="F67" s="497"/>
      <c r="G67" s="497"/>
      <c r="H67" s="497"/>
      <c r="I67" s="497"/>
      <c r="J67" s="497"/>
      <c r="K67" s="497"/>
      <c r="L67" s="497"/>
      <c r="M67" s="499"/>
    </row>
    <row r="68" spans="1:239" ht="15">
      <c r="A68" s="502"/>
      <c r="B68" s="503"/>
      <c r="C68" s="496"/>
      <c r="D68" s="483"/>
      <c r="E68" s="483"/>
      <c r="F68" s="504"/>
      <c r="G68" s="504"/>
      <c r="H68" s="504"/>
      <c r="I68" s="504"/>
      <c r="J68" s="504"/>
      <c r="K68" s="67"/>
      <c r="L68" s="505"/>
      <c r="M68" s="506"/>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483"/>
      <c r="AK68" s="483"/>
      <c r="AL68" s="483"/>
      <c r="AM68" s="483"/>
      <c r="AN68" s="483"/>
      <c r="AO68" s="483"/>
      <c r="AP68" s="483"/>
      <c r="AQ68" s="483"/>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483"/>
      <c r="BS68" s="483"/>
      <c r="BT68" s="483"/>
      <c r="BU68" s="483"/>
      <c r="BV68" s="483"/>
      <c r="BW68" s="483"/>
      <c r="BX68" s="483"/>
      <c r="BY68" s="483"/>
      <c r="BZ68" s="483"/>
      <c r="CA68" s="483"/>
      <c r="CB68" s="483"/>
      <c r="CC68" s="483"/>
      <c r="CD68" s="483"/>
      <c r="CE68" s="483"/>
      <c r="CF68" s="483"/>
      <c r="CG68" s="483"/>
      <c r="CH68" s="483"/>
      <c r="CI68" s="483"/>
      <c r="CJ68" s="483"/>
      <c r="CK68" s="483"/>
      <c r="CL68" s="483"/>
      <c r="CM68" s="483"/>
      <c r="CN68" s="483"/>
      <c r="CO68" s="483"/>
      <c r="CP68" s="483"/>
      <c r="CQ68" s="483"/>
      <c r="CR68" s="483"/>
      <c r="CS68" s="483"/>
      <c r="CT68" s="483"/>
      <c r="CU68" s="483"/>
      <c r="CV68" s="483"/>
      <c r="CW68" s="483"/>
      <c r="CX68" s="483"/>
      <c r="CY68" s="483"/>
      <c r="CZ68" s="483"/>
      <c r="DA68" s="483"/>
      <c r="DB68" s="483"/>
      <c r="DC68" s="483"/>
      <c r="DD68" s="483"/>
      <c r="DE68" s="483"/>
      <c r="DF68" s="483"/>
      <c r="DG68" s="483"/>
      <c r="DH68" s="483"/>
      <c r="DI68" s="483"/>
      <c r="DJ68" s="483"/>
      <c r="DK68" s="483"/>
      <c r="DL68" s="483"/>
      <c r="DM68" s="483"/>
      <c r="DN68" s="483"/>
      <c r="DO68" s="483"/>
      <c r="DP68" s="483"/>
      <c r="DQ68" s="483"/>
      <c r="DR68" s="483"/>
      <c r="DS68" s="483"/>
      <c r="DT68" s="483"/>
      <c r="DU68" s="483"/>
      <c r="DV68" s="483"/>
      <c r="DW68" s="483"/>
      <c r="DX68" s="483"/>
      <c r="DY68" s="483"/>
      <c r="DZ68" s="483"/>
      <c r="EA68" s="483"/>
      <c r="EB68" s="483"/>
      <c r="EC68" s="483"/>
      <c r="ED68" s="483"/>
      <c r="EE68" s="483"/>
      <c r="EF68" s="483"/>
      <c r="EG68" s="483"/>
      <c r="EH68" s="483"/>
      <c r="EI68" s="483"/>
      <c r="EJ68" s="483"/>
      <c r="EK68" s="483"/>
      <c r="EL68" s="483"/>
      <c r="EM68" s="483"/>
      <c r="EN68" s="483"/>
      <c r="EO68" s="483"/>
      <c r="EP68" s="483"/>
      <c r="EQ68" s="483"/>
      <c r="ER68" s="483"/>
      <c r="ES68" s="483"/>
      <c r="ET68" s="483"/>
      <c r="EU68" s="483"/>
      <c r="EV68" s="483"/>
      <c r="EW68" s="483"/>
      <c r="EX68" s="483"/>
      <c r="EY68" s="483"/>
      <c r="EZ68" s="483"/>
      <c r="FA68" s="483"/>
      <c r="FB68" s="483"/>
      <c r="FC68" s="483"/>
      <c r="FD68" s="483"/>
      <c r="FE68" s="483"/>
      <c r="FF68" s="483"/>
      <c r="FG68" s="483"/>
      <c r="FH68" s="483"/>
      <c r="FI68" s="483"/>
      <c r="FJ68" s="483"/>
      <c r="FK68" s="483"/>
      <c r="FL68" s="483"/>
      <c r="FM68" s="483"/>
      <c r="FN68" s="483"/>
      <c r="FO68" s="483"/>
      <c r="FP68" s="483"/>
      <c r="FQ68" s="483"/>
      <c r="FR68" s="483"/>
      <c r="FS68" s="483"/>
      <c r="FT68" s="483"/>
      <c r="FU68" s="483"/>
      <c r="FV68" s="483"/>
      <c r="FW68" s="483"/>
      <c r="FX68" s="483"/>
      <c r="FY68" s="483"/>
      <c r="FZ68" s="483"/>
      <c r="GA68" s="483"/>
      <c r="GB68" s="483"/>
      <c r="GC68" s="483"/>
      <c r="GD68" s="483"/>
      <c r="GE68" s="483"/>
      <c r="GF68" s="483"/>
      <c r="GG68" s="483"/>
      <c r="GH68" s="483"/>
      <c r="GI68" s="483"/>
      <c r="GJ68" s="483"/>
      <c r="GK68" s="483"/>
      <c r="GL68" s="483"/>
      <c r="GM68" s="483"/>
      <c r="GN68" s="483"/>
      <c r="GO68" s="483"/>
      <c r="GP68" s="483"/>
      <c r="GQ68" s="483"/>
      <c r="GR68" s="483"/>
      <c r="GS68" s="483"/>
      <c r="GT68" s="483"/>
      <c r="GU68" s="483"/>
      <c r="GV68" s="483"/>
      <c r="GW68" s="483"/>
      <c r="GX68" s="483"/>
      <c r="GY68" s="483"/>
      <c r="GZ68" s="483"/>
      <c r="HA68" s="483"/>
      <c r="HB68" s="483"/>
      <c r="HC68" s="483"/>
      <c r="HD68" s="483"/>
      <c r="HE68" s="483"/>
      <c r="HF68" s="483"/>
      <c r="HG68" s="483"/>
      <c r="HH68" s="483"/>
      <c r="HI68" s="483"/>
      <c r="HJ68" s="483"/>
      <c r="HK68" s="483"/>
      <c r="HL68" s="483"/>
      <c r="HM68" s="483"/>
      <c r="HN68" s="483"/>
      <c r="HO68" s="483"/>
      <c r="HP68" s="483"/>
      <c r="HQ68" s="483"/>
      <c r="HR68" s="483"/>
      <c r="HS68" s="483"/>
      <c r="HT68" s="483"/>
      <c r="HU68" s="483"/>
      <c r="HV68" s="483"/>
      <c r="HW68" s="483"/>
      <c r="HX68" s="483"/>
      <c r="HY68" s="483"/>
      <c r="HZ68" s="483"/>
      <c r="IA68" s="483"/>
      <c r="IB68" s="483"/>
      <c r="IC68" s="483"/>
      <c r="ID68" s="483"/>
      <c r="IE68" s="483"/>
    </row>
    <row r="69" spans="1:239" ht="15">
      <c r="A69" s="507"/>
      <c r="B69" s="508"/>
      <c r="C69" s="384"/>
      <c r="D69" s="346"/>
      <c r="E69" s="346"/>
      <c r="F69" s="346"/>
      <c r="G69" s="346"/>
      <c r="H69" s="346"/>
      <c r="I69" s="346"/>
      <c r="J69" s="320" t="s">
        <v>620</v>
      </c>
      <c r="K69" s="496"/>
      <c r="L69" s="505"/>
      <c r="M69" s="505"/>
    </row>
    <row r="70" spans="1:239" ht="15.75">
      <c r="C70" s="315" t="s">
        <v>1770</v>
      </c>
      <c r="D70" s="315"/>
      <c r="E70" s="942"/>
      <c r="F70" s="942"/>
      <c r="G70" s="942"/>
      <c r="H70" s="386"/>
      <c r="I70" s="387"/>
      <c r="J70" s="315" t="s">
        <v>100</v>
      </c>
      <c r="K70" s="496"/>
      <c r="L70" s="505"/>
    </row>
  </sheetData>
  <mergeCells count="21">
    <mergeCell ref="F8:I8"/>
    <mergeCell ref="F9:I9"/>
    <mergeCell ref="F10:I10"/>
    <mergeCell ref="F11:I11"/>
    <mergeCell ref="A2:M2"/>
    <mergeCell ref="K11:L11"/>
    <mergeCell ref="K7:L7"/>
    <mergeCell ref="K9:L9"/>
    <mergeCell ref="K10:L10"/>
    <mergeCell ref="K8:L8"/>
    <mergeCell ref="A3:M3"/>
    <mergeCell ref="A4:M4"/>
    <mergeCell ref="A5:M5"/>
    <mergeCell ref="B62:C62"/>
    <mergeCell ref="B13:I13"/>
    <mergeCell ref="B21:I21"/>
    <mergeCell ref="B32:J32"/>
    <mergeCell ref="B44:I44"/>
    <mergeCell ref="B45:I45"/>
    <mergeCell ref="B58:I58"/>
    <mergeCell ref="B22:I22"/>
  </mergeCells>
  <printOptions horizontalCentered="1"/>
  <pageMargins left="0.70866141732283472" right="0.51181102362204722" top="0.74803149606299213" bottom="0.74803149606299213" header="0.31496062992125984" footer="0.31496062992125984"/>
  <pageSetup scale="70" orientation="landscape" r:id="rId1"/>
  <headerFooter>
    <oddFooter>&amp;R&amp;P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9"/>
  <sheetViews>
    <sheetView zoomScaleNormal="100" workbookViewId="0">
      <selection activeCell="N31" sqref="N31"/>
    </sheetView>
  </sheetViews>
  <sheetFormatPr defaultRowHeight="12.75"/>
  <cols>
    <col min="2" max="2" width="59.140625" customWidth="1"/>
    <col min="4" max="4" width="13" customWidth="1"/>
  </cols>
  <sheetData>
    <row r="1" spans="1:5" ht="31.5">
      <c r="A1" s="254" t="s">
        <v>491</v>
      </c>
      <c r="B1" s="254" t="s">
        <v>492</v>
      </c>
      <c r="C1" s="255" t="s">
        <v>493</v>
      </c>
      <c r="D1" s="254" t="s">
        <v>494</v>
      </c>
      <c r="E1" s="254" t="s">
        <v>497</v>
      </c>
    </row>
    <row r="2" spans="1:5" ht="15">
      <c r="A2" s="256">
        <v>1</v>
      </c>
      <c r="B2" s="257" t="s">
        <v>495</v>
      </c>
      <c r="C2" s="256">
        <v>1</v>
      </c>
      <c r="D2" s="256"/>
      <c r="E2" s="256"/>
    </row>
    <row r="3" spans="1:5" ht="15">
      <c r="A3" s="256">
        <v>2</v>
      </c>
      <c r="B3" s="257" t="s">
        <v>496</v>
      </c>
      <c r="C3" s="256">
        <v>1</v>
      </c>
      <c r="D3" s="258" t="s">
        <v>931</v>
      </c>
      <c r="E3" s="256"/>
    </row>
    <row r="4" spans="1:5" ht="15">
      <c r="A4" s="256">
        <v>3</v>
      </c>
      <c r="B4" s="257" t="s">
        <v>926</v>
      </c>
      <c r="C4" s="256">
        <v>1</v>
      </c>
      <c r="D4" s="396" t="s">
        <v>542</v>
      </c>
      <c r="E4" s="256"/>
    </row>
    <row r="5" spans="1:5" ht="15">
      <c r="A5" s="256">
        <v>4</v>
      </c>
      <c r="B5" s="257" t="s">
        <v>927</v>
      </c>
      <c r="C5" s="256">
        <v>1</v>
      </c>
      <c r="D5" s="396" t="s">
        <v>543</v>
      </c>
      <c r="E5" s="256"/>
    </row>
    <row r="6" spans="1:5" ht="15">
      <c r="A6" s="256">
        <v>5</v>
      </c>
      <c r="B6" s="257" t="s">
        <v>928</v>
      </c>
      <c r="C6" s="256">
        <v>1</v>
      </c>
      <c r="D6" s="396" t="s">
        <v>544</v>
      </c>
      <c r="E6" s="256"/>
    </row>
    <row r="7" spans="1:5" ht="15">
      <c r="A7" s="256">
        <v>6</v>
      </c>
      <c r="B7" s="257" t="s">
        <v>929</v>
      </c>
      <c r="C7" s="256">
        <v>1</v>
      </c>
      <c r="D7" s="396" t="s">
        <v>545</v>
      </c>
      <c r="E7" s="256"/>
    </row>
    <row r="8" spans="1:5" ht="15">
      <c r="A8" s="256">
        <v>7</v>
      </c>
      <c r="B8" s="257" t="s">
        <v>930</v>
      </c>
      <c r="C8" s="256">
        <v>1</v>
      </c>
      <c r="D8" s="396" t="s">
        <v>672</v>
      </c>
      <c r="E8" s="256"/>
    </row>
    <row r="9" spans="1:5" ht="30">
      <c r="A9" s="256">
        <v>8</v>
      </c>
      <c r="B9" s="257" t="s">
        <v>581</v>
      </c>
      <c r="C9" s="256">
        <v>1</v>
      </c>
      <c r="D9" s="258" t="s">
        <v>579</v>
      </c>
      <c r="E9" s="256"/>
    </row>
    <row r="10" spans="1:5" ht="15">
      <c r="A10" s="256">
        <v>9</v>
      </c>
      <c r="B10" s="257" t="s">
        <v>582</v>
      </c>
      <c r="C10" s="256">
        <v>1</v>
      </c>
      <c r="D10" s="258" t="s">
        <v>580</v>
      </c>
      <c r="E10" s="256"/>
    </row>
    <row r="11" spans="1:5" ht="15">
      <c r="A11" s="256">
        <v>10</v>
      </c>
      <c r="B11" s="257" t="s">
        <v>498</v>
      </c>
      <c r="C11" s="256">
        <v>1</v>
      </c>
      <c r="D11" s="260" t="s">
        <v>538</v>
      </c>
      <c r="E11" s="256"/>
    </row>
    <row r="12" spans="1:5" ht="15">
      <c r="A12" s="256">
        <v>11</v>
      </c>
      <c r="B12" s="257" t="s">
        <v>499</v>
      </c>
      <c r="C12" s="256">
        <v>1</v>
      </c>
      <c r="D12" s="260" t="s">
        <v>539</v>
      </c>
      <c r="E12" s="256"/>
    </row>
    <row r="13" spans="1:5" ht="15">
      <c r="A13" s="256">
        <v>12</v>
      </c>
      <c r="B13" s="257" t="s">
        <v>500</v>
      </c>
      <c r="C13" s="256">
        <v>1</v>
      </c>
      <c r="D13" s="260" t="s">
        <v>540</v>
      </c>
      <c r="E13" s="256"/>
    </row>
    <row r="14" spans="1:5" ht="15">
      <c r="A14" s="256">
        <v>13</v>
      </c>
      <c r="B14" s="257" t="s">
        <v>501</v>
      </c>
      <c r="C14" s="256">
        <v>1</v>
      </c>
      <c r="D14" s="260" t="s">
        <v>541</v>
      </c>
      <c r="E14" s="256"/>
    </row>
    <row r="15" spans="1:5" ht="15">
      <c r="A15" s="256">
        <v>14</v>
      </c>
      <c r="B15" s="257" t="s">
        <v>502</v>
      </c>
      <c r="C15" s="256">
        <v>1</v>
      </c>
      <c r="D15" s="259" t="s">
        <v>542</v>
      </c>
      <c r="E15" s="256"/>
    </row>
    <row r="16" spans="1:5" ht="15">
      <c r="A16" s="256">
        <v>15</v>
      </c>
      <c r="B16" s="257" t="s">
        <v>503</v>
      </c>
      <c r="C16" s="256">
        <v>1</v>
      </c>
      <c r="D16" s="259" t="s">
        <v>543</v>
      </c>
      <c r="E16" s="256"/>
    </row>
    <row r="17" spans="1:5" ht="15">
      <c r="A17" s="256">
        <v>16</v>
      </c>
      <c r="B17" s="257" t="s">
        <v>504</v>
      </c>
      <c r="C17" s="256">
        <v>1</v>
      </c>
      <c r="D17" s="259" t="s">
        <v>544</v>
      </c>
      <c r="E17" s="256"/>
    </row>
    <row r="18" spans="1:5" ht="15">
      <c r="A18" s="256">
        <v>17</v>
      </c>
      <c r="B18" s="257" t="s">
        <v>505</v>
      </c>
      <c r="C18" s="256">
        <v>1</v>
      </c>
      <c r="D18" s="259" t="s">
        <v>545</v>
      </c>
      <c r="E18" s="256"/>
    </row>
    <row r="19" spans="1:5" ht="15">
      <c r="A19" s="256">
        <v>18</v>
      </c>
      <c r="B19" s="257" t="s">
        <v>506</v>
      </c>
      <c r="C19" s="256">
        <v>1</v>
      </c>
      <c r="D19" s="258" t="s">
        <v>546</v>
      </c>
      <c r="E19" s="256"/>
    </row>
    <row r="20" spans="1:5" ht="15">
      <c r="A20" s="256">
        <v>19</v>
      </c>
      <c r="B20" s="257" t="s">
        <v>507</v>
      </c>
      <c r="C20" s="256">
        <v>1</v>
      </c>
      <c r="D20" s="258" t="s">
        <v>547</v>
      </c>
      <c r="E20" s="256"/>
    </row>
    <row r="21" spans="1:5" ht="15">
      <c r="A21" s="256">
        <v>20</v>
      </c>
      <c r="B21" s="257" t="s">
        <v>508</v>
      </c>
      <c r="C21" s="256">
        <v>1</v>
      </c>
      <c r="D21" s="258" t="s">
        <v>548</v>
      </c>
      <c r="E21" s="256"/>
    </row>
    <row r="22" spans="1:5" ht="15">
      <c r="A22" s="256">
        <v>21</v>
      </c>
      <c r="B22" s="257" t="s">
        <v>509</v>
      </c>
      <c r="C22" s="256">
        <v>1</v>
      </c>
      <c r="D22" s="258" t="s">
        <v>549</v>
      </c>
      <c r="E22" s="256"/>
    </row>
    <row r="23" spans="1:5" ht="15">
      <c r="A23" s="256">
        <v>22</v>
      </c>
      <c r="B23" s="257" t="s">
        <v>509</v>
      </c>
      <c r="C23" s="256">
        <v>1</v>
      </c>
      <c r="D23" s="258" t="s">
        <v>550</v>
      </c>
      <c r="E23" s="256"/>
    </row>
    <row r="24" spans="1:5" ht="15">
      <c r="A24" s="256">
        <v>23</v>
      </c>
      <c r="B24" s="257" t="s">
        <v>534</v>
      </c>
      <c r="C24" s="256">
        <v>1</v>
      </c>
      <c r="D24" s="256" t="s">
        <v>551</v>
      </c>
      <c r="E24" s="256"/>
    </row>
    <row r="25" spans="1:5" ht="15">
      <c r="A25" s="256">
        <v>24</v>
      </c>
      <c r="B25" s="257" t="s">
        <v>533</v>
      </c>
      <c r="C25" s="256">
        <v>1</v>
      </c>
      <c r="D25" s="256" t="s">
        <v>552</v>
      </c>
      <c r="E25" s="256"/>
    </row>
    <row r="26" spans="1:5" ht="15">
      <c r="A26" s="256">
        <v>25</v>
      </c>
      <c r="B26" s="257" t="s">
        <v>535</v>
      </c>
      <c r="C26" s="256">
        <v>1</v>
      </c>
      <c r="D26" s="256" t="s">
        <v>553</v>
      </c>
      <c r="E26" s="256"/>
    </row>
    <row r="27" spans="1:5" ht="15">
      <c r="A27" s="256">
        <v>26</v>
      </c>
      <c r="B27" s="257" t="s">
        <v>536</v>
      </c>
      <c r="C27" s="256">
        <v>1</v>
      </c>
      <c r="D27" s="256" t="s">
        <v>554</v>
      </c>
      <c r="E27" s="256"/>
    </row>
    <row r="28" spans="1:5" ht="15">
      <c r="A28" s="256">
        <v>27</v>
      </c>
      <c r="B28" s="257" t="s">
        <v>537</v>
      </c>
      <c r="C28" s="256">
        <v>1</v>
      </c>
      <c r="D28" s="256" t="s">
        <v>555</v>
      </c>
      <c r="E28" s="256"/>
    </row>
    <row r="29" spans="1:5" ht="15">
      <c r="A29" s="256">
        <v>28</v>
      </c>
      <c r="B29" s="257" t="s">
        <v>556</v>
      </c>
      <c r="C29" s="256">
        <v>1</v>
      </c>
      <c r="D29" s="258" t="s">
        <v>560</v>
      </c>
      <c r="E29" s="256"/>
    </row>
    <row r="30" spans="1:5" ht="15">
      <c r="A30" s="256">
        <v>29</v>
      </c>
      <c r="B30" s="257" t="s">
        <v>557</v>
      </c>
      <c r="C30" s="256">
        <v>1</v>
      </c>
      <c r="D30" s="258" t="s">
        <v>561</v>
      </c>
      <c r="E30" s="256"/>
    </row>
    <row r="31" spans="1:5" ht="15">
      <c r="A31" s="256">
        <v>30</v>
      </c>
      <c r="B31" s="257" t="s">
        <v>558</v>
      </c>
      <c r="C31" s="256">
        <v>1</v>
      </c>
      <c r="D31" s="258" t="s">
        <v>562</v>
      </c>
      <c r="E31" s="256"/>
    </row>
    <row r="32" spans="1:5" ht="15">
      <c r="A32" s="256">
        <v>31</v>
      </c>
      <c r="B32" s="257" t="s">
        <v>559</v>
      </c>
      <c r="C32" s="256">
        <v>1</v>
      </c>
      <c r="D32" s="258" t="s">
        <v>563</v>
      </c>
      <c r="E32" s="256"/>
    </row>
    <row r="33" spans="1:5" ht="15">
      <c r="A33" s="256">
        <v>32</v>
      </c>
      <c r="B33" s="257" t="s">
        <v>584</v>
      </c>
      <c r="C33" s="256">
        <v>1</v>
      </c>
      <c r="D33" s="258" t="s">
        <v>583</v>
      </c>
      <c r="E33" s="256"/>
    </row>
    <row r="34" spans="1:5" ht="15">
      <c r="A34" s="256">
        <v>33</v>
      </c>
      <c r="B34" s="257" t="s">
        <v>922</v>
      </c>
      <c r="C34" s="256">
        <v>1</v>
      </c>
      <c r="D34" s="258" t="s">
        <v>638</v>
      </c>
      <c r="E34" s="256"/>
    </row>
    <row r="35" spans="1:5" ht="15">
      <c r="A35" s="256">
        <v>34</v>
      </c>
      <c r="B35" s="257" t="s">
        <v>923</v>
      </c>
      <c r="C35" s="256">
        <v>1</v>
      </c>
      <c r="D35" s="258" t="s">
        <v>639</v>
      </c>
      <c r="E35" s="256"/>
    </row>
    <row r="36" spans="1:5" ht="15">
      <c r="A36" s="256">
        <v>35</v>
      </c>
      <c r="B36" s="257" t="s">
        <v>924</v>
      </c>
      <c r="C36" s="256">
        <v>1</v>
      </c>
      <c r="D36" s="258" t="s">
        <v>640</v>
      </c>
      <c r="E36" s="256"/>
    </row>
    <row r="37" spans="1:5" ht="15">
      <c r="A37" s="256">
        <v>36</v>
      </c>
      <c r="B37" s="257" t="s">
        <v>925</v>
      </c>
      <c r="C37" s="256">
        <v>1</v>
      </c>
      <c r="D37" s="258" t="s">
        <v>641</v>
      </c>
      <c r="E37" s="256"/>
    </row>
    <row r="38" spans="1:5" ht="15">
      <c r="A38" s="256">
        <v>37</v>
      </c>
      <c r="B38" s="257" t="s">
        <v>907</v>
      </c>
      <c r="C38" s="256">
        <v>1</v>
      </c>
      <c r="D38" s="396" t="s">
        <v>642</v>
      </c>
      <c r="E38" s="256"/>
    </row>
    <row r="39" spans="1:5" ht="15">
      <c r="A39" s="256">
        <v>38</v>
      </c>
      <c r="B39" s="257" t="s">
        <v>908</v>
      </c>
      <c r="C39" s="256">
        <v>1</v>
      </c>
      <c r="D39" s="396" t="s">
        <v>643</v>
      </c>
      <c r="E39" s="256"/>
    </row>
    <row r="40" spans="1:5" ht="15">
      <c r="A40" s="256">
        <v>39</v>
      </c>
      <c r="B40" s="257" t="s">
        <v>909</v>
      </c>
      <c r="C40" s="256">
        <v>1</v>
      </c>
      <c r="D40" s="396" t="s">
        <v>644</v>
      </c>
      <c r="E40" s="256"/>
    </row>
    <row r="41" spans="1:5" ht="15">
      <c r="A41" s="256">
        <v>40</v>
      </c>
      <c r="B41" s="257" t="s">
        <v>910</v>
      </c>
      <c r="C41" s="256">
        <v>1</v>
      </c>
      <c r="D41" s="396" t="s">
        <v>645</v>
      </c>
      <c r="E41" s="256"/>
    </row>
    <row r="42" spans="1:5" ht="15">
      <c r="A42" s="256">
        <v>41</v>
      </c>
      <c r="B42" s="257" t="s">
        <v>911</v>
      </c>
      <c r="C42" s="256">
        <v>1</v>
      </c>
      <c r="D42" s="396" t="s">
        <v>915</v>
      </c>
      <c r="E42" s="256"/>
    </row>
    <row r="43" spans="1:5" ht="15">
      <c r="A43" s="256">
        <v>42</v>
      </c>
      <c r="B43" s="257" t="s">
        <v>912</v>
      </c>
      <c r="C43" s="256">
        <v>1</v>
      </c>
      <c r="D43" s="396" t="s">
        <v>916</v>
      </c>
      <c r="E43" s="256"/>
    </row>
    <row r="44" spans="1:5" ht="15">
      <c r="A44" s="256">
        <v>43</v>
      </c>
      <c r="B44" s="257" t="s">
        <v>913</v>
      </c>
      <c r="C44" s="256">
        <v>1</v>
      </c>
      <c r="D44" s="396" t="s">
        <v>917</v>
      </c>
      <c r="E44" s="256"/>
    </row>
    <row r="45" spans="1:5" ht="15">
      <c r="A45" s="256">
        <v>44</v>
      </c>
      <c r="B45" s="257" t="s">
        <v>914</v>
      </c>
      <c r="C45" s="256">
        <v>1</v>
      </c>
      <c r="D45" s="396" t="s">
        <v>918</v>
      </c>
      <c r="E45" s="256"/>
    </row>
    <row r="46" spans="1:5" ht="15">
      <c r="A46" s="256">
        <v>45</v>
      </c>
      <c r="B46" s="257" t="s">
        <v>921</v>
      </c>
      <c r="C46" s="256">
        <v>1</v>
      </c>
      <c r="D46" s="396" t="s">
        <v>919</v>
      </c>
      <c r="E46" s="256"/>
    </row>
    <row r="47" spans="1:5" ht="15">
      <c r="A47" s="256">
        <v>46</v>
      </c>
      <c r="B47" s="257" t="s">
        <v>667</v>
      </c>
      <c r="C47" s="256">
        <v>1</v>
      </c>
      <c r="D47" s="396" t="s">
        <v>920</v>
      </c>
      <c r="E47" s="256"/>
    </row>
    <row r="48" spans="1:5" ht="15">
      <c r="A48" s="256">
        <v>47</v>
      </c>
      <c r="B48" s="257" t="s">
        <v>646</v>
      </c>
      <c r="C48" s="256">
        <v>1</v>
      </c>
      <c r="D48" s="260" t="s">
        <v>642</v>
      </c>
      <c r="E48" s="256"/>
    </row>
    <row r="49" spans="1:5" ht="15">
      <c r="A49" s="256">
        <v>48</v>
      </c>
      <c r="B49" s="257" t="s">
        <v>647</v>
      </c>
      <c r="C49" s="256">
        <v>1</v>
      </c>
      <c r="D49" s="260" t="s">
        <v>643</v>
      </c>
      <c r="E49" s="256"/>
    </row>
    <row r="50" spans="1:5" ht="15">
      <c r="A50" s="256">
        <v>49</v>
      </c>
      <c r="B50" s="257" t="s">
        <v>648</v>
      </c>
      <c r="C50" s="256">
        <v>1</v>
      </c>
      <c r="D50" s="260" t="s">
        <v>644</v>
      </c>
      <c r="E50" s="256"/>
    </row>
    <row r="51" spans="1:5" ht="15">
      <c r="A51" s="256">
        <v>50</v>
      </c>
      <c r="B51" s="257" t="s">
        <v>649</v>
      </c>
      <c r="C51" s="256">
        <v>1</v>
      </c>
      <c r="D51" s="260" t="s">
        <v>645</v>
      </c>
      <c r="E51" s="256"/>
    </row>
    <row r="52" spans="1:5" ht="15">
      <c r="A52" s="256">
        <v>51</v>
      </c>
      <c r="B52" s="257" t="s">
        <v>886</v>
      </c>
      <c r="C52" s="256">
        <v>1</v>
      </c>
      <c r="D52" s="395" t="s">
        <v>849</v>
      </c>
      <c r="E52" s="256"/>
    </row>
    <row r="53" spans="1:5" ht="30">
      <c r="A53" s="256">
        <v>52</v>
      </c>
      <c r="B53" s="257" t="s">
        <v>888</v>
      </c>
      <c r="C53" s="256">
        <v>1</v>
      </c>
      <c r="D53" s="395" t="s">
        <v>887</v>
      </c>
      <c r="E53" s="256"/>
    </row>
    <row r="54" spans="1:5" ht="15">
      <c r="A54" s="256">
        <v>53</v>
      </c>
      <c r="B54" s="257" t="s">
        <v>650</v>
      </c>
      <c r="C54" s="256">
        <v>1</v>
      </c>
      <c r="D54" s="260" t="s">
        <v>654</v>
      </c>
      <c r="E54" s="256"/>
    </row>
    <row r="55" spans="1:5" ht="15">
      <c r="A55" s="256">
        <v>54</v>
      </c>
      <c r="B55" s="257" t="s">
        <v>651</v>
      </c>
      <c r="C55" s="256">
        <v>1</v>
      </c>
      <c r="D55" s="260" t="s">
        <v>655</v>
      </c>
      <c r="E55" s="256"/>
    </row>
    <row r="56" spans="1:5" ht="15">
      <c r="A56" s="256">
        <v>55</v>
      </c>
      <c r="B56" s="257" t="s">
        <v>652</v>
      </c>
      <c r="C56" s="256">
        <v>1</v>
      </c>
      <c r="D56" s="260" t="s">
        <v>656</v>
      </c>
      <c r="E56" s="256"/>
    </row>
    <row r="57" spans="1:5" ht="15">
      <c r="A57" s="256">
        <v>56</v>
      </c>
      <c r="B57" s="257" t="s">
        <v>653</v>
      </c>
      <c r="C57" s="256">
        <v>1</v>
      </c>
      <c r="D57" s="260" t="s">
        <v>657</v>
      </c>
      <c r="E57" s="256"/>
    </row>
    <row r="58" spans="1:5" ht="30">
      <c r="A58" s="256">
        <v>57</v>
      </c>
      <c r="B58" s="257" t="s">
        <v>658</v>
      </c>
      <c r="C58" s="256">
        <v>1</v>
      </c>
      <c r="D58" s="258" t="s">
        <v>659</v>
      </c>
      <c r="E58" s="256"/>
    </row>
    <row r="59" spans="1:5" ht="30">
      <c r="A59" s="256">
        <v>58</v>
      </c>
      <c r="B59" s="257" t="s">
        <v>663</v>
      </c>
      <c r="C59" s="256">
        <v>1</v>
      </c>
      <c r="D59" s="258" t="s">
        <v>660</v>
      </c>
      <c r="E59" s="256"/>
    </row>
    <row r="60" spans="1:5" ht="30">
      <c r="A60" s="256">
        <v>59</v>
      </c>
      <c r="B60" s="257" t="s">
        <v>664</v>
      </c>
      <c r="C60" s="256">
        <v>1</v>
      </c>
      <c r="D60" s="258" t="s">
        <v>661</v>
      </c>
      <c r="E60" s="256"/>
    </row>
    <row r="61" spans="1:5" ht="30">
      <c r="A61" s="256">
        <v>60</v>
      </c>
      <c r="B61" s="257" t="s">
        <v>665</v>
      </c>
      <c r="C61" s="256">
        <v>1</v>
      </c>
      <c r="D61" s="258" t="s">
        <v>662</v>
      </c>
      <c r="E61" s="256"/>
    </row>
    <row r="62" spans="1:5" ht="30">
      <c r="A62" s="256">
        <v>61</v>
      </c>
      <c r="B62" s="257" t="s">
        <v>900</v>
      </c>
      <c r="C62" s="256">
        <v>1</v>
      </c>
      <c r="D62" s="258" t="s">
        <v>666</v>
      </c>
      <c r="E62" s="256"/>
    </row>
    <row r="63" spans="1:5" ht="30">
      <c r="A63" s="256">
        <v>62</v>
      </c>
      <c r="B63" s="257" t="s">
        <v>902</v>
      </c>
      <c r="C63" s="256">
        <v>1</v>
      </c>
      <c r="D63" s="258" t="s">
        <v>901</v>
      </c>
      <c r="E63" s="256"/>
    </row>
    <row r="64" spans="1:5" ht="15">
      <c r="A64" s="256">
        <v>63</v>
      </c>
      <c r="B64" s="257" t="s">
        <v>872</v>
      </c>
      <c r="C64" s="256">
        <v>1</v>
      </c>
      <c r="D64" s="395" t="s">
        <v>867</v>
      </c>
      <c r="E64" s="256"/>
    </row>
    <row r="65" spans="1:5" ht="15">
      <c r="A65" s="256">
        <v>64</v>
      </c>
      <c r="B65" s="257" t="s">
        <v>873</v>
      </c>
      <c r="C65" s="256">
        <v>1</v>
      </c>
      <c r="D65" s="395" t="s">
        <v>868</v>
      </c>
      <c r="E65" s="256"/>
    </row>
    <row r="66" spans="1:5" ht="15">
      <c r="A66" s="256">
        <v>65</v>
      </c>
      <c r="B66" s="257" t="s">
        <v>874</v>
      </c>
      <c r="C66" s="256">
        <v>1</v>
      </c>
      <c r="D66" s="260" t="s">
        <v>878</v>
      </c>
      <c r="E66" s="256"/>
    </row>
    <row r="67" spans="1:5" ht="15">
      <c r="A67" s="256">
        <v>66</v>
      </c>
      <c r="B67" s="257" t="s">
        <v>875</v>
      </c>
      <c r="C67" s="256">
        <v>1</v>
      </c>
      <c r="D67" s="260" t="s">
        <v>879</v>
      </c>
      <c r="E67" s="256"/>
    </row>
    <row r="68" spans="1:5" ht="15">
      <c r="A68" s="256">
        <v>67</v>
      </c>
      <c r="B68" s="257" t="s">
        <v>876</v>
      </c>
      <c r="C68" s="256">
        <v>1</v>
      </c>
      <c r="D68" s="260" t="s">
        <v>880</v>
      </c>
      <c r="E68" s="256"/>
    </row>
    <row r="69" spans="1:5" ht="15">
      <c r="A69" s="256">
        <v>68</v>
      </c>
      <c r="B69" s="257" t="s">
        <v>877</v>
      </c>
      <c r="C69" s="256">
        <v>1</v>
      </c>
      <c r="D69" s="260" t="s">
        <v>881</v>
      </c>
      <c r="E69" s="256"/>
    </row>
    <row r="70" spans="1:5" ht="15">
      <c r="A70" s="256">
        <v>69</v>
      </c>
      <c r="B70" s="257" t="s">
        <v>882</v>
      </c>
      <c r="C70" s="256">
        <v>1</v>
      </c>
      <c r="D70" s="258" t="s">
        <v>851</v>
      </c>
      <c r="E70" s="256"/>
    </row>
    <row r="71" spans="1:5" ht="15">
      <c r="A71" s="256">
        <v>70</v>
      </c>
      <c r="B71" s="257" t="s">
        <v>883</v>
      </c>
      <c r="C71" s="256">
        <v>1</v>
      </c>
      <c r="D71" s="258" t="s">
        <v>852</v>
      </c>
      <c r="E71" s="256"/>
    </row>
    <row r="72" spans="1:5" ht="15">
      <c r="A72" s="256">
        <v>71</v>
      </c>
      <c r="B72" s="257" t="s">
        <v>884</v>
      </c>
      <c r="C72" s="256">
        <v>1</v>
      </c>
      <c r="D72" s="258" t="s">
        <v>853</v>
      </c>
      <c r="E72" s="256"/>
    </row>
    <row r="73" spans="1:5" ht="15">
      <c r="A73" s="256">
        <v>72</v>
      </c>
      <c r="B73" s="257" t="s">
        <v>885</v>
      </c>
      <c r="C73" s="256">
        <v>1</v>
      </c>
      <c r="D73" s="258" t="s">
        <v>861</v>
      </c>
      <c r="E73" s="256"/>
    </row>
    <row r="74" spans="1:5" ht="15">
      <c r="A74" s="256">
        <v>73</v>
      </c>
      <c r="B74" s="257" t="s">
        <v>889</v>
      </c>
      <c r="C74" s="256">
        <v>1</v>
      </c>
      <c r="D74" s="260" t="s">
        <v>862</v>
      </c>
      <c r="E74" s="256"/>
    </row>
    <row r="75" spans="1:5" ht="15">
      <c r="A75" s="256">
        <v>74</v>
      </c>
      <c r="B75" s="257" t="s">
        <v>890</v>
      </c>
      <c r="C75" s="256">
        <v>1</v>
      </c>
      <c r="D75" s="260" t="s">
        <v>865</v>
      </c>
      <c r="E75" s="256"/>
    </row>
    <row r="76" spans="1:5" ht="15">
      <c r="A76" s="256">
        <v>75</v>
      </c>
      <c r="B76" s="257" t="s">
        <v>891</v>
      </c>
      <c r="C76" s="256">
        <v>1</v>
      </c>
      <c r="D76" s="260" t="s">
        <v>864</v>
      </c>
      <c r="E76" s="256"/>
    </row>
    <row r="77" spans="1:5" ht="15">
      <c r="A77" s="256">
        <v>76</v>
      </c>
      <c r="B77" s="257" t="s">
        <v>892</v>
      </c>
      <c r="C77" s="256">
        <v>1</v>
      </c>
      <c r="D77" s="260" t="s">
        <v>863</v>
      </c>
      <c r="E77" s="256"/>
    </row>
    <row r="78" spans="1:5" ht="15">
      <c r="A78" s="256">
        <v>77</v>
      </c>
      <c r="B78" s="257" t="s">
        <v>667</v>
      </c>
      <c r="C78" s="256">
        <v>1</v>
      </c>
      <c r="D78" s="260" t="s">
        <v>893</v>
      </c>
      <c r="E78" s="256"/>
    </row>
    <row r="79" spans="1:5" ht="15">
      <c r="A79" s="256">
        <v>78</v>
      </c>
      <c r="B79" s="257" t="s">
        <v>894</v>
      </c>
      <c r="C79" s="256">
        <v>1</v>
      </c>
      <c r="D79" s="258" t="s">
        <v>859</v>
      </c>
      <c r="E79" s="256"/>
    </row>
    <row r="80" spans="1:5" ht="15">
      <c r="A80" s="256">
        <v>79</v>
      </c>
      <c r="B80" s="257" t="s">
        <v>895</v>
      </c>
      <c r="C80" s="256">
        <v>1</v>
      </c>
      <c r="D80" s="258" t="s">
        <v>860</v>
      </c>
      <c r="E80" s="256"/>
    </row>
    <row r="81" spans="1:5" ht="15">
      <c r="A81" s="256">
        <v>80</v>
      </c>
      <c r="B81" s="257" t="s">
        <v>896</v>
      </c>
      <c r="C81" s="256">
        <v>1</v>
      </c>
      <c r="D81" s="258" t="s">
        <v>858</v>
      </c>
      <c r="E81" s="256"/>
    </row>
    <row r="82" spans="1:5" ht="15">
      <c r="A82" s="256">
        <v>81</v>
      </c>
      <c r="B82" s="257" t="s">
        <v>897</v>
      </c>
      <c r="C82" s="256">
        <v>1</v>
      </c>
      <c r="D82" s="258" t="s">
        <v>671</v>
      </c>
      <c r="E82" s="256"/>
    </row>
    <row r="83" spans="1:5" ht="15">
      <c r="A83" s="256">
        <v>82</v>
      </c>
      <c r="B83" s="257" t="s">
        <v>898</v>
      </c>
      <c r="C83" s="256">
        <v>1</v>
      </c>
      <c r="D83" s="258" t="s">
        <v>857</v>
      </c>
      <c r="E83" s="256"/>
    </row>
    <row r="84" spans="1:5" ht="15">
      <c r="A84" s="256">
        <v>83</v>
      </c>
      <c r="B84" s="257" t="s">
        <v>899</v>
      </c>
      <c r="C84" s="256">
        <v>1</v>
      </c>
      <c r="D84" s="258" t="s">
        <v>866</v>
      </c>
      <c r="E84" s="256"/>
    </row>
    <row r="85" spans="1:5" ht="15">
      <c r="A85" s="256">
        <v>84</v>
      </c>
      <c r="B85" s="257" t="s">
        <v>903</v>
      </c>
      <c r="C85" s="256">
        <v>1</v>
      </c>
      <c r="D85" s="260" t="s">
        <v>668</v>
      </c>
      <c r="E85" s="256"/>
    </row>
    <row r="86" spans="1:5" ht="15">
      <c r="A86" s="256">
        <v>85</v>
      </c>
      <c r="B86" s="257" t="s">
        <v>904</v>
      </c>
      <c r="C86" s="256">
        <v>1</v>
      </c>
      <c r="D86" s="260" t="s">
        <v>669</v>
      </c>
      <c r="E86" s="256"/>
    </row>
    <row r="87" spans="1:5" ht="15">
      <c r="A87" s="256">
        <v>86</v>
      </c>
      <c r="B87" s="257" t="s">
        <v>905</v>
      </c>
      <c r="C87" s="256">
        <v>1</v>
      </c>
      <c r="D87" s="260" t="s">
        <v>670</v>
      </c>
      <c r="E87" s="256"/>
    </row>
    <row r="88" spans="1:5" ht="15">
      <c r="A88" s="256">
        <v>87</v>
      </c>
      <c r="B88" s="257" t="s">
        <v>906</v>
      </c>
      <c r="C88" s="256">
        <v>1</v>
      </c>
      <c r="D88" s="260" t="s">
        <v>850</v>
      </c>
      <c r="E88" s="256"/>
    </row>
    <row r="89" spans="1:5" ht="15">
      <c r="A89" s="256"/>
      <c r="B89" s="257"/>
      <c r="C89" s="256"/>
      <c r="D89" s="260"/>
      <c r="E89" s="25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Bìa</vt:lpstr>
      <vt:lpstr>PL SOAT XET</vt:lpstr>
      <vt:lpstr>Bảng kl kèm NTVL</vt:lpstr>
      <vt:lpstr>TK VAT TU Hoa Sen</vt:lpstr>
      <vt:lpstr>TONG HOP GT</vt:lpstr>
      <vt:lpstr>KL TONG HOP</vt:lpstr>
      <vt:lpstr>Dien giai KL</vt:lpstr>
      <vt:lpstr>TK THÉP SÀN</vt:lpstr>
      <vt:lpstr>Cable Nguon</vt:lpstr>
      <vt:lpstr>Trunking.</vt:lpstr>
      <vt:lpstr>Cable DHKK</vt:lpstr>
      <vt:lpstr>DMBV MEP</vt:lpstr>
      <vt:lpstr>'Bảng kl kèm NTVL'!Print_Area</vt:lpstr>
      <vt:lpstr>'Cable DHKK'!Print_Area</vt:lpstr>
      <vt:lpstr>'Cable Nguon'!Print_Area</vt:lpstr>
      <vt:lpstr>'Dien giai KL'!Print_Area</vt:lpstr>
      <vt:lpstr>'KL TONG HOP'!Print_Area</vt:lpstr>
      <vt:lpstr>'PL SOAT XET'!Print_Area</vt:lpstr>
      <vt:lpstr>'TK THÉP SÀN'!Print_Area</vt:lpstr>
      <vt:lpstr>'TK VAT TU Hoa Sen'!Print_Area</vt:lpstr>
      <vt:lpstr>Trunking.!Print_Area</vt:lpstr>
      <vt:lpstr>'Dien giai KL'!Print_Titles</vt:lpstr>
      <vt:lpstr>'PL SOAT XET'!Print_Titles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Le Hoang Sam</cp:lastModifiedBy>
  <cp:lastPrinted>2024-01-24T12:25:15Z</cp:lastPrinted>
  <dcterms:created xsi:type="dcterms:W3CDTF">2019-08-18T08:08:32Z</dcterms:created>
  <dcterms:modified xsi:type="dcterms:W3CDTF">2024-09-13T03:21:18Z</dcterms:modified>
</cp:coreProperties>
</file>